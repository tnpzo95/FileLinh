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QUANG SON\HĐND 2026-2031\KỲ THỨ 1\DU THAO NQ\"/>
    </mc:Choice>
  </mc:AlternateContent>
  <xr:revisionPtr revIDLastSave="0" documentId="13_ncr:1_{C2D8ED2C-C7CB-47C7-B1AD-324483907A53}" xr6:coauthVersionLast="47" xr6:coauthVersionMax="47" xr10:uidLastSave="{00000000-0000-0000-0000-000000000000}"/>
  <bookViews>
    <workbookView xWindow="-108" yWindow="-108" windowWidth="23256" windowHeight="12456" firstSheet="1" activeTab="9" xr2:uid="{00000000-000D-0000-FFFF-FFFF00000000}"/>
  </bookViews>
  <sheets>
    <sheet name="foxz" sheetId="2" state="veryHidden" r:id="rId1"/>
    <sheet name="48" sheetId="1" r:id="rId2"/>
    <sheet name="50" sheetId="4" r:id="rId3"/>
    <sheet name="51" sheetId="5" r:id="rId4"/>
    <sheet name="52" sheetId="6" r:id="rId5"/>
    <sheet name="53" sheetId="7" r:id="rId6"/>
    <sheet name="54" sheetId="8" r:id="rId7"/>
    <sheet name="58" sheetId="12" r:id="rId8"/>
    <sheet name="59" sheetId="13" r:id="rId9"/>
    <sheet name="61" sheetId="15" r:id="rId10"/>
  </sheets>
  <definedNames>
    <definedName name="chuong_phuluc_48" localSheetId="1">'48'!$D$1</definedName>
    <definedName name="chuong_phuluc_48_name" localSheetId="1">'48'!$A$2</definedName>
    <definedName name="chuong_phuluc_50" localSheetId="2">'50'!#REF!</definedName>
    <definedName name="chuong_phuluc_50_name" localSheetId="2">'50'!$A$2</definedName>
    <definedName name="chuong_phuluc_51" localSheetId="3">'51'!$D$1</definedName>
    <definedName name="chuong_phuluc_51_name" localSheetId="3">'51'!$A$2</definedName>
    <definedName name="chuong_phuluc_52" localSheetId="4">'52'!$F$1</definedName>
    <definedName name="chuong_phuluc_52_name" localSheetId="4">'52'!$A$2</definedName>
    <definedName name="chuong_phuluc_53" localSheetId="5">'53'!$K$1</definedName>
    <definedName name="chuong_phuluc_53_name" localSheetId="5">'53'!$A$2</definedName>
    <definedName name="chuong_phuluc_54" localSheetId="6">'54'!#REF!</definedName>
    <definedName name="chuong_phuluc_54_name" localSheetId="6">'54'!$A$2</definedName>
    <definedName name="chuong_phuluc_55" localSheetId="6">'54'!#REF!</definedName>
    <definedName name="chuong_phuluc_55_name" localSheetId="6">'54'!#REF!</definedName>
    <definedName name="chuong_phuluc_58" localSheetId="7">'58'!$AB$1</definedName>
    <definedName name="chuong_phuluc_58_name" localSheetId="7">'58'!$A$2</definedName>
    <definedName name="chuong_phuluc_59" localSheetId="8">'59'!$Z$1</definedName>
    <definedName name="chuong_phuluc_59_name" localSheetId="8">'59'!$A$2</definedName>
    <definedName name="_xlnm.Print_Titles" localSheetId="1">'48'!$5:$7</definedName>
    <definedName name="_xlnm.Print_Titles" localSheetId="2">'50'!$5:$7</definedName>
    <definedName name="_xlnm.Print_Titles" localSheetId="3">'51'!$5:$6</definedName>
    <definedName name="_xlnm.Print_Titles" localSheetId="4">'52'!$5:$7</definedName>
    <definedName name="_xlnm.Print_Titles" localSheetId="5">'53'!$5:$7</definedName>
    <definedName name="_xlnm.Print_Titles" localSheetId="6">'54'!$5:$8</definedName>
    <definedName name="_xlnm.Print_Titles" localSheetId="7">'58'!$5:$9</definedName>
    <definedName name="_xlnm.Print_Titles" localSheetId="9">'61'!$5:$9</definedName>
    <definedName name="tvpllink_orzgiqxtpn_27" localSheetId="3">'51'!$A$33</definedName>
    <definedName name="tvpllink_orzgiqxtpn_28" localSheetId="4">'52'!$A$47</definedName>
    <definedName name="tvpllink_orzgiqxtpn_29" localSheetId="5">'53'!$A$36</definedName>
    <definedName name="tvpllink_orzgiqxtpn_30" localSheetId="6">'54'!#REF!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8" i="1" l="1"/>
  <c r="M10" i="12" l="1"/>
  <c r="Y10" i="12" s="1"/>
  <c r="G37" i="4" l="1"/>
  <c r="G38" i="4"/>
  <c r="F20" i="7"/>
  <c r="F54" i="7"/>
  <c r="F53" i="7"/>
  <c r="F36" i="7"/>
  <c r="F35" i="7"/>
  <c r="F33" i="7"/>
  <c r="F12" i="7"/>
  <c r="F13" i="7"/>
  <c r="F14" i="7"/>
  <c r="F11" i="7"/>
  <c r="E22" i="1"/>
  <c r="E9" i="1"/>
  <c r="E10" i="1"/>
  <c r="E29" i="1"/>
  <c r="E23" i="1"/>
  <c r="F9" i="4" l="1"/>
  <c r="J11" i="13" l="1"/>
  <c r="R11" i="13" l="1"/>
  <c r="M15" i="7" l="1"/>
  <c r="F9" i="7"/>
  <c r="G21" i="1"/>
  <c r="F48" i="6"/>
  <c r="E48" i="6"/>
  <c r="D28" i="6"/>
  <c r="D10" i="6" s="1"/>
  <c r="G13" i="6" l="1"/>
  <c r="F8" i="5"/>
  <c r="E10" i="4"/>
  <c r="E9" i="4" s="1"/>
  <c r="E8" i="4" s="1"/>
  <c r="Q11" i="13" l="1"/>
  <c r="A3" i="15" l="1"/>
  <c r="A3" i="13"/>
  <c r="A3" i="12"/>
  <c r="A3" i="8"/>
  <c r="A3" i="7"/>
  <c r="A3" i="6"/>
  <c r="A3" i="5"/>
  <c r="A3" i="4"/>
  <c r="Q9" i="8" l="1"/>
  <c r="J9" i="8" s="1"/>
  <c r="K13" i="7"/>
  <c r="K14" i="7"/>
  <c r="K25" i="7"/>
  <c r="K27" i="7"/>
  <c r="I40" i="7"/>
  <c r="K40" i="7"/>
  <c r="K42" i="7"/>
  <c r="K43" i="7"/>
  <c r="K45" i="7"/>
  <c r="K46" i="7"/>
  <c r="H8" i="7"/>
  <c r="E36" i="7"/>
  <c r="C36" i="7" s="1"/>
  <c r="I36" i="7" s="1"/>
  <c r="E35" i="7"/>
  <c r="C35" i="7" s="1"/>
  <c r="I35" i="7" s="1"/>
  <c r="C49" i="7"/>
  <c r="C48" i="7"/>
  <c r="E47" i="7"/>
  <c r="C47" i="7" s="1"/>
  <c r="C46" i="7"/>
  <c r="I46" i="7" s="1"/>
  <c r="C45" i="7"/>
  <c r="I45" i="7" s="1"/>
  <c r="E44" i="7"/>
  <c r="K44" i="7" s="1"/>
  <c r="E41" i="7"/>
  <c r="C41" i="7" s="1"/>
  <c r="I41" i="7" s="1"/>
  <c r="E38" i="7"/>
  <c r="K38" i="7" s="1"/>
  <c r="D37" i="7"/>
  <c r="C25" i="7"/>
  <c r="I25" i="7" s="1"/>
  <c r="C28" i="7"/>
  <c r="C27" i="7"/>
  <c r="I27" i="7" s="1"/>
  <c r="C12" i="7"/>
  <c r="C13" i="7"/>
  <c r="I13" i="7" s="1"/>
  <c r="C14" i="7"/>
  <c r="I14" i="7" s="1"/>
  <c r="C15" i="7"/>
  <c r="C16" i="7"/>
  <c r="C17" i="7"/>
  <c r="C18" i="7"/>
  <c r="C19" i="7"/>
  <c r="C20" i="7"/>
  <c r="C21" i="7"/>
  <c r="C22" i="7"/>
  <c r="C23" i="7"/>
  <c r="C24" i="7"/>
  <c r="C26" i="7"/>
  <c r="C29" i="7"/>
  <c r="C30" i="7"/>
  <c r="C31" i="7"/>
  <c r="C32" i="7"/>
  <c r="C34" i="7"/>
  <c r="C39" i="7"/>
  <c r="C40" i="7"/>
  <c r="C42" i="7"/>
  <c r="I42" i="7" s="1"/>
  <c r="C43" i="7"/>
  <c r="I43" i="7" s="1"/>
  <c r="C53" i="7"/>
  <c r="C54" i="7"/>
  <c r="E11" i="7"/>
  <c r="E10" i="7" s="1"/>
  <c r="E9" i="7" s="1"/>
  <c r="K9" i="7" s="1"/>
  <c r="D8" i="6"/>
  <c r="E9" i="6"/>
  <c r="E13" i="6"/>
  <c r="E14" i="6"/>
  <c r="E15" i="6"/>
  <c r="E16" i="6"/>
  <c r="E17" i="6"/>
  <c r="E18" i="6"/>
  <c r="E19" i="6"/>
  <c r="E20" i="6"/>
  <c r="E21" i="6"/>
  <c r="E22" i="6"/>
  <c r="E23" i="6"/>
  <c r="E25" i="6"/>
  <c r="E26" i="6"/>
  <c r="E27" i="6"/>
  <c r="E29" i="6"/>
  <c r="E30" i="6"/>
  <c r="E31" i="6"/>
  <c r="E32" i="6"/>
  <c r="E33" i="6"/>
  <c r="E34" i="6"/>
  <c r="E35" i="6"/>
  <c r="E36" i="6"/>
  <c r="E37" i="6"/>
  <c r="E38" i="6"/>
  <c r="E39" i="6"/>
  <c r="E40" i="6"/>
  <c r="F15" i="6"/>
  <c r="F22" i="6"/>
  <c r="F24" i="6"/>
  <c r="F29" i="6"/>
  <c r="F30" i="6"/>
  <c r="F31" i="6"/>
  <c r="F32" i="6"/>
  <c r="F33" i="6"/>
  <c r="F34" i="6"/>
  <c r="F35" i="6"/>
  <c r="F36" i="6"/>
  <c r="F38" i="6"/>
  <c r="F39" i="6"/>
  <c r="F40" i="6"/>
  <c r="C21" i="1"/>
  <c r="E21" i="1" s="1"/>
  <c r="C28" i="6"/>
  <c r="E28" i="6" s="1"/>
  <c r="C38" i="7" l="1"/>
  <c r="I38" i="7" s="1"/>
  <c r="K36" i="7"/>
  <c r="F28" i="6"/>
  <c r="C10" i="7"/>
  <c r="I10" i="7" s="1"/>
  <c r="K41" i="7"/>
  <c r="K11" i="7"/>
  <c r="C11" i="7"/>
  <c r="I11" i="7" s="1"/>
  <c r="K35" i="7"/>
  <c r="K10" i="7"/>
  <c r="E37" i="7"/>
  <c r="C44" i="7"/>
  <c r="C9" i="7"/>
  <c r="C12" i="6"/>
  <c r="F29" i="1"/>
  <c r="C28" i="1"/>
  <c r="E28" i="1" s="1"/>
  <c r="C42" i="5"/>
  <c r="C39" i="5"/>
  <c r="C36" i="5"/>
  <c r="C33" i="5"/>
  <c r="C32" i="5" s="1"/>
  <c r="C11" i="6" l="1"/>
  <c r="F12" i="6"/>
  <c r="E12" i="6"/>
  <c r="C37" i="7"/>
  <c r="I37" i="7" s="1"/>
  <c r="I44" i="7"/>
  <c r="E33" i="7"/>
  <c r="K37" i="7"/>
  <c r="C31" i="5"/>
  <c r="E11" i="6" l="1"/>
  <c r="F11" i="6"/>
  <c r="C10" i="6"/>
  <c r="C8" i="6" s="1"/>
  <c r="C33" i="7"/>
  <c r="I33" i="7" s="1"/>
  <c r="K33" i="7"/>
  <c r="E8" i="7"/>
  <c r="E12" i="5"/>
  <c r="E13" i="5"/>
  <c r="E16" i="5"/>
  <c r="E19" i="5"/>
  <c r="E23" i="5"/>
  <c r="E25" i="5"/>
  <c r="E29" i="5"/>
  <c r="E31" i="5"/>
  <c r="E32" i="5"/>
  <c r="E33" i="5"/>
  <c r="E34" i="5"/>
  <c r="E35" i="5"/>
  <c r="E36" i="5"/>
  <c r="E38" i="5"/>
  <c r="E39" i="5"/>
  <c r="E40" i="5"/>
  <c r="E41" i="5"/>
  <c r="C10" i="5"/>
  <c r="E10" i="5" s="1"/>
  <c r="F10" i="6" l="1"/>
  <c r="E10" i="6"/>
  <c r="K8" i="7"/>
  <c r="C8" i="7"/>
  <c r="C9" i="5"/>
  <c r="G20" i="4"/>
  <c r="G27" i="4"/>
  <c r="G29" i="4"/>
  <c r="G30" i="4"/>
  <c r="G32" i="4"/>
  <c r="G33" i="4"/>
  <c r="G34" i="4"/>
  <c r="C9" i="4"/>
  <c r="G9" i="4" s="1"/>
  <c r="D9" i="4"/>
  <c r="D8" i="4" s="1"/>
  <c r="C8" i="4" l="1"/>
  <c r="G8" i="4" s="1"/>
  <c r="F8" i="6"/>
  <c r="E8" i="6"/>
  <c r="E9" i="5"/>
  <c r="C8" i="5"/>
  <c r="C7" i="5" s="1"/>
  <c r="E8" i="5" l="1"/>
  <c r="F7" i="5" l="1"/>
  <c r="D20" i="1" l="1"/>
  <c r="X11" i="13" l="1"/>
  <c r="I11" i="13"/>
  <c r="G11" i="13" s="1"/>
  <c r="E11" i="13" s="1"/>
  <c r="O11" i="13"/>
  <c r="M11" i="13" s="1"/>
  <c r="E17" i="1" l="1"/>
  <c r="D12" i="1"/>
  <c r="D8" i="1" s="1"/>
  <c r="E15" i="1"/>
  <c r="E13" i="1"/>
  <c r="F13" i="1" l="1"/>
  <c r="F15" i="1"/>
  <c r="F17" i="1"/>
  <c r="F18" i="1"/>
  <c r="F21" i="1"/>
  <c r="F22" i="1"/>
  <c r="F23" i="1"/>
  <c r="C12" i="1" l="1"/>
  <c r="E12" i="1" l="1"/>
  <c r="F12" i="1"/>
  <c r="C8" i="1"/>
  <c r="F8" i="7"/>
  <c r="I8" i="7" s="1"/>
  <c r="I9" i="7"/>
  <c r="D7" i="5"/>
  <c r="F6" i="5" s="1"/>
  <c r="F8" i="1" l="1"/>
  <c r="E8" i="1"/>
  <c r="E7" i="5"/>
  <c r="D44" i="1"/>
  <c r="N14" i="15" l="1"/>
  <c r="K14" i="15"/>
  <c r="N13" i="15"/>
  <c r="I13" i="15" s="1"/>
  <c r="K13" i="15"/>
  <c r="H13" i="15" s="1"/>
  <c r="G13" i="15" s="1"/>
  <c r="J13" i="15"/>
  <c r="C13" i="15"/>
  <c r="N12" i="15"/>
  <c r="I12" i="15" s="1"/>
  <c r="K12" i="15"/>
  <c r="J12" i="15" s="1"/>
  <c r="C12" i="15"/>
  <c r="N11" i="15"/>
  <c r="K11" i="15"/>
  <c r="K10" i="15" s="1"/>
  <c r="C11" i="15"/>
  <c r="P10" i="15"/>
  <c r="O10" i="15"/>
  <c r="M10" i="15"/>
  <c r="L10" i="15"/>
  <c r="F10" i="15"/>
  <c r="E10" i="15"/>
  <c r="D10" i="15"/>
  <c r="Z11" i="13"/>
  <c r="Y11" i="13"/>
  <c r="T11" i="13"/>
  <c r="K11" i="13"/>
  <c r="W11" i="13"/>
  <c r="R10" i="13"/>
  <c r="Q10" i="13"/>
  <c r="P10" i="13"/>
  <c r="O10" i="13"/>
  <c r="N10" i="13"/>
  <c r="M10" i="13"/>
  <c r="L10" i="13"/>
  <c r="J10" i="13"/>
  <c r="I10" i="13"/>
  <c r="H10" i="13"/>
  <c r="F10" i="13"/>
  <c r="D10" i="13"/>
  <c r="C10" i="15" l="1"/>
  <c r="H11" i="15"/>
  <c r="J11" i="15"/>
  <c r="H12" i="15"/>
  <c r="G12" i="15" s="1"/>
  <c r="T10" i="13"/>
  <c r="J14" i="15"/>
  <c r="H10" i="15"/>
  <c r="J10" i="15"/>
  <c r="N10" i="15"/>
  <c r="I11" i="15"/>
  <c r="Z10" i="13"/>
  <c r="K10" i="13"/>
  <c r="U11" i="13"/>
  <c r="X10" i="13"/>
  <c r="Y10" i="13"/>
  <c r="C11" i="13"/>
  <c r="S11" i="13" s="1"/>
  <c r="G10" i="13"/>
  <c r="I10" i="15" l="1"/>
  <c r="G11" i="15"/>
  <c r="G10" i="15" s="1"/>
  <c r="W10" i="13"/>
  <c r="E10" i="13"/>
  <c r="C10" i="13" s="1"/>
  <c r="U10" i="13" l="1"/>
  <c r="S10" i="13"/>
  <c r="F28" i="1" l="1"/>
  <c r="C20" i="1" l="1"/>
  <c r="F20" i="1" l="1"/>
  <c r="E20" i="1"/>
  <c r="G8" i="6"/>
  <c r="G22" i="1"/>
</calcChain>
</file>

<file path=xl/sharedStrings.xml><?xml version="1.0" encoding="utf-8"?>
<sst xmlns="http://schemas.openxmlformats.org/spreadsheetml/2006/main" count="2027" uniqueCount="525">
  <si>
    <t>Đơn vị: Triệu đồng</t>
  </si>
  <si>
    <t>STT</t>
  </si>
  <si>
    <t>Nội dung (1)</t>
  </si>
  <si>
    <t>Dự toán</t>
  </si>
  <si>
    <t>Quyết toán</t>
  </si>
  <si>
    <t>A</t>
  </si>
  <si>
    <t>B</t>
  </si>
  <si>
    <t>TỔNG NGUỒN THU NSĐP</t>
  </si>
  <si>
    <t>I</t>
  </si>
  <si>
    <t>Thu NSĐP được hưởng theo phân cấp</t>
  </si>
  <si>
    <t>-</t>
  </si>
  <si>
    <t>Thu NSĐP hưởng từ các khoản thu phân chia</t>
  </si>
  <si>
    <t>II</t>
  </si>
  <si>
    <t>Thu bổ sung cân đối ngân sách</t>
  </si>
  <si>
    <t>Thu bổ sung có mục tiêu</t>
  </si>
  <si>
    <t>III</t>
  </si>
  <si>
    <t>IV</t>
  </si>
  <si>
    <t>Thu kết dư</t>
  </si>
  <si>
    <t>V</t>
  </si>
  <si>
    <t>Thu chuyển nguồn từ năm trước chuyển sang</t>
  </si>
  <si>
    <t>TỔNG CHI NSĐP</t>
  </si>
  <si>
    <t>Chi đầu tư phát triển</t>
  </si>
  <si>
    <t>Chi thường xuyên</t>
  </si>
  <si>
    <t>Chi trả nợ lãi các khoản do chính quyền địa phương vay</t>
  </si>
  <si>
    <t>Chi bổ sung quỹ dự trữ tài chính</t>
  </si>
  <si>
    <t>Dự phòng ngân sách</t>
  </si>
  <si>
    <t>Chi tạo nguồn, điều chỉnh tiền lương</t>
  </si>
  <si>
    <t>Chi các chương trình mục tiêu</t>
  </si>
  <si>
    <t>Chi các chương trình mục tiêu quốc gia</t>
  </si>
  <si>
    <t>Chi các chương trình mục tiêu, nhiệm vụ</t>
  </si>
  <si>
    <t>C</t>
  </si>
  <si>
    <t>BỘI CHI NSĐP/BỘI THU NSĐP/KẾT DƯ NSĐP</t>
  </si>
  <si>
    <t>D</t>
  </si>
  <si>
    <t>CHI TRẢ NỢ GỐC CỦA NSĐP</t>
  </si>
  <si>
    <t>Từ nguồn vay để trả nợ gốc</t>
  </si>
  <si>
    <t>Từ nguồn bội thu, tăng thu, tiết kiệm chi, kết dư ngân sách cấp tỉnh</t>
  </si>
  <si>
    <t>E</t>
  </si>
  <si>
    <t>TỔNG MỨC VAY CỦA NSĐP</t>
  </si>
  <si>
    <t>Vay để bù đắp bội chi</t>
  </si>
  <si>
    <t>Vay để trả nợ gốc</t>
  </si>
  <si>
    <t>G</t>
  </si>
  <si>
    <t>TỔNG MỨC DƯ NỢ VAY CUỐI NĂM CỦA NSĐP</t>
  </si>
  <si>
    <t>Nội dung</t>
  </si>
  <si>
    <t>So sánh (%)</t>
  </si>
  <si>
    <t>Thu bổ sung từ ngân sách cấp trên</t>
  </si>
  <si>
    <t>Bổ sung cân đối ngân sách</t>
  </si>
  <si>
    <t>Bổ sung có mục tiêu</t>
  </si>
  <si>
    <t>TỔNG THU CÂN ĐỐI NSNN</t>
  </si>
  <si>
    <t>Thuế thu nhập cá nhân</t>
  </si>
  <si>
    <t>Thuế bảo vệ môi trường</t>
  </si>
  <si>
    <t>Lệ phí trước bạ</t>
  </si>
  <si>
    <t>Thuế sử dụng đất nông nghiệp</t>
  </si>
  <si>
    <t>Thuế sử dụng đất phi nông nghiệp</t>
  </si>
  <si>
    <t>Tiền cho thuê đất, thuê mặt nước</t>
  </si>
  <si>
    <t>Thu từ hoạt động xổ số kiến thiết</t>
  </si>
  <si>
    <t>Thu khác ngân sách</t>
  </si>
  <si>
    <t>Thuế xuất khẩu</t>
  </si>
  <si>
    <t>Thuế nhập khẩu</t>
  </si>
  <si>
    <t>Thu khác</t>
  </si>
  <si>
    <t>THU CHUYỂN NGUỒN TỪ NĂM TRƯỚC CHUYỂN SANG</t>
  </si>
  <si>
    <t>3=2/1</t>
  </si>
  <si>
    <t>TỔNG CHI NGÂN SÁCH ĐỊA PHƯƠNG</t>
  </si>
  <si>
    <t>Trong đó: Chia theo lĩnh vực</t>
  </si>
  <si>
    <t>Chi giáo dục - đào tạo và dạy nghề</t>
  </si>
  <si>
    <t>Trong đó: Chia theo nguồn vốn</t>
  </si>
  <si>
    <t>Chi đầu tư từ nguồn thu tiền sử dụng đất</t>
  </si>
  <si>
    <t>Chi đầu tư từ nguồn thu xổ số kiến thiết</t>
  </si>
  <si>
    <t>Chi đầu tư và hỗ trợ vốn cho các doanh nghiệp cung cấp sản phẩm, dịch vụ công ích do Nhà nước đặt hàng, các tổ chức kinh tế, các tổ chức tài chính của địa phương theo quy định của pháp luật</t>
  </si>
  <si>
    <t>Chi đầu tư phát triển khác</t>
  </si>
  <si>
    <t>Trong đó:</t>
  </si>
  <si>
    <t>Chi khoa học và công nghệ</t>
  </si>
  <si>
    <t>VI</t>
  </si>
  <si>
    <t>CHI CÁC CHƯƠNG TRÌNH MỤC TIÊU</t>
  </si>
  <si>
    <t>CHI CHUYỂN NGUỒN SANG NĂM SAU</t>
  </si>
  <si>
    <t>Chi đầu tư cho các dự án</t>
  </si>
  <si>
    <t>Chi quốc phòng</t>
  </si>
  <si>
    <t>Chi y tế, dân số và gia đình</t>
  </si>
  <si>
    <t>Chi phát thanh, truyền hình, thông tấn</t>
  </si>
  <si>
    <t>Chi thể dục thể thao</t>
  </si>
  <si>
    <t>Chi bảo vệ môi trường</t>
  </si>
  <si>
    <t>Chi các hoạt động kinh tế</t>
  </si>
  <si>
    <t>Chi bảo đảm xã hội</t>
  </si>
  <si>
    <t>Bao gồm</t>
  </si>
  <si>
    <t>Ngân sách địa phương</t>
  </si>
  <si>
    <t>1=2+3</t>
  </si>
  <si>
    <t>4=5+6</t>
  </si>
  <si>
    <t>7=4/1</t>
  </si>
  <si>
    <t>8=5/2</t>
  </si>
  <si>
    <t>9=6/3</t>
  </si>
  <si>
    <t>CHI CÂN ĐỐI NSĐP</t>
  </si>
  <si>
    <t>Tên đơn vị</t>
  </si>
  <si>
    <t>Tổng số</t>
  </si>
  <si>
    <t>…</t>
  </si>
  <si>
    <t>TỔNG SỐ</t>
  </si>
  <si>
    <t>VII</t>
  </si>
  <si>
    <t>Trong đó</t>
  </si>
  <si>
    <t>Tên đơn vị (1)</t>
  </si>
  <si>
    <t>Chi CTMTQG</t>
  </si>
  <si>
    <t>Xã Quang Sơn</t>
  </si>
  <si>
    <t>So sách (%)</t>
  </si>
  <si>
    <t>Gồm</t>
  </si>
  <si>
    <t>Vốn đầu tư để thực hiện các CTMT, nhiệm vụ</t>
  </si>
  <si>
    <t>Vốn sự nghiệp thực hiện các chế độ, chính sách</t>
  </si>
  <si>
    <t>Vốn thực hiện các CTMT quốc gia</t>
  </si>
  <si>
    <t>Vốn ngoài nước</t>
  </si>
  <si>
    <t>Vốn trong nước</t>
  </si>
  <si>
    <t>3=4+5</t>
  </si>
  <si>
    <t>11=12+13</t>
  </si>
  <si>
    <t>17=9/1</t>
  </si>
  <si>
    <t>18=10/2</t>
  </si>
  <si>
    <t>19=11/3</t>
  </si>
  <si>
    <t>20=12/4</t>
  </si>
  <si>
    <t>21=13/5</t>
  </si>
  <si>
    <t>22=14/6</t>
  </si>
  <si>
    <t>23=15/7</t>
  </si>
  <si>
    <t>24=16/8</t>
  </si>
  <si>
    <t>Đầu tư phát triển</t>
  </si>
  <si>
    <t>Kinh phí sự nghiệp</t>
  </si>
  <si>
    <t>5=6+7</t>
  </si>
  <si>
    <t>8=9+12</t>
  </si>
  <si>
    <t>9=10+11</t>
  </si>
  <si>
    <t>12=13+14</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</si>
  <si>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</si>
  <si>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</si>
  <si>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</si>
  <si>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</si>
  <si>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</si>
  <si>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</si>
  <si>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</si>
  <si>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</si>
  <si>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</si>
  <si>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</si>
  <si>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</si>
  <si>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</si>
  <si>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</si>
  <si>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</si>
  <si>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</si>
  <si>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</si>
  <si>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</si>
  <si>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</si>
  <si>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</si>
  <si>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</si>
  <si>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</si>
  <si>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</si>
  <si>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</si>
  <si>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</si>
  <si>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</si>
  <si>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</si>
  <si>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</si>
  <si>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</si>
  <si>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
  </si>
  <si>
    <t>Chi nộp ngân sách cấp trên</t>
  </si>
  <si>
    <t>Các khoản huy động, đóng góp</t>
  </si>
  <si>
    <t>NỘI DUNG</t>
  </si>
  <si>
    <t>Thuế thu nhập doanh nghiệp</t>
  </si>
  <si>
    <t>Thuế tài nguyên</t>
  </si>
  <si>
    <t>Thu từ khu vực DNNN do địa phương quản lý</t>
  </si>
  <si>
    <t>Thu từ khu vực doanh nghiệp có vốn đầu tư nước ngoài</t>
  </si>
  <si>
    <t>Thu từ khu vực kinh tế ngoài quốc doanh</t>
  </si>
  <si>
    <t>Lợi nhuận được chia của Nhà nước và lợi nhuận sau thuế còn lại sau khi trích lập các quỹ của doanh nghiệp nhà nước</t>
  </si>
  <si>
    <t>3=2-1</t>
  </si>
  <si>
    <t>4=2/1</t>
  </si>
  <si>
    <t>8030117 - Xây dựng cổng, sân, tường rào và các công trình phụ trợ khác nhà văn hóa xóm Đồng Mẫu xã Tân Long</t>
  </si>
  <si>
    <t>8030118 - Xây dựng cổng, sân, tường rào và các công trình phụ trợ khác nhà văn hóa xóm Ba Đình xã Tân Long</t>
  </si>
  <si>
    <t>F</t>
  </si>
  <si>
    <t>8027527 - Xây dựng tường rào, kè chắn đất UBND xã Tân Long</t>
  </si>
  <si>
    <t>H</t>
  </si>
  <si>
    <t>Chi khoa học
và công nghệ</t>
  </si>
  <si>
    <t>Tổng</t>
  </si>
  <si>
    <t>100%</t>
  </si>
  <si>
    <t>99.58%</t>
  </si>
  <si>
    <t>99.65%</t>
  </si>
  <si>
    <t>99.52%</t>
  </si>
  <si>
    <t xml:space="preserve"> Trường tiểu học Tân Long huyện Đồng Hỷ(1006509)</t>
  </si>
  <si>
    <t>99.71%</t>
  </si>
  <si>
    <t xml:space="preserve"> Trường tiểu học Quang Sơn(1006609)</t>
  </si>
  <si>
    <t xml:space="preserve"> Trường TH cơ sở Quang Sơn(1038541)</t>
  </si>
  <si>
    <t xml:space="preserve"> Trường tiểu học Sa Lung(1062126)</t>
  </si>
  <si>
    <t>98.9%</t>
  </si>
  <si>
    <t xml:space="preserve"> Trường Phổ thông DTBT THCS Tân Long, huyện Đồng Hỷ(1072554)</t>
  </si>
  <si>
    <t xml:space="preserve"> Trường mầm non Tân Long huyện Đồng Hỷ(1103187)</t>
  </si>
  <si>
    <t xml:space="preserve"> Trường mầm non Quang Sơn huyện Đồng Hỷ(1112974)</t>
  </si>
  <si>
    <t xml:space="preserve"> UBND Xã Tân Long(1004603)</t>
  </si>
  <si>
    <t>98.85%</t>
  </si>
  <si>
    <t>99.9%</t>
  </si>
  <si>
    <t>Thuế giá trị gia tăng</t>
  </si>
  <si>
    <t>Thuế tiêu thụ đặc biệt</t>
  </si>
  <si>
    <t>Thuế môn bài</t>
  </si>
  <si>
    <t>Trong đó Dự toán</t>
  </si>
  <si>
    <t>Trong đó Quyết toán</t>
  </si>
  <si>
    <t>Chi nộp trả</t>
  </si>
  <si>
    <t>Chi
chuyển
nguồn
sang năm
sau</t>
  </si>
  <si>
    <t>So sánh</t>
  </si>
  <si>
    <t>Tổng số
Dự toán</t>
  </si>
  <si>
    <t>Tổng số
Quyết toán</t>
  </si>
  <si>
    <t>Tổng
số</t>
  </si>
  <si>
    <t>Chi
đầu tư
phát triển</t>
  </si>
  <si>
    <t>Chi
thường
xuyên</t>
  </si>
  <si>
    <t>Chi
CTMTQG</t>
  </si>
  <si>
    <t>Chi giáo dục
đào tạo
dạy nghề</t>
  </si>
  <si>
    <t>Chi đầu tư
phát triển</t>
  </si>
  <si>
    <t xml:space="preserve">Chi
thường xuyên </t>
  </si>
  <si>
    <t>Chi
thường xuyên</t>
  </si>
  <si>
    <t>23=11/1</t>
  </si>
  <si>
    <t>24=12/2</t>
  </si>
  <si>
    <t>25=15/5</t>
  </si>
  <si>
    <t>26=18/8</t>
  </si>
  <si>
    <t>Tổng cộng
Dự toán</t>
  </si>
  <si>
    <t>Chi ĐT phát triển
(không kể CTMTQG)</t>
  </si>
  <si>
    <t>Chi TX
(không kể CTMTQG)</t>
  </si>
  <si>
    <t>Tổng chi</t>
  </si>
  <si>
    <t>Chi chuyển
nguồn</t>
  </si>
  <si>
    <t>Hủy dự toán
về NS huyện</t>
  </si>
  <si>
    <t>Nộp trả NS
cấp trên</t>
  </si>
  <si>
    <t>Chi ĐT</t>
  </si>
  <si>
    <t>Chi TX</t>
  </si>
  <si>
    <t>Chi
CTMT-QG</t>
  </si>
  <si>
    <t>Chi ĐT
phát triển</t>
  </si>
  <si>
    <t>Các cơ quan tổ chức</t>
  </si>
  <si>
    <t>97.72%</t>
  </si>
  <si>
    <t>99.99%</t>
  </si>
  <si>
    <t>Bổ sung có mục tiêu cho ngân sách cấp dưới</t>
  </si>
  <si>
    <t>Chi nộp trả ngân sách cấp trên</t>
  </si>
  <si>
    <t>Chi chuyển nguồn ngân sách năm sau</t>
  </si>
  <si>
    <t>8101575 - Cải tạo, sửa chữa nền nhà lớp học 2 tầng 8 phòng học và xây mới nhà đa năng trường THCS Quang Sơn</t>
  </si>
  <si>
    <t>Chương trình mục tiêu quốc gia 2025</t>
  </si>
  <si>
    <t>1155323 - Phòng Kinh tế xã Quang Sơn</t>
  </si>
  <si>
    <t>1157742 - Phòng Văn hoá- xã hội xã Quang Sơn</t>
  </si>
  <si>
    <t>1164995 - Trung tâm Dịch vụ tổng hợp xã Quang Sơn</t>
  </si>
  <si>
    <t>97.78%</t>
  </si>
  <si>
    <t>97.77%</t>
  </si>
  <si>
    <t>97.03%</t>
  </si>
  <si>
    <t>1006509 - Trường tiểu học Tân Long huyện Đồng Hỷ</t>
  </si>
  <si>
    <t>1006609 - Trường tiểu học Quang Sơn</t>
  </si>
  <si>
    <t>99.97%</t>
  </si>
  <si>
    <t>1038541 - Trường TH cơ sở Quang Sơn</t>
  </si>
  <si>
    <t>99.96%</t>
  </si>
  <si>
    <t>1062126 - Trường tiểu học Sa Lung</t>
  </si>
  <si>
    <t>99.98%</t>
  </si>
  <si>
    <t>1072554 - Trường Phổ thông DTBT THCS Tân Long, huyện Đồng Hỷ</t>
  </si>
  <si>
    <t>1103187 - Trường mầm non Tân Long huyện Đồng Hỷ</t>
  </si>
  <si>
    <t>99.94%</t>
  </si>
  <si>
    <t>1112974 - Trường mầm non Quang Sơn huyện Đồng Hỷ</t>
  </si>
  <si>
    <t>99.88%</t>
  </si>
  <si>
    <t>90.77%</t>
  </si>
  <si>
    <t>92.15%</t>
  </si>
  <si>
    <t>61.83%</t>
  </si>
  <si>
    <t>1155512 - Uỷ ban Mặt trận Tổ quốc Việt Nam xã Quang Sơn</t>
  </si>
  <si>
    <t>1157740 - Trung tâm phục vụ hành chính công xã Quang Sơn</t>
  </si>
  <si>
    <t>99.86%</t>
  </si>
  <si>
    <t>1157741 - Văn phòng Đảng uỷ xã Quang Sơn</t>
  </si>
  <si>
    <t>82.84%</t>
  </si>
  <si>
    <t>77.72%</t>
  </si>
  <si>
    <t>95.69%</t>
  </si>
  <si>
    <t>1157743 - Văn phòng HĐND và UBND xã Quang Sơn</t>
  </si>
  <si>
    <t>99.32%</t>
  </si>
  <si>
    <t>89.74%</t>
  </si>
  <si>
    <t>87.08%</t>
  </si>
  <si>
    <t>91.16%</t>
  </si>
  <si>
    <t>2805674 - Mã tổ chức ngân sách Xã Quang Sơn</t>
  </si>
  <si>
    <t>8027524 - Xây dựng cổng, sân, tường rào và các công trình phụ trợ khác nhà văn hóa xóm Đồng Luông xã Tân Long</t>
  </si>
  <si>
    <t>8027525 - Xây dựng cổng, sân, tường rào và các công trình phụ trợ khác nhà văn hóa xóm Làng Giếng xã Tân Long</t>
  </si>
  <si>
    <t>8027526 - Xây dựng nhà văn hóa xóm Làng Giếng xã Tân Long</t>
  </si>
  <si>
    <t>8029097 - Xây dựng tường rào, sân, rãnh thoát nước và các công trình phụ trợ khác nhà văn hóa xóm Lân Quan xã Tân Long</t>
  </si>
  <si>
    <t>8029098 - Xây dựng cổng, sân, tường rào và các công trình phụ trợ khác nhà văn hóa xóm Hồng Phong xã Tân Long</t>
  </si>
  <si>
    <t>8029099 - Xây dựng cổng, sân, tường rào và các công trình phụ trợ khác nhà văn hóa xóm Mỏ Ba xã Tân Long</t>
  </si>
  <si>
    <t>8029100 - Xây dựng cổng, sân, tường rào và các công trình phụ trợ khác nhà văn hóa xóm Đồng Mây xã Tân Long</t>
  </si>
  <si>
    <t>8029489 - Nhà lớp học 2 tầng 6 phòng và các công trình phụ trợ trường tiểu học Sa Lung - Điểm trường Lân Quan</t>
  </si>
  <si>
    <t>8029925 - Nâng cấp sân trung tâm văn hóa thể thao xã Tân Long giai đoạn 2; Hạng mục: Mặt sân, đèn chiếu sáng, rãnh tiêu, thoát nước</t>
  </si>
  <si>
    <t>8029926 - Sửa chữa kênh mương xóm Đồng Luông xã Tân Long</t>
  </si>
  <si>
    <t>8030115 - Xây dựng tường rào trường Tiểu học Sa Lung khu trung tâm xã Tân Long</t>
  </si>
  <si>
    <t>29</t>
  </si>
  <si>
    <t>30</t>
  </si>
  <si>
    <t>8064659 - Xây dựng kè đá đoạn cổng trường Tiểu học Sa Lung, xã Tân Long</t>
  </si>
  <si>
    <t>31</t>
  </si>
  <si>
    <t>8086745 - Xây dựng nhà văn hoá xóm Lân Đăm, xã Quang Sơn</t>
  </si>
  <si>
    <t>32</t>
  </si>
  <si>
    <t>8088267 - Nâng cấp, cải tạo đường bê tông xóm Lân Đăm xã Quang Sơn (Giai đoạn 3)</t>
  </si>
  <si>
    <t>33</t>
  </si>
  <si>
    <t>8089669 - Cải tạo, nâng cấp kênh mương Min xóm Làng Mới xã Tân Long</t>
  </si>
  <si>
    <t>34</t>
  </si>
  <si>
    <t>8089670 - Cải tạo, nâng cấp kênh mương Đồng Sim xóm Ba Đình xã Tân Long</t>
  </si>
  <si>
    <t>35</t>
  </si>
  <si>
    <t>36</t>
  </si>
  <si>
    <t>8102456 - Cải tạo mở rộng mặt đường bê tông tuyến đường liên xóm Đồng Tâm-Xuân Quang, xã Quang Sơn</t>
  </si>
  <si>
    <t>37</t>
  </si>
  <si>
    <t>8103446 - Xây dựng nhà lớp học 2 tầng 8 phòng học Trường Mầm non Tân Long - Điểm Đồng Mây</t>
  </si>
  <si>
    <t>38</t>
  </si>
  <si>
    <t>8104228 - Xây dựng nhà hiệu bộ, phòng chức năng, bếp ăn một chiều và các công trình phụ trợ trường Mầm non Tân Long – Điểm trường trung tâm</t>
  </si>
  <si>
    <t>39</t>
  </si>
  <si>
    <t>8107144 - Đường bê tông xóm Làng Giếng, Hồng Phong xã Tân Long</t>
  </si>
  <si>
    <t>40</t>
  </si>
  <si>
    <t>8107145 - Đường bê tông xóm Đồng Luông xã Tân Long</t>
  </si>
  <si>
    <t>41</t>
  </si>
  <si>
    <t>8107146 - Đường bê tông xóm Đồng Mây xã Tân Long</t>
  </si>
  <si>
    <t>42</t>
  </si>
  <si>
    <t>8107147 - Đường bê tông xóm Ba Đình xã Tân Long</t>
  </si>
  <si>
    <t>43</t>
  </si>
  <si>
    <t>8107148 - Đường bê tông xóm Mỏ Ba xã Tân Long</t>
  </si>
  <si>
    <t>44</t>
  </si>
  <si>
    <t>8110155 - Điều chỉnh quy hoạch chung xây dựng xã Tân Long, huyện Đồng Hỷ giai đoạn 2023-2033</t>
  </si>
  <si>
    <t>45</t>
  </si>
  <si>
    <t>8132776 - Khắc phục hư hỏng đường giao thông phía sau trường tiểu học Sa Lung xã Tân Long</t>
  </si>
  <si>
    <t>46</t>
  </si>
  <si>
    <t>8142978 - Cải tạo, sửa chữa sân và công trình phụ trợ trạm y tế xã Quang Sơn</t>
  </si>
  <si>
    <t>47</t>
  </si>
  <si>
    <t>8142979 - Cải tạo, sửa chữa phòng học, bếp ăn bán trú và xây mới nhà vệ sinh điểm trường Mầm non Đồng Tâm, xã Quang Sơn</t>
  </si>
  <si>
    <t>48</t>
  </si>
  <si>
    <t>8143574 - Nâng cấp cải tạo vỉa hè tuyến đường trục xã đoạn từ Quốc lộ 1B đến trường THPT Trần Quốc Tuấn.</t>
  </si>
  <si>
    <t>49</t>
  </si>
  <si>
    <t>8146380 - Xây dựng mương thoát nước thải sinh hoạt xóm Trung Sơn, xã Quang Sơn.</t>
  </si>
  <si>
    <t>50</t>
  </si>
  <si>
    <t>8147396 - Cải tạo sửa chữa bếp ăn bán trú và mở rộng sân điểm trường mầm non Lân Đăm, xã Quang Sơn</t>
  </si>
  <si>
    <t>99.42%</t>
  </si>
  <si>
    <t>51</t>
  </si>
  <si>
    <t>8147397 - Cải tạo sửa chữa sân, nhà vệ sinh trường tiểu học Quang Sơn</t>
  </si>
  <si>
    <t>52</t>
  </si>
  <si>
    <t>8148086 - Xây dựng đường bê tông xóm Thống Nhất, xã Quang Sơn</t>
  </si>
  <si>
    <t>53</t>
  </si>
  <si>
    <t>8148087 - Xây dựng đường bê tông xóm La Giang, xã Quang Sơn</t>
  </si>
  <si>
    <t>54</t>
  </si>
  <si>
    <t>8148088 - Xây dựng đường bê tông xóm Đồng Tâm, xã Quang Sơn</t>
  </si>
  <si>
    <t>55</t>
  </si>
  <si>
    <t>8148096 - Xây dựng đường bê tông xóm Đồng Thu, xã Quang Sơn</t>
  </si>
  <si>
    <t>56</t>
  </si>
  <si>
    <t>8148098 - Xây dựng sân và công trình phụ trợ khu thể thao xóm Lân Đăm, xã Quang Sơn</t>
  </si>
  <si>
    <t>57</t>
  </si>
  <si>
    <t>8157626 - Cải tạo, nâng cấp kênh mương Nước Lạnh xóm Làng Mới xã Tân Long</t>
  </si>
  <si>
    <t>58</t>
  </si>
  <si>
    <t>8157627 - Xây dựng kênh mương Đồng Thượng xóm Hồng Phong xã Tân Long</t>
  </si>
  <si>
    <t>59</t>
  </si>
  <si>
    <t>8157628 - Cải tạo, nâng cấp kênh mương Min xóm Làng Mới xã Tân Long (giai đoạn 2)</t>
  </si>
  <si>
    <t>94.59%</t>
  </si>
  <si>
    <t>60</t>
  </si>
  <si>
    <t>8162885 - Cải tạo sửa chữa nhà 2 tầng 8 phòng trường tiểu học Sa Lung, xã Tân Long</t>
  </si>
  <si>
    <t>97.47%</t>
  </si>
  <si>
    <t>61</t>
  </si>
  <si>
    <t>99.41%</t>
  </si>
  <si>
    <t>62</t>
  </si>
  <si>
    <t>63</t>
  </si>
  <si>
    <t>64</t>
  </si>
  <si>
    <t>65</t>
  </si>
  <si>
    <t>8163228 - Cải tạo, mở rộng đường bê tông xóm Làng Mới, xã Quang Sơn</t>
  </si>
  <si>
    <t>8164614 - Đường bê tông xóm Hồng Phong, Làng Giếng xã Tân Long</t>
  </si>
  <si>
    <t>8164615 - Đường bê tông xóm Đồng Mây, xã Tân Long</t>
  </si>
  <si>
    <t>8164848 - Xây dựng đường bê tông xóm Làng Mới, xã Quang Sơn</t>
  </si>
  <si>
    <t>8172868 - Hỗ trợ làm mới nhà ở trên địa bàn xã Quang Sơn theo Quyết định số 1719/QĐ-TTg ngày 14/10/2021 của Thủ tướng Chính phủ</t>
  </si>
  <si>
    <t xml:space="preserve"> Phòng Kinh tế xã Quang Sơn(1155323)</t>
  </si>
  <si>
    <t xml:space="preserve"> Uỷ ban Mặt trận Tổ quốc Việt Nam xã Quang Sơn(1155512)</t>
  </si>
  <si>
    <t xml:space="preserve"> Trung tâm phục vụ hành chính công xã Quang Sơn(1157740)</t>
  </si>
  <si>
    <t xml:space="preserve"> Văn phòng Đảng uỷ xã Quang Sơn(1157741)</t>
  </si>
  <si>
    <t xml:space="preserve"> Phòng Văn hoá- xã hội xã Quang Sơn(1157742)</t>
  </si>
  <si>
    <t xml:space="preserve"> Văn phòng HĐND và UBND xã Quang Sơn(1157743)</t>
  </si>
  <si>
    <t xml:space="preserve"> Trung tâm Dịch vụ tổng hợp xã Quang Sơn(1164995)</t>
  </si>
  <si>
    <t xml:space="preserve"> Xây dựng cổng, sân, tường rào và các công trình phụ trợ khác nhà văn hóa xóm Đồng Luông xã Tân Long(8027524)</t>
  </si>
  <si>
    <t xml:space="preserve"> Xây dựng cổng, sân, tường rào và các công trình phụ trợ khác nhà văn hóa xóm Làng Giếng xã Tân Long(8027525)</t>
  </si>
  <si>
    <t xml:space="preserve"> Xây dựng nhà văn hóa xóm Làng Giếng xã Tân Long(8027526)</t>
  </si>
  <si>
    <t xml:space="preserve"> Xây dựng tường rào, kè chắn đất UBND xã Tân Long(8027527)</t>
  </si>
  <si>
    <t xml:space="preserve"> Xây dựng tường rào, sân, rãnh thoát nước và các công trình phụ trợ khác nhà văn hóa xóm Lân Quan xã Tân Long(8029097)</t>
  </si>
  <si>
    <t xml:space="preserve"> Xây dựng cổng, sân, tường rào và các công trình phụ trợ khác nhà văn hóa xóm Hồng Phong xã Tân Long(8029098)</t>
  </si>
  <si>
    <t xml:space="preserve"> Xây dựng cổng, sân, tường rào và các công trình phụ trợ khác nhà văn hóa xóm Mỏ Ba xã Tân Long(8029099)</t>
  </si>
  <si>
    <t xml:space="preserve"> Xây dựng cổng, sân, tường rào và các công trình phụ trợ khác nhà văn hóa xóm Đồng Mây xã Tân Long(8029100)</t>
  </si>
  <si>
    <t xml:space="preserve"> Nhà lớp học 2 tầng 6 phòng và các công trình phụ trợ trường tiểu học Sa Lung - Điểm trường Lân Quan(8029489)</t>
  </si>
  <si>
    <t xml:space="preserve"> Nâng cấp sân trung tâm văn hóa thể thao xã Tân Long giai đoạn 2; Hạng mục: Mặt sân, đèn chiếu sáng, rãnh tiêu, thoát nước(8029925)</t>
  </si>
  <si>
    <t xml:space="preserve"> Sửa chữa kênh mương xóm Đồng Luông xã Tân Long(8029926)</t>
  </si>
  <si>
    <t xml:space="preserve"> Xây dựng tường rào trường Tiểu học Sa Lung khu trung tâm xã Tân Long(8030115)</t>
  </si>
  <si>
    <t xml:space="preserve"> Xây dựng cổng, sân, tường rào và các công trình phụ trợ khác nhà văn hóa xóm Đồng Mẫu xã Tân Long(8030117)</t>
  </si>
  <si>
    <t xml:space="preserve"> Xây dựng cổng, sân, tường rào và các công trình phụ trợ khác nhà văn hóa xóm Ba Đình xã Tân Long(8030118)</t>
  </si>
  <si>
    <t xml:space="preserve"> Xây dựng kè đá đoạn cổng trường Tiểu học Sa Lung, xã Tân Long(8064659)</t>
  </si>
  <si>
    <t xml:space="preserve"> Xây dựng nhà văn hoá xóm Lân Đăm, xã Quang Sơn(8086745)</t>
  </si>
  <si>
    <t xml:space="preserve"> Nâng cấp, cải tạo đường bê tông xóm Lân Đăm xã Quang Sơn (Giai đoạn 3)(8088267)</t>
  </si>
  <si>
    <t xml:space="preserve"> Cải tạo, nâng cấp kênh mương Min xóm Làng Mới xã Tân Long(8089669)</t>
  </si>
  <si>
    <t xml:space="preserve"> Cải tạo, nâng cấp kênh mương Đồng Sim xóm Ba Đình xã Tân Long(8089670)</t>
  </si>
  <si>
    <t xml:space="preserve"> Cải tạo, sửa chữa nền nhà lớp học 2 tầng 8 phòng học và xây mới nhà đa năng trường THCS Quang Sơn(8101575)</t>
  </si>
  <si>
    <t xml:space="preserve"> Cải tạo mở rộng mặt đường bê tông tuyến đường liên xóm Đồng Tâm-Xuân Quang, xã Quang Sơn(8102456)</t>
  </si>
  <si>
    <t xml:space="preserve"> Xây dựng nhà lớp học 2 tầng 8 phòng học Trường Mầm non Tân Long - Điểm Đồng Mây(8103446)</t>
  </si>
  <si>
    <t xml:space="preserve"> Xây dựng nhà hiệu bộ, phòng chức năng, bếp ăn một chiều và các công trình phụ trợ trường Mầm non Tân Long – Điểm trường trung tâm(8104228)</t>
  </si>
  <si>
    <t xml:space="preserve"> Đường bê tông xóm Làng Giếng, Hồng Phong xã Tân Long(8107144)</t>
  </si>
  <si>
    <t xml:space="preserve"> Đường bê tông xóm Đồng Luông xã Tân Long(8107145)</t>
  </si>
  <si>
    <t xml:space="preserve"> Đường bê tông xóm Đồng Mây xã Tân Long(8107146)</t>
  </si>
  <si>
    <t xml:space="preserve"> Đường bê tông xóm Ba Đình xã Tân Long(8107147)</t>
  </si>
  <si>
    <t xml:space="preserve"> Đường bê tông xóm Mỏ Ba xã Tân Long(8107148)</t>
  </si>
  <si>
    <t xml:space="preserve"> Điều chỉnh quy hoạch chung xây dựng xã Tân Long, huyện Đồng Hỷ giai đoạn 2023-2033(8110155)</t>
  </si>
  <si>
    <t xml:space="preserve"> Khắc phục hư hỏng đường giao thông phía sau trường tiểu học Sa Lung xã Tân Long(8132776)</t>
  </si>
  <si>
    <t xml:space="preserve"> Cải tạo, sửa chữa sân và công trình phụ trợ trạm y tế xã Quang Sơn(8142978)</t>
  </si>
  <si>
    <t xml:space="preserve"> Cải tạo, sửa chữa phòng học, bếp ăn bán trú và xây mới nhà vệ sinh điểm trường Mầm non Đồng Tâm, xã Quang Sơn(8142979)</t>
  </si>
  <si>
    <t xml:space="preserve"> Nâng cấp cải tạo vỉa hè tuyến đường trục xã đoạn từ Quốc lộ 1B đến trường THPT Trần Quốc Tuấn.(8143574)</t>
  </si>
  <si>
    <t xml:space="preserve"> Xây dựng mương thoát nước thải sinh hoạt xóm Trung Sơn, xã Quang Sơn.(8146380)</t>
  </si>
  <si>
    <t xml:space="preserve"> Cải tạo sửa chữa bếp ăn bán trú và mở rộng sân điểm trường mầm non Lân Đăm, xã Quang Sơn(8147396)</t>
  </si>
  <si>
    <t xml:space="preserve"> Cải tạo sửa chữa sân, nhà vệ sinh trường tiểu học Quang Sơn(8147397)</t>
  </si>
  <si>
    <t xml:space="preserve"> Xây dựng đường bê tông xóm Thống Nhất, xã Quang Sơn(8148086)</t>
  </si>
  <si>
    <t xml:space="preserve"> Xây dựng đường bê tông xóm La Giang, xã Quang Sơn(8148087)</t>
  </si>
  <si>
    <t xml:space="preserve"> Xây dựng đường bê tông xóm Đồng Tâm, xã Quang Sơn(8148088)</t>
  </si>
  <si>
    <t xml:space="preserve"> Xây dựng đường bê tông xóm Đồng Thu, xã Quang Sơn(8148096)</t>
  </si>
  <si>
    <t xml:space="preserve"> Xây dựng sân và công trình phụ trợ khu thể thao xóm Lân Đăm, xã Quang Sơn(8148098)</t>
  </si>
  <si>
    <t xml:space="preserve"> Cải tạo, nâng cấp kênh mương Nước Lạnh xóm Làng Mới xã Tân Long(8157626)</t>
  </si>
  <si>
    <t xml:space="preserve"> Xây dựng kênh mương Đồng Thượng xóm Hồng Phong xã Tân Long(8157627)</t>
  </si>
  <si>
    <t xml:space="preserve"> Cải tạo, nâng cấp kênh mương Min xóm Làng Mới xã Tân Long (giai đoạn 2)(8157628)</t>
  </si>
  <si>
    <t xml:space="preserve"> Cải tạo sửa chữa nhà 2 tầng 8 phòng trường tiểu học Sa Lung, xã Tân Long(8162885)</t>
  </si>
  <si>
    <t>Dự toán 2025</t>
  </si>
  <si>
    <t>Quyết toán 2025</t>
  </si>
  <si>
    <t>Chi dự phòng</t>
  </si>
  <si>
    <t>ĐVT: triệu đồng</t>
  </si>
  <si>
    <t>Chi chuyển nguồn năm sau</t>
  </si>
  <si>
    <t>NSNN</t>
  </si>
  <si>
    <t>NSĐP</t>
  </si>
  <si>
    <t>NS XÃ</t>
  </si>
  <si>
    <t>5=3/1</t>
  </si>
  <si>
    <t>6=4/2</t>
  </si>
  <si>
    <t>TỔNG NGUỒN THU NSNN(A+B+C+D)</t>
  </si>
  <si>
    <t xml:space="preserve">Thu nội địa </t>
  </si>
  <si>
    <t>Thu từ khu vực DNNN do TW quản lý</t>
  </si>
  <si>
    <t xml:space="preserve">Thuế giá trị gia tăng </t>
  </si>
  <si>
    <t xml:space="preserve">Thuế thu nhập doanh nghiệp </t>
  </si>
  <si>
    <t xml:space="preserve"> Thuế môn bài</t>
  </si>
  <si>
    <t>Thuế tiêu thụ đặc biệt </t>
  </si>
  <si>
    <t>Phí, lệ phí</t>
  </si>
  <si>
    <t>Tiền sử dụng đất</t>
  </si>
  <si>
    <t>Tiền cho thuê và bán nhà thuộc sở hữu nhà nước</t>
  </si>
  <si>
    <t>Thu tiền cấp quyền khai thác khoáng sản, vùng trời, vùng biển</t>
  </si>
  <si>
    <t xml:space="preserve">Thu từ quỹ đất công ích và thu hoa lợi công sản khác </t>
  </si>
  <si>
    <t xml:space="preserve">Thu hồi vốn, thu cổ tức </t>
  </si>
  <si>
    <t>Thu về dầu thô</t>
  </si>
  <si>
    <t>Thu cân đối từ hoạt động xuất nhập khẩu</t>
  </si>
  <si>
    <t>Thuế tiêu thụ đặc biệt hàng nhập khẩu</t>
  </si>
  <si>
    <t>Thuế giá trị gia tăng hàng nhập khẩu</t>
  </si>
  <si>
    <t>Thuế bổ sung đối với hàng hoá nhập khẩu vào Việt Nam</t>
  </si>
  <si>
    <t>Thuế bảo vệ môi trường hàng nhập khẩu</t>
  </si>
  <si>
    <t>Thu Viện trợ</t>
  </si>
  <si>
    <t>Các khoản nhân dân đóng góp</t>
  </si>
  <si>
    <t>THU HỒI TỪ QUỸ DỰ TRỮ TÀI CHÍNH</t>
  </si>
  <si>
    <t>THU KẾT DƯ NGÂN SÁCH</t>
  </si>
  <si>
    <t>So sánh(%)</t>
  </si>
  <si>
    <t>QUYẾT TOÁN NGUỒN THU NGÂN SÁCH NHÀ NƯỚC TRÊN ĐỊA BÀN THEO LĨNH VỰC NĂM 2025</t>
  </si>
  <si>
    <t>Tuyệt đối</t>
  </si>
  <si>
    <t>Tương đối (%)</t>
  </si>
  <si>
    <t>Các khoản thu NSĐP hưởng 100%</t>
  </si>
  <si>
    <t>Thu TC bổ sung thực hiện cải cách tiền lương</t>
  </si>
  <si>
    <t>Thu từ các khoản cho vay của nhà nước và thu từ quỹ dự trữ tài chính</t>
  </si>
  <si>
    <t xml:space="preserve">Tổng chi cân đối NSĐP </t>
  </si>
  <si>
    <t>KẾT DƯ NGÂN SÁCH ĐỊA PHƯƠNG</t>
  </si>
  <si>
    <t>So Sánh</t>
  </si>
  <si>
    <t>NỘI DUNG (1)</t>
  </si>
  <si>
    <t>TỔNG CHI NGÂN SÁCH ĐỊA PHƯƠNG (không tính chi trả nợ gốc tiền vay)</t>
  </si>
  <si>
    <t>Chi hoạt động của các cơ quan quản lý nhà nước, Đảng, đoàn thể</t>
  </si>
  <si>
    <t>Chi văn hoá thông tin</t>
  </si>
  <si>
    <t>Chi cho ngân hàng chính sách xã hội</t>
  </si>
  <si>
    <t xml:space="preserve"> Trong đó: chi cho Ngân hàng chính sách xã hội V/v  KP đáp ứng nhu cầu vốn vay cho người nghèo và các đối tượng chính sách trên địa bàn thị xã</t>
  </si>
  <si>
    <t>Chi từ nguồn vốn tập trung ngân sách</t>
  </si>
  <si>
    <t>Dự phòng</t>
  </si>
  <si>
    <t>Chương trình nông thôn mới</t>
  </si>
  <si>
    <t xml:space="preserve"> + Xây dựng cơ bản</t>
  </si>
  <si>
    <t xml:space="preserve"> +Thường xuyên</t>
  </si>
  <si>
    <t>Chương trình giảm nghèo bền vững</t>
  </si>
  <si>
    <t>Chương trình phát triển vùng DTTS</t>
  </si>
  <si>
    <t>Xây dựng cơ bản (chương trình mục tiêu ứng phó biến đổi khí hậu và tăng trưởng xanh)</t>
  </si>
  <si>
    <t>Thường xuyên</t>
  </si>
  <si>
    <t>CHI BỔ SUNG NS CẤP DƯỚI</t>
  </si>
  <si>
    <t>CHI NỘP NS CẤP TRÊN</t>
  </si>
  <si>
    <t>TỔNG CHI NGÂN SÁCH CẤP TỈNH (không tính chi bổ sung có mục tiêu cho NS cấp dưới và chi trả nợ gốc tiền vay</t>
  </si>
  <si>
    <t>CHI BỔ SUNG CHO NGÂN SÁCH CẤP DƯỚI</t>
  </si>
  <si>
    <t>CHI NGÂN SÁCH CẤP TỈNH THEO LĨNH VỰC</t>
  </si>
  <si>
    <t>Chi an ninh và trật tự, an toàn xã hội</t>
  </si>
  <si>
    <t>Chi giáo dục, đào tạo và dạy nghề</t>
  </si>
  <si>
    <t>Chi khoa học, công nghệ</t>
  </si>
  <si>
    <t>Chi các lĩnh vực khác theo quy định của pháp luật</t>
  </si>
  <si>
    <t>Chi đầu tư và hỗ trợ vốn cho doanh nghiệp cung cấp sản phẩm, dịch vụ công ích do nhà nước đặt hàng; Các tổ chức kinh tế; Các tổ chức tài chính của trung ương và địa phương</t>
  </si>
  <si>
    <t>Chi đầu tư phát triển khác theo quy định của pháp luật</t>
  </si>
  <si>
    <t>Chi thường xuyên theo lĩnh vực</t>
  </si>
  <si>
    <t>Chi sự nghiệp phát thanh, truyền hình, thông tấn</t>
  </si>
  <si>
    <t>Chi đảm bảo xã hội</t>
  </si>
  <si>
    <t>Các khoản chi khác theo quy định của pháp luật</t>
  </si>
  <si>
    <t>Dự phòng NSNN</t>
  </si>
  <si>
    <t>Chi tạo nguồn , điều chỉnh tiền lương</t>
  </si>
  <si>
    <t>CHI CHUYỂN NGUỒN</t>
  </si>
  <si>
    <t>Dự toán xã</t>
  </si>
  <si>
    <t>Ngân sách tỉnh</t>
  </si>
  <si>
    <t>Ngân sách xã</t>
  </si>
  <si>
    <t>CHI NGÂN SÁCH NHÀ NƯỚC</t>
  </si>
  <si>
    <t>Đầu tư cho các DA theo các lĩnh vực</t>
  </si>
  <si>
    <t>Trong đó: chia theo lĩnh vực</t>
  </si>
  <si>
    <t>-Chi giáo dục, đào tạo và dạy nghề</t>
  </si>
  <si>
    <t>-Chi các hoạt động kinh tế</t>
  </si>
  <si>
    <t>-Chi hoạt động của các cơ quan quản lý nhà nước, Đảng, đoàn thể</t>
  </si>
  <si>
    <t>-Chi văn hoá thông tin</t>
  </si>
  <si>
    <t>-Chi bảo đảm xã hội</t>
  </si>
  <si>
    <t>-Chi khoa học, công nghệ</t>
  </si>
  <si>
    <t>Trong đó: chia theo nguồn vốn</t>
  </si>
  <si>
    <t>-Chi đầu tư từ nguồn thu tiền sử dụng đất</t>
  </si>
  <si>
    <t>- Chi từ nguồn vốn tập trung NS</t>
  </si>
  <si>
    <t>-Chi đầu tư từ nguồn thu xổ số kiến thiết</t>
  </si>
  <si>
    <t xml:space="preserve">Chi thường xuyên </t>
  </si>
  <si>
    <t>Chi trả nợ  lãi các khoản do chính quyền địa phương vay</t>
  </si>
  <si>
    <t>-Xây dựng cơ bản</t>
  </si>
  <si>
    <t>-Thường xuyên</t>
  </si>
  <si>
    <t>Chi Đầu tư XDCB</t>
  </si>
  <si>
    <t>Chương trình mục tiêu quốc gia Xây dựng nông thôn mới giai đoạn 2016-2020</t>
  </si>
  <si>
    <t>Chương trình mục tiêu quốc gia phát triển vùng DTTS</t>
  </si>
  <si>
    <t>Chi Đầu tư XDCB (chương trình mục tiêu ứng phó biến đổi khí hậu và tăng trưởng xanh)</t>
  </si>
  <si>
    <t>CHI NỘP NGÂN SÁCH CẤP TRÊN</t>
  </si>
  <si>
    <t>Dự toán năm 2025</t>
  </si>
  <si>
    <t>QUYẾT TOÁN CÂN ĐỐI NGÂN SÁCH ĐỊA PHƯƠNG NĂM 2025</t>
  </si>
  <si>
    <t>QUYẾT TOÁN CHI NGÂN SÁCH ĐỊA PHƯƠNG THEO LĨNH VỰC NĂM 2025</t>
  </si>
  <si>
    <t>Chương trình giảm nghèo</t>
  </si>
  <si>
    <t>Chi từ nguồn kết dư</t>
  </si>
  <si>
    <t xml:space="preserve">Chi từ nguồn chuyển nguồn </t>
  </si>
  <si>
    <t>Chi từ nguồn viện trợ, huy động, đóng góp</t>
  </si>
  <si>
    <t>QUYẾT TOÁN CHI CHƯƠNG TRÌNH MỤC TIÊU QUỐC GIA NGÂN SÁCH XÃ NĂM 2025</t>
  </si>
  <si>
    <t>QUYẾT TOÁN CHI BỔ SUNG TỪ NGÂN SÁCH CẤP TỈNH CHO NGÂN SÁCH XÃ NĂM 2025</t>
  </si>
  <si>
    <t>QUYẾT TOÁN CHI NGÂN SÁCH CẤP XÃ THEO LĨNH VỰC NĂM 2025</t>
  </si>
  <si>
    <t>QUYẾT TOÁN CHI NGÂN SÁCH ĐỊA PHƯƠNG, CHI NGÂN SÁCH CẤP TỈNH VÀ CHI NGÂN SÁCH XÃ THEO CƠ CẤU CHI NĂM 2025</t>
  </si>
  <si>
    <t>QUYẾT TOÁN CHI NGÂN SÁCH CẤP  XÃ CHO TỪNG CƠ QUAN, TỔ CHỨC THEO LĨNH VỰC NĂM 2025</t>
  </si>
  <si>
    <t>QUYẾT TOÁN CHI NGÂN SÁCH ĐỊA PHƯƠNG TỪNG ĐƠN VỊ NĂM 2025</t>
  </si>
  <si>
    <t>Đơn vị: triệu đồng</t>
  </si>
  <si>
    <t>Dự toán tỉnh</t>
  </si>
  <si>
    <t>Biểu mẫu số 48
Kèm theo Nghị định 31/2017/NĐ-CP 
ngày 23/3/2017 của Chính Phủ</t>
  </si>
  <si>
    <t>(Kèm theo Nghị quyết số  09 /NQ-HĐND ngày 30  tháng 3 năm 2026 của HĐND xã Quang Sơn)</t>
  </si>
  <si>
    <t>Biểu mẫu số 50
Kèm theo Nghị định 31/2017/NĐ-CP 
ngày 23/3/2017 của Chính Phủ</t>
  </si>
  <si>
    <t>Biểu mẫu số 51
Kèm theo Nghị định 31/2017/NĐ-CP 
ngày 23/3/2017 của Chính Phủ</t>
  </si>
  <si>
    <t>Biểu mẫu số 52
Kèm theo Nghị định 31/2017/NĐ-CP 
ngày 23/3/2017 của Chính Phủ</t>
  </si>
  <si>
    <t>Biểu mẫu số 53
Kèm theo Nghị định 31/2017/NĐ-CP 
ngày 23/3/2017 của Chính Phủ</t>
  </si>
  <si>
    <t>Biểu mẫu số 54
Kèm theo Nghị định 31/2017/NĐ-CP 
ngày 23/3/2017 của Chính Phủ</t>
  </si>
  <si>
    <t>Biểu mẫu số 58
Kèm theo Nghị định 31/2017/NĐ-CP 
ngày 23/3/2017 của Chính Phủ</t>
  </si>
  <si>
    <t>Biểu mẫu số 59
Kèm theo Nghị định 31/2017/NĐ-CP 
ngày 23/3/2017 của Chính Phủ</t>
  </si>
  <si>
    <t>Biểu mẫu số 61
Kèm theo Nghị định 31/2017/NĐ-CP 
ngày 23/3/2017 của Chính Phủ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</si>
</sst>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
    <numFmt numFmtId="165" formatCode="_(* #,##0_);_(* \(#,##0\);_(* &quot;-&quot;??_);_(@_)"/>
    <numFmt numFmtId="166" formatCode="0.0%"/>
    <numFmt numFmtId="167" formatCode="_(* #,##0.0_);_(* \(#,##0.0\);_(* &quot;-&quot;??_);_(@_)"/>
    <numFmt numFmtId="168" formatCode="#,###"/>
    <numFmt numFmtId="169" formatCode="[$-1042A]#,###"/>
    <numFmt numFmtId="170" formatCode="#,##0.0"/>
  </numFmts>
  <fonts count="57">
    <font>
      <sz val="12"/>
      <color theme="1"/>
      <name val="Times New Roman"/>
      <family val="2"/>
    </font>
    <font>
      <sz val="12"/>
      <color theme="1"/>
      <name val="Times New Roman"/>
      <family val="2"/>
    </font>
    <font>
      <sz val="10"/>
      <name val="Arial"/>
      <family val="2"/>
    </font>
    <font>
      <i/>
      <sz val="10"/>
      <color rgb="FF000000"/>
      <name val="Arial"/>
      <family val="2"/>
    </font>
    <font>
      <i/>
      <sz val="11"/>
      <color rgb="FF000000"/>
      <name val="Calibri Light"/>
      <family val="1"/>
      <scheme val="major"/>
    </font>
    <font>
      <sz val="11"/>
      <color theme="1"/>
      <name val="Calibri Light"/>
      <family val="1"/>
      <scheme val="major"/>
    </font>
    <font>
      <b/>
      <sz val="14"/>
      <name val="Times New Roman"/>
      <family val="1"/>
    </font>
    <font>
      <b/>
      <sz val="12"/>
      <name val="Times New Roman"/>
      <family val="1"/>
    </font>
    <font>
      <sz val="12"/>
      <name val=".VnTime"/>
      <family val="2"/>
    </font>
    <font>
      <sz val="12"/>
      <name val="Times New Roman"/>
      <family val="1"/>
    </font>
    <font>
      <i/>
      <sz val="13"/>
      <name val="Times New Roman"/>
      <family val="1"/>
    </font>
    <font>
      <i/>
      <sz val="14"/>
      <name val="Times New Roman"/>
      <family val="1"/>
    </font>
    <font>
      <sz val="14"/>
      <name val="Times New Roman"/>
      <family val="1"/>
    </font>
    <font>
      <i/>
      <sz val="12"/>
      <name val="Times New Roman"/>
      <family val="1"/>
    </font>
    <font>
      <b/>
      <sz val="10"/>
      <name val="Times New Roman"/>
      <family val="1"/>
    </font>
    <font>
      <sz val="10"/>
      <name val="Times New Roman"/>
      <family val="1"/>
    </font>
    <font>
      <b/>
      <sz val="6"/>
      <name val="Times New Roman"/>
      <family val="1"/>
    </font>
    <font>
      <sz val="12"/>
      <name val=".VnArial Narrow"/>
      <family val="2"/>
    </font>
    <font>
      <u/>
      <sz val="12"/>
      <name val="Times New Roman"/>
      <family val="1"/>
    </font>
    <font>
      <b/>
      <u/>
      <sz val="10"/>
      <name val="Times New Roman"/>
      <family val="1"/>
    </font>
    <font>
      <sz val="9"/>
      <name val="Times New Roman"/>
      <family val="1"/>
    </font>
    <font>
      <sz val="14"/>
      <name val=".VnTime"/>
      <family val="2"/>
    </font>
    <font>
      <sz val="11"/>
      <color theme="1"/>
      <name val="Calibri"/>
      <family val="2"/>
      <scheme val="minor"/>
    </font>
    <font>
      <sz val="11"/>
      <name val="Calibri"/>
      <family val="2"/>
    </font>
    <font>
      <b/>
      <sz val="10"/>
      <color rgb="FF000000"/>
      <name val="Times New Roman"/>
      <family val="1"/>
    </font>
    <font>
      <sz val="11"/>
      <color indexed="8"/>
      <name val="Calibri"/>
      <family val="2"/>
    </font>
    <font>
      <i/>
      <sz val="12"/>
      <color theme="1"/>
      <name val="Times New Roman"/>
      <family val="1"/>
    </font>
    <font>
      <b/>
      <sz val="12"/>
      <color theme="1"/>
      <name val="Times New Roman"/>
      <family val="1"/>
    </font>
    <font>
      <sz val="12"/>
      <color theme="1"/>
      <name val="Times New Roman"/>
      <family val="1"/>
    </font>
    <font>
      <sz val="11"/>
      <color theme="1"/>
      <name val="Times New Roman"/>
      <family val="1"/>
    </font>
    <font>
      <sz val="11"/>
      <name val="Times New Roman"/>
      <family val="1"/>
    </font>
    <font>
      <b/>
      <sz val="10"/>
      <color rgb="FF000000"/>
      <name val="Times New Roman"/>
      <family val="1"/>
    </font>
    <font>
      <sz val="11"/>
      <name val="Calibri"/>
      <family val="2"/>
    </font>
    <font>
      <b/>
      <sz val="8"/>
      <color rgb="FF000000"/>
      <name val="Times New Roman"/>
      <family val="1"/>
    </font>
    <font>
      <i/>
      <sz val="11"/>
      <color theme="1"/>
      <name val="Times New Roman"/>
      <family val="1"/>
    </font>
    <font>
      <b/>
      <sz val="11"/>
      <color theme="1"/>
      <name val="Times New Roman"/>
      <family val="1"/>
    </font>
    <font>
      <b/>
      <sz val="14"/>
      <color rgb="FF000000"/>
      <name val="Times New Roman"/>
      <family val="1"/>
    </font>
    <font>
      <i/>
      <sz val="14"/>
      <color rgb="FF000000"/>
      <name val="Times New Roman"/>
      <family val="1"/>
    </font>
    <font>
      <i/>
      <sz val="13"/>
      <color rgb="FF000000"/>
      <name val="Times New Roman"/>
      <family val="1"/>
    </font>
    <font>
      <i/>
      <sz val="11"/>
      <color rgb="FF000000"/>
      <name val="Times New Roman"/>
      <family val="1"/>
    </font>
    <font>
      <b/>
      <sz val="12"/>
      <color rgb="FF000000"/>
      <name val="Times New Roman"/>
      <family val="1"/>
    </font>
    <font>
      <b/>
      <sz val="10"/>
      <color theme="1"/>
      <name val="Times New Roman"/>
      <family val="1"/>
    </font>
    <font>
      <sz val="10"/>
      <color rgb="FF000000"/>
      <name val="Times New Roman"/>
      <family val="1"/>
    </font>
    <font>
      <sz val="11"/>
      <color theme="1"/>
      <name val="Times New Roman"/>
      <family val="2"/>
    </font>
    <font>
      <b/>
      <sz val="13"/>
      <color rgb="FF000000"/>
      <name val="Times New Roman"/>
      <family val="1"/>
    </font>
    <font>
      <b/>
      <sz val="9"/>
      <color rgb="FF000000"/>
      <name val="Times New Roman"/>
      <family val="1"/>
    </font>
    <font>
      <sz val="9"/>
      <color rgb="FF000000"/>
      <name val="Times New Roman"/>
      <family val="1"/>
    </font>
    <font>
      <b/>
      <sz val="9"/>
      <color theme="1"/>
      <name val="Times New Roman"/>
      <family val="1"/>
    </font>
    <font>
      <sz val="9"/>
      <color theme="1"/>
      <name val="Times New Roman"/>
      <family val="1"/>
    </font>
    <font>
      <b/>
      <sz val="11"/>
      <color rgb="FF000000"/>
      <name val="Times New Roman"/>
      <family val="1"/>
    </font>
    <font>
      <sz val="11"/>
      <color rgb="FF000000"/>
      <name val="Times New Roman"/>
      <family val="1"/>
    </font>
    <font>
      <i/>
      <sz val="12"/>
      <color rgb="FF000000"/>
      <name val="Times New Roman"/>
      <family val="1"/>
    </font>
    <font>
      <i/>
      <sz val="10"/>
      <color rgb="FF000000"/>
      <name val="Times New Roman"/>
      <family val="1"/>
    </font>
    <font>
      <b/>
      <i/>
      <sz val="10"/>
      <color rgb="FF000000"/>
      <name val="Times New Roman"/>
      <family val="1"/>
    </font>
    <font>
      <sz val="10"/>
      <color theme="1"/>
      <name val="Times New Roman"/>
      <family val="1"/>
    </font>
    <font>
      <i/>
      <sz val="9"/>
      <color theme="1"/>
      <name val="Times New Roman"/>
      <family val="1"/>
    </font>
    <font>
      <i/>
      <sz val="9"/>
      <color rgb="FF000000"/>
      <name val="Times New Roman"/>
      <family val="1"/>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bottom style="thin">
        <color rgb="FF000000"/>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indexed="64"/>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indexed="64"/>
      </left>
      <right style="thin">
        <color indexed="64"/>
      </right>
      <top style="thin">
        <color indexed="64"/>
      </top>
      <bottom style="hair">
        <color indexed="64"/>
      </bottom>
      <diagonal/>
    </border>
    <border>
      <left style="thin">
        <color rgb="FF000000"/>
      </left>
      <right style="thin">
        <color rgb="FF000000"/>
      </right>
      <top style="hair">
        <color rgb="FF000000"/>
      </top>
      <bottom style="thin">
        <color indexed="64"/>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s>
  <cellStyleXfs count="16">
    <xf numFmtId="0" fontId="0" fillId="0" borderId="0"/>
    <xf numFmtId="9" fontId="1" fillId="0" borderId="0" applyFont="0" applyFill="0" applyBorder="0" applyAlignment="0" applyProtection="0"/>
    <xf numFmtId="0" fontId="8" fillId="0" borderId="0"/>
    <xf numFmtId="0" fontId="17" fillId="0" borderId="0"/>
    <xf numFmtId="0" fontId="21" fillId="0" borderId="0"/>
    <xf numFmtId="0" fontId="21" fillId="0" borderId="0"/>
    <xf numFmtId="0" fontId="21" fillId="0" borderId="0"/>
    <xf numFmtId="0" fontId="2" fillId="0" borderId="0"/>
    <xf numFmtId="0" fontId="21" fillId="0" borderId="0"/>
    <xf numFmtId="0" fontId="21" fillId="0" borderId="0"/>
    <xf numFmtId="0" fontId="21" fillId="0" borderId="0"/>
    <xf numFmtId="0" fontId="21" fillId="0" borderId="0"/>
    <xf numFmtId="0" fontId="2" fillId="0" borderId="0"/>
    <xf numFmtId="0" fontId="22" fillId="0" borderId="0"/>
    <xf numFmtId="43" fontId="1" fillId="0" borderId="0" applyFont="0" applyFill="0" applyBorder="0" applyAlignment="0" applyProtection="0"/>
    <xf numFmtId="43" fontId="25" fillId="0" borderId="0" applyFont="0" applyFill="0" applyBorder="0" applyAlignment="0" applyProtection="0"/>
  </cellStyleXfs>
  <cellXfs count="230">
    <xf numFmtId="0" fontId="0" fillId="0" borderId="0" xfId="0"/>
    <xf numFmtId="0" fontId="3" fillId="0" borderId="0" xfId="0" applyFont="1" applyAlignment="1">
      <alignment horizontal="right" vertical="center"/>
    </xf>
    <xf numFmtId="0" fontId="5" fillId="0" borderId="0" xfId="0" applyFont="1"/>
    <xf numFmtId="0" fontId="4" fillId="0" borderId="0" xfId="0" applyFont="1" applyAlignment="1">
      <alignment horizontal="right" vertical="center"/>
    </xf>
    <xf numFmtId="0" fontId="6" fillId="0" borderId="0" xfId="0" applyFont="1" applyAlignment="1">
      <alignment horizontal="left"/>
    </xf>
    <xf numFmtId="0" fontId="7" fillId="0" borderId="0" xfId="0" applyFont="1"/>
    <xf numFmtId="0" fontId="9" fillId="0" borderId="0" xfId="2" applyFont="1" applyAlignment="1">
      <alignment horizontal="right"/>
    </xf>
    <xf numFmtId="0" fontId="9" fillId="0" borderId="0" xfId="2" applyFont="1" applyAlignment="1">
      <alignment horizontal="centerContinuous"/>
    </xf>
    <xf numFmtId="0" fontId="9" fillId="0" borderId="0" xfId="2" applyFont="1"/>
    <xf numFmtId="0" fontId="11" fillId="0" borderId="0" xfId="2" applyFont="1" applyAlignment="1">
      <alignment horizontal="left"/>
    </xf>
    <xf numFmtId="0" fontId="12" fillId="0" borderId="0" xfId="2" applyFont="1"/>
    <xf numFmtId="0" fontId="11" fillId="0" borderId="0" xfId="2" applyFont="1"/>
    <xf numFmtId="0" fontId="13" fillId="0" borderId="0" xfId="2" applyFont="1" applyAlignment="1">
      <alignment horizontal="right"/>
    </xf>
    <xf numFmtId="0" fontId="15" fillId="0" borderId="0" xfId="0" applyFont="1"/>
    <xf numFmtId="164" fontId="14" fillId="0" borderId="0" xfId="0" applyNumberFormat="1" applyFont="1" applyAlignment="1">
      <alignment vertical="center" wrapText="1"/>
    </xf>
    <xf numFmtId="164" fontId="16" fillId="0" borderId="0" xfId="0" applyNumberFormat="1" applyFont="1" applyAlignment="1">
      <alignment vertical="center" wrapText="1"/>
    </xf>
    <xf numFmtId="0" fontId="18" fillId="0" borderId="0" xfId="0" applyFont="1" applyAlignment="1">
      <alignment vertical="center"/>
    </xf>
    <xf numFmtId="0" fontId="19" fillId="0" borderId="0" xfId="0" applyFont="1"/>
    <xf numFmtId="0" fontId="26" fillId="0" borderId="0" xfId="0" applyFont="1"/>
    <xf numFmtId="0" fontId="6" fillId="0" borderId="0" xfId="0" applyFont="1"/>
    <xf numFmtId="0" fontId="7" fillId="0" borderId="0" xfId="3" applyFont="1"/>
    <xf numFmtId="0" fontId="9" fillId="0" borderId="4" xfId="2" applyFont="1" applyBorder="1" applyAlignment="1">
      <alignment horizontal="center" vertical="center" wrapText="1"/>
    </xf>
    <xf numFmtId="0" fontId="9" fillId="0" borderId="9" xfId="2" applyFont="1" applyBorder="1" applyAlignment="1">
      <alignment horizontal="center" vertical="center" wrapText="1"/>
    </xf>
    <xf numFmtId="0" fontId="20" fillId="0" borderId="1" xfId="2" applyFont="1" applyBorder="1" applyAlignment="1">
      <alignment horizontal="center" vertical="center"/>
    </xf>
    <xf numFmtId="0" fontId="20" fillId="0" borderId="8" xfId="2" applyFont="1" applyBorder="1" applyAlignment="1">
      <alignment horizontal="center" vertical="center"/>
    </xf>
    <xf numFmtId="0" fontId="20" fillId="0" borderId="1" xfId="2" quotePrefix="1" applyFont="1" applyBorder="1" applyAlignment="1">
      <alignment horizontal="center" vertical="center"/>
    </xf>
    <xf numFmtId="0" fontId="20" fillId="0" borderId="0" xfId="2" applyFont="1" applyAlignment="1">
      <alignment vertical="center"/>
    </xf>
    <xf numFmtId="0" fontId="7" fillId="0" borderId="10" xfId="2" applyFont="1" applyBorder="1" applyAlignment="1">
      <alignment vertical="center"/>
    </xf>
    <xf numFmtId="0" fontId="7" fillId="0" borderId="2" xfId="2" applyFont="1" applyBorder="1" applyAlignment="1">
      <alignment horizontal="center" vertical="center"/>
    </xf>
    <xf numFmtId="3" fontId="7" fillId="0" borderId="11" xfId="2" applyNumberFormat="1" applyFont="1" applyBorder="1" applyAlignment="1">
      <alignment vertical="center"/>
    </xf>
    <xf numFmtId="3" fontId="9" fillId="0" borderId="2" xfId="2" applyNumberFormat="1" applyFont="1" applyBorder="1" applyAlignment="1">
      <alignment vertical="center"/>
    </xf>
    <xf numFmtId="3" fontId="12" fillId="0" borderId="0" xfId="2" applyNumberFormat="1" applyFont="1"/>
    <xf numFmtId="0" fontId="9" fillId="0" borderId="2" xfId="2" applyFont="1" applyBorder="1" applyAlignment="1">
      <alignment horizontal="center" vertical="center"/>
    </xf>
    <xf numFmtId="0" fontId="9" fillId="0" borderId="11" xfId="2" applyFont="1" applyBorder="1" applyAlignment="1">
      <alignment vertical="center" wrapText="1"/>
    </xf>
    <xf numFmtId="3" fontId="9" fillId="0" borderId="11" xfId="2" applyNumberFormat="1" applyFont="1" applyBorder="1" applyAlignment="1">
      <alignment vertical="center"/>
    </xf>
    <xf numFmtId="0" fontId="30" fillId="0" borderId="3" xfId="2" applyFont="1" applyBorder="1" applyAlignment="1">
      <alignment horizontal="center" vertical="center"/>
    </xf>
    <xf numFmtId="0" fontId="30" fillId="0" borderId="12" xfId="2" applyFont="1" applyBorder="1" applyAlignment="1">
      <alignment vertical="center"/>
    </xf>
    <xf numFmtId="168" fontId="29" fillId="0" borderId="3" xfId="0" applyNumberFormat="1" applyFont="1" applyBorder="1" applyAlignment="1">
      <alignment horizontal="right" vertical="center" wrapText="1"/>
    </xf>
    <xf numFmtId="3" fontId="30" fillId="0" borderId="12" xfId="2" applyNumberFormat="1" applyFont="1" applyBorder="1" applyAlignment="1">
      <alignment vertical="center"/>
    </xf>
    <xf numFmtId="3" fontId="30" fillId="0" borderId="3" xfId="2" applyNumberFormat="1" applyFont="1" applyBorder="1" applyAlignment="1">
      <alignment vertical="center"/>
    </xf>
    <xf numFmtId="0" fontId="13" fillId="0" borderId="14" xfId="2" applyFont="1" applyBorder="1" applyAlignment="1"/>
    <xf numFmtId="0" fontId="7" fillId="0" borderId="0" xfId="0" applyFont="1" applyAlignment="1"/>
    <xf numFmtId="169" fontId="0" fillId="0" borderId="0" xfId="0" applyNumberFormat="1"/>
    <xf numFmtId="0" fontId="31" fillId="0" borderId="15" xfId="0" applyNumberFormat="1" applyFont="1" applyFill="1" applyBorder="1" applyAlignment="1">
      <alignment horizontal="center" vertical="top" wrapText="1" readingOrder="1"/>
    </xf>
    <xf numFmtId="0" fontId="27" fillId="0" borderId="0" xfId="0" applyFont="1" applyAlignment="1"/>
    <xf numFmtId="0" fontId="0" fillId="0" borderId="0" xfId="0" applyAlignment="1"/>
    <xf numFmtId="0" fontId="26" fillId="0" borderId="0" xfId="0" applyFont="1" applyAlignment="1"/>
    <xf numFmtId="0" fontId="33" fillId="0" borderId="0" xfId="0" applyNumberFormat="1" applyFont="1" applyFill="1" applyBorder="1" applyAlignment="1">
      <alignment horizontal="center" vertical="top" wrapText="1" readingOrder="1"/>
    </xf>
    <xf numFmtId="0" fontId="33" fillId="0" borderId="0" xfId="0" applyNumberFormat="1" applyFont="1" applyFill="1" applyBorder="1" applyAlignment="1">
      <alignment vertical="top" wrapText="1" readingOrder="1"/>
    </xf>
    <xf numFmtId="0" fontId="0" fillId="0" borderId="0" xfId="0" applyFill="1"/>
    <xf numFmtId="0" fontId="27" fillId="0" borderId="0" xfId="0" applyFont="1" applyFill="1" applyAlignment="1"/>
    <xf numFmtId="0" fontId="0" fillId="0" borderId="0" xfId="0" applyFill="1" applyAlignment="1"/>
    <xf numFmtId="0" fontId="38" fillId="0" borderId="0" xfId="0" applyFont="1" applyFill="1" applyAlignment="1">
      <alignment horizontal="center" vertical="center"/>
    </xf>
    <xf numFmtId="0" fontId="26" fillId="0" borderId="0" xfId="0" applyFont="1" applyFill="1" applyAlignment="1"/>
    <xf numFmtId="169" fontId="0" fillId="0" borderId="0" xfId="0" applyNumberFormat="1" applyFill="1"/>
    <xf numFmtId="0" fontId="34" fillId="0" borderId="19" xfId="0" applyFont="1" applyBorder="1" applyAlignment="1">
      <alignment vertical="center"/>
    </xf>
    <xf numFmtId="0" fontId="35" fillId="0" borderId="0" xfId="0" applyFont="1" applyAlignment="1">
      <alignment vertical="center"/>
    </xf>
    <xf numFmtId="0" fontId="29" fillId="0" borderId="0" xfId="0" applyFont="1" applyAlignment="1">
      <alignment vertical="center"/>
    </xf>
    <xf numFmtId="0" fontId="28" fillId="0" borderId="0" xfId="0" applyFont="1"/>
    <xf numFmtId="0" fontId="34" fillId="0" borderId="0" xfId="0" applyFont="1" applyBorder="1" applyAlignment="1">
      <alignment vertical="center"/>
    </xf>
    <xf numFmtId="0" fontId="24"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1" xfId="0" applyFont="1" applyBorder="1" applyAlignment="1">
      <alignment vertical="center" wrapText="1"/>
    </xf>
    <xf numFmtId="0" fontId="28" fillId="0" borderId="0" xfId="0" applyFont="1" applyAlignment="1"/>
    <xf numFmtId="0" fontId="13" fillId="0" borderId="0" xfId="2" applyFont="1" applyAlignment="1"/>
    <xf numFmtId="0" fontId="7" fillId="0" borderId="0" xfId="2" applyFont="1" applyAlignment="1"/>
    <xf numFmtId="0" fontId="9" fillId="0" borderId="0" xfId="2" applyFont="1" applyAlignment="1"/>
    <xf numFmtId="3" fontId="0" fillId="0" borderId="0" xfId="0" applyNumberFormat="1"/>
    <xf numFmtId="0" fontId="49" fillId="0" borderId="15" xfId="0" applyNumberFormat="1" applyFont="1" applyFill="1" applyBorder="1" applyAlignment="1">
      <alignment horizontal="center" vertical="center" wrapText="1" readingOrder="1"/>
    </xf>
    <xf numFmtId="0" fontId="49" fillId="0" borderId="15" xfId="0" applyNumberFormat="1" applyFont="1" applyFill="1" applyBorder="1" applyAlignment="1">
      <alignment horizontal="center" vertical="top" wrapText="1" readingOrder="1"/>
    </xf>
    <xf numFmtId="0" fontId="49" fillId="0" borderId="18" xfId="0" applyNumberFormat="1" applyFont="1" applyFill="1" applyBorder="1" applyAlignment="1">
      <alignment horizontal="center" vertical="top" wrapText="1" readingOrder="1"/>
    </xf>
    <xf numFmtId="0" fontId="49" fillId="0" borderId="16" xfId="0" applyNumberFormat="1" applyFont="1" applyFill="1" applyBorder="1" applyAlignment="1">
      <alignment horizontal="center" vertical="top" wrapText="1" readingOrder="1"/>
    </xf>
    <xf numFmtId="0" fontId="49" fillId="0" borderId="16" xfId="0" applyNumberFormat="1" applyFont="1" applyFill="1" applyBorder="1" applyAlignment="1">
      <alignment horizontal="center" vertical="center" wrapText="1" readingOrder="1"/>
    </xf>
    <xf numFmtId="0" fontId="49" fillId="0" borderId="21" xfId="0" applyNumberFormat="1" applyFont="1" applyFill="1" applyBorder="1" applyAlignment="1">
      <alignment horizontal="center" vertical="center" wrapText="1" readingOrder="1"/>
    </xf>
    <xf numFmtId="0" fontId="49" fillId="0" borderId="21" xfId="0" applyNumberFormat="1" applyFont="1" applyFill="1" applyBorder="1" applyAlignment="1">
      <alignment vertical="center" wrapText="1" readingOrder="1"/>
    </xf>
    <xf numFmtId="169" fontId="49" fillId="0" borderId="21" xfId="0" applyNumberFormat="1" applyFont="1" applyFill="1" applyBorder="1" applyAlignment="1">
      <alignment horizontal="right" vertical="center" wrapText="1" readingOrder="1"/>
    </xf>
    <xf numFmtId="10" fontId="49" fillId="0" borderId="21" xfId="1" applyNumberFormat="1" applyFont="1" applyFill="1" applyBorder="1" applyAlignment="1">
      <alignment horizontal="right" vertical="center" wrapText="1" readingOrder="1"/>
    </xf>
    <xf numFmtId="0" fontId="49" fillId="0" borderId="22" xfId="0" applyNumberFormat="1" applyFont="1" applyFill="1" applyBorder="1" applyAlignment="1">
      <alignment horizontal="center" vertical="center" wrapText="1" readingOrder="1"/>
    </xf>
    <xf numFmtId="0" fontId="49" fillId="0" borderId="22" xfId="0" applyNumberFormat="1" applyFont="1" applyFill="1" applyBorder="1" applyAlignment="1">
      <alignment vertical="center" wrapText="1" readingOrder="1"/>
    </xf>
    <xf numFmtId="169" fontId="49" fillId="0" borderId="22" xfId="0" applyNumberFormat="1" applyFont="1" applyFill="1" applyBorder="1" applyAlignment="1">
      <alignment horizontal="right" vertical="center" wrapText="1" readingOrder="1"/>
    </xf>
    <xf numFmtId="10" fontId="49" fillId="0" borderId="22" xfId="1" applyNumberFormat="1" applyFont="1" applyFill="1" applyBorder="1" applyAlignment="1">
      <alignment horizontal="right" vertical="center" wrapText="1" readingOrder="1"/>
    </xf>
    <xf numFmtId="0" fontId="50" fillId="0" borderId="22" xfId="0" applyNumberFormat="1" applyFont="1" applyFill="1" applyBorder="1" applyAlignment="1">
      <alignment horizontal="center" vertical="center" wrapText="1" readingOrder="1"/>
    </xf>
    <xf numFmtId="0" fontId="50" fillId="0" borderId="22" xfId="0" applyNumberFormat="1" applyFont="1" applyFill="1" applyBorder="1" applyAlignment="1">
      <alignment vertical="center" wrapText="1" readingOrder="1"/>
    </xf>
    <xf numFmtId="169" fontId="50" fillId="0" borderId="22" xfId="0" applyNumberFormat="1" applyFont="1" applyFill="1" applyBorder="1" applyAlignment="1">
      <alignment horizontal="right" vertical="center" wrapText="1" readingOrder="1"/>
    </xf>
    <xf numFmtId="10" fontId="50" fillId="0" borderId="22" xfId="1" applyNumberFormat="1" applyFont="1" applyFill="1" applyBorder="1" applyAlignment="1">
      <alignment horizontal="right" vertical="center" wrapText="1" readingOrder="1"/>
    </xf>
    <xf numFmtId="0" fontId="39" fillId="0" borderId="22" xfId="0" applyNumberFormat="1" applyFont="1" applyFill="1" applyBorder="1" applyAlignment="1">
      <alignment horizontal="center" vertical="center" wrapText="1" readingOrder="1"/>
    </xf>
    <xf numFmtId="0" fontId="39" fillId="0" borderId="22" xfId="0" applyNumberFormat="1" applyFont="1" applyFill="1" applyBorder="1" applyAlignment="1">
      <alignment vertical="center" wrapText="1" readingOrder="1"/>
    </xf>
    <xf numFmtId="169" fontId="39" fillId="0" borderId="22" xfId="0" applyNumberFormat="1" applyFont="1" applyFill="1" applyBorder="1" applyAlignment="1">
      <alignment horizontal="right" vertical="center" wrapText="1" readingOrder="1"/>
    </xf>
    <xf numFmtId="0" fontId="49" fillId="0" borderId="22" xfId="0" applyNumberFormat="1" applyFont="1" applyFill="1" applyBorder="1" applyAlignment="1">
      <alignment horizontal="right" vertical="center" wrapText="1" readingOrder="1"/>
    </xf>
    <xf numFmtId="0" fontId="50" fillId="0" borderId="22" xfId="0" applyNumberFormat="1" applyFont="1" applyFill="1" applyBorder="1" applyAlignment="1">
      <alignment horizontal="right" vertical="center" wrapText="1" readingOrder="1"/>
    </xf>
    <xf numFmtId="0" fontId="49" fillId="0" borderId="23" xfId="0" applyNumberFormat="1" applyFont="1" applyFill="1" applyBorder="1" applyAlignment="1">
      <alignment horizontal="center" vertical="center" wrapText="1" readingOrder="1"/>
    </xf>
    <xf numFmtId="0" fontId="49" fillId="0" borderId="23" xfId="0" applyNumberFormat="1" applyFont="1" applyFill="1" applyBorder="1" applyAlignment="1">
      <alignment vertical="center" wrapText="1" readingOrder="1"/>
    </xf>
    <xf numFmtId="169" fontId="50" fillId="0" borderId="23" xfId="0" applyNumberFormat="1" applyFont="1" applyFill="1" applyBorder="1" applyAlignment="1">
      <alignment horizontal="right" vertical="center" wrapText="1" readingOrder="1"/>
    </xf>
    <xf numFmtId="169" fontId="49" fillId="0" borderId="23" xfId="0" applyNumberFormat="1" applyFont="1" applyFill="1" applyBorder="1" applyAlignment="1">
      <alignment horizontal="right" vertical="center" wrapText="1" readingOrder="1"/>
    </xf>
    <xf numFmtId="0" fontId="49" fillId="0" borderId="23" xfId="0" applyNumberFormat="1" applyFont="1" applyFill="1" applyBorder="1" applyAlignment="1">
      <alignment horizontal="right" vertical="center" wrapText="1" readingOrder="1"/>
    </xf>
    <xf numFmtId="0" fontId="49" fillId="0" borderId="15" xfId="0" applyNumberFormat="1" applyFont="1" applyFill="1" applyBorder="1" applyAlignment="1">
      <alignment horizontal="center" vertical="center" wrapText="1" readingOrder="1"/>
    </xf>
    <xf numFmtId="0" fontId="49" fillId="0" borderId="16" xfId="0" applyNumberFormat="1" applyFont="1" applyFill="1" applyBorder="1" applyAlignment="1">
      <alignment horizontal="center" vertical="center" wrapText="1" readingOrder="1"/>
    </xf>
    <xf numFmtId="0" fontId="49" fillId="0" borderId="15" xfId="0" applyNumberFormat="1" applyFont="1" applyFill="1" applyBorder="1" applyAlignment="1">
      <alignment horizontal="center" vertical="top" wrapText="1" readingOrder="1"/>
    </xf>
    <xf numFmtId="169" fontId="49" fillId="0" borderId="25" xfId="0" applyNumberFormat="1" applyFont="1" applyFill="1" applyBorder="1" applyAlignment="1">
      <alignment horizontal="right" vertical="center" wrapText="1" readingOrder="1"/>
    </xf>
    <xf numFmtId="0" fontId="49" fillId="0" borderId="16" xfId="0" applyNumberFormat="1" applyFont="1" applyFill="1" applyBorder="1" applyAlignment="1">
      <alignment horizontal="center" vertical="center" wrapText="1" readingOrder="1"/>
    </xf>
    <xf numFmtId="0" fontId="49" fillId="0" borderId="15" xfId="0" applyNumberFormat="1" applyFont="1" applyFill="1" applyBorder="1" applyAlignment="1">
      <alignment horizontal="center" vertical="center" wrapText="1" readingOrder="1"/>
    </xf>
    <xf numFmtId="0" fontId="45" fillId="0" borderId="1" xfId="0" applyFont="1" applyBorder="1" applyAlignment="1">
      <alignment horizontal="center" vertical="center" wrapText="1"/>
    </xf>
    <xf numFmtId="4" fontId="28" fillId="0" borderId="0" xfId="0" applyNumberFormat="1" applyFont="1"/>
    <xf numFmtId="0" fontId="52" fillId="0" borderId="0" xfId="0" applyFont="1" applyAlignment="1">
      <alignment horizontal="right" vertical="center"/>
    </xf>
    <xf numFmtId="0" fontId="46" fillId="0" borderId="1" xfId="0" applyFont="1" applyBorder="1" applyAlignment="1">
      <alignment vertical="center" wrapText="1"/>
    </xf>
    <xf numFmtId="0" fontId="45" fillId="0" borderId="1" xfId="0" applyFont="1" applyBorder="1" applyAlignment="1">
      <alignment vertical="center" wrapText="1"/>
    </xf>
    <xf numFmtId="3" fontId="45" fillId="0" borderId="1" xfId="0" applyNumberFormat="1" applyFont="1" applyBorder="1" applyAlignment="1">
      <alignment vertical="center" wrapText="1"/>
    </xf>
    <xf numFmtId="167" fontId="45" fillId="0" borderId="1" xfId="14" applyNumberFormat="1" applyFont="1" applyBorder="1" applyAlignment="1">
      <alignment vertical="center" wrapText="1"/>
    </xf>
    <xf numFmtId="43" fontId="45" fillId="0" borderId="1" xfId="14" applyFont="1" applyBorder="1" applyAlignment="1">
      <alignment vertical="center" wrapText="1"/>
    </xf>
    <xf numFmtId="165" fontId="45" fillId="0" borderId="1" xfId="14" applyNumberFormat="1" applyFont="1" applyBorder="1" applyAlignment="1">
      <alignment vertical="center" wrapText="1"/>
    </xf>
    <xf numFmtId="4" fontId="45" fillId="0" borderId="1" xfId="0" applyNumberFormat="1" applyFont="1" applyBorder="1" applyAlignment="1">
      <alignment vertical="center" wrapText="1"/>
    </xf>
    <xf numFmtId="10" fontId="45" fillId="0" borderId="1" xfId="0" applyNumberFormat="1" applyFont="1" applyBorder="1" applyAlignment="1">
      <alignment vertical="center" wrapText="1"/>
    </xf>
    <xf numFmtId="3" fontId="46" fillId="0" borderId="1" xfId="0" applyNumberFormat="1" applyFont="1" applyBorder="1" applyAlignment="1">
      <alignment vertical="center" wrapText="1"/>
    </xf>
    <xf numFmtId="170" fontId="46" fillId="0" borderId="1" xfId="0" applyNumberFormat="1" applyFont="1" applyBorder="1" applyAlignment="1">
      <alignment vertical="center" wrapText="1"/>
    </xf>
    <xf numFmtId="167" fontId="46" fillId="0" borderId="1" xfId="0" applyNumberFormat="1" applyFont="1" applyBorder="1" applyAlignment="1">
      <alignment vertical="center" wrapText="1"/>
    </xf>
    <xf numFmtId="167" fontId="46" fillId="0" borderId="1" xfId="14" applyNumberFormat="1" applyFont="1" applyBorder="1" applyAlignment="1">
      <alignment vertical="center" wrapText="1"/>
    </xf>
    <xf numFmtId="4" fontId="46" fillId="0" borderId="1" xfId="0" applyNumberFormat="1" applyFont="1" applyBorder="1" applyAlignment="1">
      <alignment vertical="center" wrapText="1"/>
    </xf>
    <xf numFmtId="4" fontId="46" fillId="0" borderId="1" xfId="14" applyNumberFormat="1" applyFont="1" applyBorder="1" applyAlignment="1">
      <alignment vertical="center" wrapText="1"/>
    </xf>
    <xf numFmtId="10" fontId="46" fillId="0" borderId="1" xfId="0" applyNumberFormat="1" applyFont="1" applyBorder="1" applyAlignment="1">
      <alignment vertical="center" wrapText="1"/>
    </xf>
    <xf numFmtId="4" fontId="42" fillId="0" borderId="1" xfId="0" applyNumberFormat="1" applyFont="1" applyBorder="1" applyAlignment="1">
      <alignment vertical="center" wrapText="1"/>
    </xf>
    <xf numFmtId="10" fontId="42" fillId="0" borderId="1" xfId="0" applyNumberFormat="1" applyFont="1" applyBorder="1" applyAlignment="1">
      <alignment vertical="center" wrapText="1"/>
    </xf>
    <xf numFmtId="0" fontId="53" fillId="0" borderId="0" xfId="0" applyFont="1" applyAlignment="1">
      <alignment vertical="center"/>
    </xf>
    <xf numFmtId="0" fontId="24" fillId="0" borderId="0" xfId="0" applyFont="1" applyAlignment="1">
      <alignment vertical="center"/>
    </xf>
    <xf numFmtId="0" fontId="47" fillId="0" borderId="1" xfId="0" applyFont="1" applyBorder="1" applyAlignment="1">
      <alignment horizontal="center" vertical="center" wrapText="1"/>
    </xf>
    <xf numFmtId="0" fontId="48" fillId="0" borderId="1" xfId="0" applyFont="1" applyBorder="1" applyAlignment="1">
      <alignment horizontal="center" vertical="center"/>
    </xf>
    <xf numFmtId="0" fontId="54" fillId="0" borderId="1" xfId="0" applyFont="1" applyBorder="1" applyAlignment="1">
      <alignment horizontal="center" vertical="center" wrapText="1"/>
    </xf>
    <xf numFmtId="168" fontId="47" fillId="0" borderId="1" xfId="0" applyNumberFormat="1" applyFont="1" applyBorder="1" applyAlignment="1">
      <alignment horizontal="right" vertical="center" wrapText="1"/>
    </xf>
    <xf numFmtId="10" fontId="47" fillId="0" borderId="1" xfId="1" applyNumberFormat="1" applyFont="1" applyBorder="1" applyAlignment="1">
      <alignment horizontal="right" vertical="center" wrapText="1"/>
    </xf>
    <xf numFmtId="0" fontId="47" fillId="0" borderId="1" xfId="0" applyFont="1" applyBorder="1" applyAlignment="1">
      <alignment horizontal="right" vertical="center" wrapText="1"/>
    </xf>
    <xf numFmtId="0" fontId="47" fillId="0" borderId="1" xfId="0" applyFont="1" applyBorder="1" applyAlignment="1">
      <alignment horizontal="center" vertical="center"/>
    </xf>
    <xf numFmtId="166" fontId="49" fillId="0" borderId="21" xfId="1" applyNumberFormat="1" applyFont="1" applyFill="1" applyBorder="1" applyAlignment="1">
      <alignment horizontal="right" vertical="center" wrapText="1" readingOrder="1"/>
    </xf>
    <xf numFmtId="166" fontId="49" fillId="0" borderId="22" xfId="1" applyNumberFormat="1" applyFont="1" applyFill="1" applyBorder="1" applyAlignment="1">
      <alignment horizontal="right" vertical="center" wrapText="1" readingOrder="1"/>
    </xf>
    <xf numFmtId="166" fontId="50" fillId="0" borderId="22" xfId="1" applyNumberFormat="1" applyFont="1" applyFill="1" applyBorder="1" applyAlignment="1">
      <alignment horizontal="right" vertical="center" wrapText="1" readingOrder="1"/>
    </xf>
    <xf numFmtId="0" fontId="49" fillId="0" borderId="21" xfId="0" applyNumberFormat="1" applyFont="1" applyFill="1" applyBorder="1" applyAlignment="1">
      <alignment horizontal="right" vertical="center" wrapText="1" readingOrder="1"/>
    </xf>
    <xf numFmtId="10" fontId="49" fillId="0" borderId="23" xfId="1" applyNumberFormat="1" applyFont="1" applyFill="1" applyBorder="1" applyAlignment="1">
      <alignment horizontal="right" vertical="center" wrapText="1" readingOrder="1"/>
    </xf>
    <xf numFmtId="0" fontId="49" fillId="0" borderId="26" xfId="0" applyNumberFormat="1" applyFont="1" applyFill="1" applyBorder="1" applyAlignment="1">
      <alignment horizontal="right" vertical="center" wrapText="1" readingOrder="1"/>
    </xf>
    <xf numFmtId="0" fontId="49" fillId="0" borderId="27" xfId="0" applyNumberFormat="1" applyFont="1" applyFill="1" applyBorder="1" applyAlignment="1">
      <alignment horizontal="right" vertical="center" wrapText="1" readingOrder="1"/>
    </xf>
    <xf numFmtId="0" fontId="47" fillId="0" borderId="24" xfId="0" applyFont="1" applyBorder="1" applyAlignment="1">
      <alignment horizontal="center" vertical="center" wrapText="1"/>
    </xf>
    <xf numFmtId="0" fontId="47" fillId="0" borderId="24" xfId="0" applyFont="1" applyBorder="1" applyAlignment="1">
      <alignment horizontal="left" vertical="center" wrapText="1"/>
    </xf>
    <xf numFmtId="168" fontId="47" fillId="0" borderId="24" xfId="0" applyNumberFormat="1" applyFont="1" applyBorder="1" applyAlignment="1">
      <alignment horizontal="right" vertical="center" wrapText="1"/>
    </xf>
    <xf numFmtId="0" fontId="54" fillId="0" borderId="24" xfId="0" applyFont="1" applyBorder="1" applyAlignment="1">
      <alignment horizontal="center" vertical="center" wrapText="1"/>
    </xf>
    <xf numFmtId="168" fontId="41" fillId="0" borderId="24" xfId="0" applyNumberFormat="1" applyFont="1" applyBorder="1" applyAlignment="1">
      <alignment horizontal="center" vertical="center" wrapText="1"/>
    </xf>
    <xf numFmtId="0" fontId="47" fillId="0" borderId="24" xfId="0" applyFont="1" applyBorder="1" applyAlignment="1">
      <alignment horizontal="right" vertical="center" wrapText="1"/>
    </xf>
    <xf numFmtId="0" fontId="48" fillId="0" borderId="2" xfId="0" applyFont="1" applyBorder="1" applyAlignment="1">
      <alignment horizontal="center" vertical="center" wrapText="1"/>
    </xf>
    <xf numFmtId="0" fontId="48" fillId="0" borderId="2" xfId="0" applyFont="1" applyBorder="1" applyAlignment="1">
      <alignment horizontal="left" vertical="center" wrapText="1"/>
    </xf>
    <xf numFmtId="168" fontId="48" fillId="0" borderId="2" xfId="0" applyNumberFormat="1" applyFont="1" applyBorder="1" applyAlignment="1">
      <alignment horizontal="right" vertical="center" wrapText="1"/>
    </xf>
    <xf numFmtId="0" fontId="54" fillId="0" borderId="2" xfId="0" applyFont="1" applyBorder="1" applyAlignment="1">
      <alignment horizontal="center" vertical="center" wrapText="1"/>
    </xf>
    <xf numFmtId="0" fontId="48" fillId="0" borderId="2" xfId="0" applyFont="1" applyBorder="1" applyAlignment="1">
      <alignment horizontal="right" vertical="center" wrapText="1"/>
    </xf>
    <xf numFmtId="0" fontId="55" fillId="0" borderId="2" xfId="0" applyFont="1" applyBorder="1" applyAlignment="1">
      <alignment horizontal="center" vertical="center" wrapText="1"/>
    </xf>
    <xf numFmtId="0" fontId="55" fillId="0" borderId="2" xfId="0" applyFont="1" applyBorder="1" applyAlignment="1">
      <alignment horizontal="left" vertical="center" wrapText="1"/>
    </xf>
    <xf numFmtId="168" fontId="55" fillId="0" borderId="2" xfId="0" applyNumberFormat="1" applyFont="1" applyBorder="1" applyAlignment="1">
      <alignment horizontal="right" vertical="center" wrapText="1"/>
    </xf>
    <xf numFmtId="0" fontId="55" fillId="0" borderId="2" xfId="0" applyFont="1" applyBorder="1" applyAlignment="1">
      <alignment horizontal="right" vertical="center" wrapText="1"/>
    </xf>
    <xf numFmtId="0" fontId="47" fillId="0" borderId="2" xfId="0" applyFont="1" applyBorder="1" applyAlignment="1">
      <alignment horizontal="center" vertical="center" wrapText="1"/>
    </xf>
    <xf numFmtId="0" fontId="47" fillId="0" borderId="2" xfId="0" applyFont="1" applyBorder="1" applyAlignment="1">
      <alignment horizontal="left" vertical="center" wrapText="1"/>
    </xf>
    <xf numFmtId="168" fontId="47" fillId="0" borderId="2" xfId="0" applyNumberFormat="1" applyFont="1" applyBorder="1" applyAlignment="1">
      <alignment horizontal="right" vertical="center" wrapText="1"/>
    </xf>
    <xf numFmtId="0" fontId="28" fillId="0" borderId="28" xfId="0" applyFont="1" applyBorder="1"/>
    <xf numFmtId="0" fontId="47" fillId="0" borderId="3" xfId="0" applyFont="1" applyBorder="1" applyAlignment="1">
      <alignment horizontal="center" vertical="center" wrapText="1"/>
    </xf>
    <xf numFmtId="0" fontId="47" fillId="0" borderId="3" xfId="0" applyFont="1" applyBorder="1" applyAlignment="1">
      <alignment horizontal="left" vertical="center" wrapText="1"/>
    </xf>
    <xf numFmtId="0" fontId="54" fillId="0" borderId="3" xfId="0" applyFont="1" applyBorder="1" applyAlignment="1">
      <alignment horizontal="center" vertical="center" wrapText="1"/>
    </xf>
    <xf numFmtId="168" fontId="47" fillId="0" borderId="3" xfId="0" applyNumberFormat="1" applyFont="1" applyBorder="1" applyAlignment="1">
      <alignment horizontal="right" vertical="center" wrapText="1"/>
    </xf>
    <xf numFmtId="0" fontId="48" fillId="0" borderId="24" xfId="0" applyFont="1" applyBorder="1" applyAlignment="1">
      <alignment horizontal="center" vertical="center" wrapText="1"/>
    </xf>
    <xf numFmtId="0" fontId="48" fillId="0" borderId="24" xfId="0" applyFont="1" applyBorder="1" applyAlignment="1">
      <alignment horizontal="left" vertical="center" wrapText="1"/>
    </xf>
    <xf numFmtId="168" fontId="48" fillId="0" borderId="24" xfId="0" applyNumberFormat="1" applyFont="1" applyBorder="1" applyAlignment="1">
      <alignment horizontal="right" vertical="center" wrapText="1"/>
    </xf>
    <xf numFmtId="0" fontId="48" fillId="0" borderId="24" xfId="0" applyFont="1" applyBorder="1" applyAlignment="1">
      <alignment horizontal="right" vertical="center" wrapText="1"/>
    </xf>
    <xf numFmtId="0" fontId="48" fillId="0" borderId="29" xfId="0" applyFont="1" applyBorder="1" applyAlignment="1">
      <alignment horizontal="left" vertical="center" wrapText="1"/>
    </xf>
    <xf numFmtId="0" fontId="48" fillId="0" borderId="3" xfId="0" applyFont="1" applyBorder="1" applyAlignment="1">
      <alignment horizontal="center" vertical="center" wrapText="1"/>
    </xf>
    <xf numFmtId="0" fontId="48" fillId="0" borderId="30" xfId="0" applyFont="1" applyBorder="1" applyAlignment="1">
      <alignment horizontal="left" vertical="center" wrapText="1"/>
    </xf>
    <xf numFmtId="168" fontId="48" fillId="0" borderId="3" xfId="0" applyNumberFormat="1" applyFont="1" applyBorder="1" applyAlignment="1">
      <alignment horizontal="right" vertical="center" wrapText="1"/>
    </xf>
    <xf numFmtId="0" fontId="48" fillId="0" borderId="3" xfId="0" applyFont="1" applyBorder="1" applyAlignment="1">
      <alignment horizontal="right" vertical="center" wrapText="1"/>
    </xf>
    <xf numFmtId="0" fontId="36" fillId="0" borderId="0" xfId="0" applyFont="1" applyFill="1" applyAlignment="1">
      <alignment horizontal="center" vertical="center"/>
    </xf>
    <xf numFmtId="0" fontId="38" fillId="0" borderId="0" xfId="0" applyFont="1" applyFill="1" applyAlignment="1">
      <alignment horizontal="center" vertical="center"/>
    </xf>
    <xf numFmtId="0" fontId="49" fillId="0" borderId="15" xfId="0" applyNumberFormat="1" applyFont="1" applyFill="1" applyBorder="1" applyAlignment="1">
      <alignment horizontal="center" vertical="top" wrapText="1" readingOrder="1"/>
    </xf>
    <xf numFmtId="0" fontId="23" fillId="0" borderId="20" xfId="0" applyNumberFormat="1" applyFont="1" applyFill="1" applyBorder="1" applyAlignment="1">
      <alignment vertical="top" wrapText="1"/>
    </xf>
    <xf numFmtId="0" fontId="49" fillId="0" borderId="18" xfId="0" applyNumberFormat="1" applyFont="1" applyFill="1" applyBorder="1" applyAlignment="1">
      <alignment horizontal="center" vertical="center" wrapText="1" readingOrder="1"/>
    </xf>
    <xf numFmtId="0" fontId="49" fillId="0" borderId="16" xfId="0" applyNumberFormat="1" applyFont="1" applyFill="1" applyBorder="1" applyAlignment="1">
      <alignment horizontal="center" vertical="center" wrapText="1" readingOrder="1"/>
    </xf>
    <xf numFmtId="0" fontId="39" fillId="0" borderId="13" xfId="0" applyFont="1" applyFill="1" applyBorder="1" applyAlignment="1">
      <alignment horizontal="right" vertical="center"/>
    </xf>
    <xf numFmtId="0" fontId="44" fillId="0" borderId="0" xfId="0" applyFont="1" applyAlignment="1">
      <alignment horizontal="center" vertical="center"/>
    </xf>
    <xf numFmtId="0" fontId="26" fillId="0" borderId="0" xfId="0" applyFont="1" applyAlignment="1">
      <alignment horizontal="center"/>
    </xf>
    <xf numFmtId="0" fontId="31" fillId="0" borderId="15" xfId="0" applyNumberFormat="1" applyFont="1" applyFill="1" applyBorder="1" applyAlignment="1">
      <alignment horizontal="center" vertical="top" wrapText="1" readingOrder="1"/>
    </xf>
    <xf numFmtId="0" fontId="32" fillId="0" borderId="17" xfId="0" applyNumberFormat="1" applyFont="1" applyFill="1" applyBorder="1" applyAlignment="1">
      <alignment vertical="top" wrapText="1"/>
    </xf>
    <xf numFmtId="0" fontId="31" fillId="0" borderId="18" xfId="0" applyNumberFormat="1" applyFont="1" applyFill="1" applyBorder="1" applyAlignment="1">
      <alignment horizontal="center" vertical="top" wrapText="1" readingOrder="1"/>
    </xf>
    <xf numFmtId="0" fontId="32" fillId="0" borderId="19" xfId="0" applyNumberFormat="1" applyFont="1" applyFill="1" applyBorder="1" applyAlignment="1">
      <alignment vertical="top" wrapText="1"/>
    </xf>
    <xf numFmtId="0" fontId="32" fillId="0" borderId="20" xfId="0" applyNumberFormat="1" applyFont="1" applyFill="1" applyBorder="1" applyAlignment="1">
      <alignment vertical="top" wrapText="1"/>
    </xf>
    <xf numFmtId="0" fontId="38" fillId="0" borderId="0" xfId="0" applyFont="1" applyAlignment="1">
      <alignment horizontal="center" vertical="center"/>
    </xf>
    <xf numFmtId="0" fontId="24" fillId="0" borderId="18" xfId="0" applyNumberFormat="1" applyFont="1" applyFill="1" applyBorder="1" applyAlignment="1">
      <alignment horizontal="center" vertical="center" wrapText="1" readingOrder="1"/>
    </xf>
    <xf numFmtId="0" fontId="31" fillId="0" borderId="16" xfId="0" applyNumberFormat="1" applyFont="1" applyFill="1" applyBorder="1" applyAlignment="1">
      <alignment horizontal="center" vertical="center" wrapText="1" readingOrder="1"/>
    </xf>
    <xf numFmtId="0" fontId="24" fillId="0" borderId="16" xfId="0" applyNumberFormat="1" applyFont="1" applyFill="1" applyBorder="1" applyAlignment="1">
      <alignment horizontal="center" vertical="center" wrapText="1" readingOrder="1"/>
    </xf>
    <xf numFmtId="0" fontId="43" fillId="0" borderId="13" xfId="0" applyFont="1" applyBorder="1" applyAlignment="1">
      <alignment horizontal="right"/>
    </xf>
    <xf numFmtId="0" fontId="40" fillId="0" borderId="0" xfId="0" applyFont="1" applyAlignment="1">
      <alignment horizontal="center" vertical="center"/>
    </xf>
    <xf numFmtId="0" fontId="39" fillId="0" borderId="0" xfId="0" applyFont="1" applyAlignment="1">
      <alignment horizontal="center" vertical="center"/>
    </xf>
    <xf numFmtId="0" fontId="36" fillId="0" borderId="0" xfId="0" applyFont="1" applyAlignment="1">
      <alignment horizontal="center" vertical="center" wrapText="1"/>
    </xf>
    <xf numFmtId="0" fontId="49" fillId="0" borderId="15" xfId="0" applyNumberFormat="1" applyFont="1" applyFill="1" applyBorder="1" applyAlignment="1">
      <alignment horizontal="center" vertical="center" wrapText="1" readingOrder="1"/>
    </xf>
    <xf numFmtId="0" fontId="23" fillId="0" borderId="20" xfId="0" applyNumberFormat="1" applyFont="1" applyFill="1" applyBorder="1" applyAlignment="1">
      <alignment vertical="center" wrapText="1"/>
    </xf>
    <xf numFmtId="0" fontId="51" fillId="0" borderId="0" xfId="0" applyFont="1" applyAlignment="1">
      <alignment horizontal="center" vertical="center"/>
    </xf>
    <xf numFmtId="0" fontId="44" fillId="0" borderId="0" xfId="0" applyFont="1" applyAlignment="1">
      <alignment horizontal="center" vertical="center" wrapText="1"/>
    </xf>
    <xf numFmtId="0" fontId="23" fillId="0" borderId="17" xfId="0" applyNumberFormat="1" applyFont="1" applyFill="1" applyBorder="1" applyAlignment="1">
      <alignment horizontal="center" vertical="top" wrapText="1"/>
    </xf>
    <xf numFmtId="0" fontId="23" fillId="0" borderId="20" xfId="0" applyNumberFormat="1" applyFont="1" applyFill="1" applyBorder="1" applyAlignment="1">
      <alignment horizontal="center" vertical="top" wrapText="1"/>
    </xf>
    <xf numFmtId="0" fontId="6" fillId="0" borderId="0" xfId="2" applyFont="1" applyAlignment="1">
      <alignment horizontal="center" vertical="center"/>
    </xf>
    <xf numFmtId="0" fontId="47"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10" fillId="0" borderId="0" xfId="0" applyFont="1" applyAlignment="1">
      <alignment horizontal="center" vertical="center" wrapText="1"/>
    </xf>
    <xf numFmtId="0" fontId="47" fillId="0" borderId="1" xfId="0" applyFont="1" applyBorder="1" applyAlignment="1">
      <alignment horizontal="center" vertical="center"/>
    </xf>
    <xf numFmtId="0" fontId="13" fillId="0" borderId="14" xfId="2" applyFont="1" applyBorder="1" applyAlignment="1">
      <alignment horizontal="center"/>
    </xf>
    <xf numFmtId="0" fontId="36" fillId="0" borderId="0" xfId="0" applyFont="1" applyAlignment="1">
      <alignment horizontal="center" vertical="center"/>
    </xf>
    <xf numFmtId="0" fontId="37" fillId="0" borderId="0" xfId="0" applyFont="1" applyAlignment="1">
      <alignment horizontal="center" vertical="center"/>
    </xf>
    <xf numFmtId="0" fontId="24" fillId="0" borderId="1" xfId="0" applyFont="1" applyBorder="1" applyAlignment="1">
      <alignment horizontal="center" vertical="center" wrapText="1"/>
    </xf>
    <xf numFmtId="0" fontId="7" fillId="0" borderId="5" xfId="2" applyFont="1" applyBorder="1" applyAlignment="1">
      <alignment horizontal="center" vertical="center"/>
    </xf>
    <xf numFmtId="0" fontId="7" fillId="0" borderId="4" xfId="2" applyFont="1" applyBorder="1" applyAlignment="1">
      <alignment horizontal="center" vertical="center"/>
    </xf>
    <xf numFmtId="0" fontId="7" fillId="0" borderId="9" xfId="2" applyFont="1" applyBorder="1" applyAlignment="1">
      <alignment horizontal="center" vertical="center"/>
    </xf>
    <xf numFmtId="0" fontId="10" fillId="0" borderId="0" xfId="3" applyFont="1" applyAlignment="1">
      <alignment horizontal="center" vertical="center" wrapText="1"/>
    </xf>
    <xf numFmtId="0" fontId="7" fillId="0" borderId="5" xfId="2" applyFont="1" applyBorder="1" applyAlignment="1">
      <alignment horizontal="center" vertical="center" wrapText="1"/>
    </xf>
    <xf numFmtId="0" fontId="7" fillId="0" borderId="4" xfId="2" applyFont="1" applyBorder="1" applyAlignment="1">
      <alignment horizontal="center" vertical="center" wrapText="1"/>
    </xf>
    <xf numFmtId="0" fontId="7" fillId="0" borderId="9" xfId="2" applyFont="1" applyBorder="1" applyAlignment="1">
      <alignment horizontal="center" vertical="center" wrapText="1"/>
    </xf>
    <xf numFmtId="0" fontId="7" fillId="0" borderId="6" xfId="2" applyFont="1" applyBorder="1" applyAlignment="1">
      <alignment horizontal="center" vertical="center"/>
    </xf>
    <xf numFmtId="0" fontId="9" fillId="0" borderId="7" xfId="2" applyFont="1" applyBorder="1" applyAlignment="1">
      <alignment horizontal="center" vertical="center"/>
    </xf>
    <xf numFmtId="0" fontId="9" fillId="0" borderId="8" xfId="2" applyFont="1" applyBorder="1" applyAlignment="1">
      <alignment horizontal="center" vertical="center"/>
    </xf>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6" xfId="2" applyFont="1" applyBorder="1" applyAlignment="1">
      <alignment horizontal="center" vertical="center" wrapText="1"/>
    </xf>
    <xf numFmtId="0" fontId="7" fillId="0" borderId="8" xfId="2" applyFont="1" applyBorder="1" applyAlignment="1">
      <alignment horizontal="center" vertical="center" wrapText="1"/>
    </xf>
    <xf numFmtId="0" fontId="9" fillId="0" borderId="5" xfId="2" applyFont="1" applyBorder="1" applyAlignment="1">
      <alignment horizontal="center" vertical="center" wrapText="1"/>
    </xf>
    <xf numFmtId="0" fontId="9" fillId="0" borderId="4" xfId="2" applyFont="1" applyBorder="1" applyAlignment="1">
      <alignment horizontal="center" vertical="center" wrapText="1"/>
    </xf>
    <xf numFmtId="0" fontId="9" fillId="0" borderId="9" xfId="2" applyFont="1" applyBorder="1" applyAlignment="1">
      <alignment horizontal="center" vertical="center" wrapText="1"/>
    </xf>
    <xf numFmtId="0" fontId="9" fillId="0" borderId="6" xfId="2" applyFont="1" applyBorder="1" applyAlignment="1">
      <alignment horizontal="center" vertical="center" wrapText="1"/>
    </xf>
    <xf numFmtId="0" fontId="9" fillId="0" borderId="7" xfId="2" applyFont="1" applyBorder="1" applyAlignment="1">
      <alignment horizontal="center" vertical="center" wrapText="1"/>
    </xf>
    <xf numFmtId="0" fontId="9" fillId="0" borderId="8" xfId="2" applyFont="1" applyBorder="1" applyAlignment="1">
      <alignment horizontal="center" vertical="center" wrapText="1"/>
    </xf>
    <xf numFmtId="0" fontId="9" fillId="0" borderId="7" xfId="0" applyFont="1" applyBorder="1" applyAlignment="1">
      <alignment vertical="center"/>
    </xf>
    <xf numFmtId="0" fontId="9" fillId="0" borderId="8" xfId="0" applyFont="1" applyBorder="1" applyAlignment="1">
      <alignment vertical="center"/>
    </xf>
    <xf numFmtId="0" fontId="56" fillId="0" borderId="0" xfId="0" applyFont="1" applyFill="1" applyAlignment="1">
      <alignment horizontal="center" vertical="center" wrapText="1"/>
    </xf>
    <xf numFmtId="0" fontId="56" fillId="0" borderId="0" xfId="0" applyFont="1" applyFill="1" applyAlignment="1">
      <alignment vertical="center" wrapText="1"/>
    </xf>
  </cellXfs>
  <cellStyles count="16">
    <cellStyle name="Comma" xfId="14" builtinId="3"/>
    <cellStyle name="Comma 2" xfId="15" xr:uid="{00000000-0005-0000-0000-000001000000}"/>
    <cellStyle name="Normal" xfId="0" builtinId="0"/>
    <cellStyle name="Normal 10" xfId="5" xr:uid="{00000000-0005-0000-0000-000003000000}"/>
    <cellStyle name="Normal 11" xfId="6" xr:uid="{00000000-0005-0000-0000-000004000000}"/>
    <cellStyle name="Normal 13" xfId="7" xr:uid="{00000000-0005-0000-0000-000005000000}"/>
    <cellStyle name="Normal 15" xfId="8" xr:uid="{00000000-0005-0000-0000-000006000000}"/>
    <cellStyle name="Normal 2" xfId="2" xr:uid="{00000000-0005-0000-0000-000007000000}"/>
    <cellStyle name="Normal 2 2" xfId="13" xr:uid="{00000000-0005-0000-0000-000008000000}"/>
    <cellStyle name="Normal 20" xfId="9" xr:uid="{00000000-0005-0000-0000-000009000000}"/>
    <cellStyle name="Normal 23" xfId="10" xr:uid="{00000000-0005-0000-0000-00000A000000}"/>
    <cellStyle name="Normal 25" xfId="11" xr:uid="{00000000-0005-0000-0000-00000B000000}"/>
    <cellStyle name="Normal 28" xfId="12" xr:uid="{00000000-0005-0000-0000-00000C000000}"/>
    <cellStyle name="Normal 8" xfId="3" xr:uid="{00000000-0005-0000-0000-00000D000000}"/>
    <cellStyle name="Normal 9" xfId="4" xr:uid="{00000000-0005-0000-0000-00000E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G47"/>
  <sheetViews>
    <sheetView workbookViewId="0">
      <selection activeCell="D1" sqref="D1:F1"/>
    </sheetView>
  </sheetViews>
  <sheetFormatPr defaultRowHeight="15.6"/>
  <cols>
    <col min="1" max="1" width="6" style="49" customWidth="1"/>
    <col min="2" max="2" width="37.796875" style="49" customWidth="1"/>
    <col min="3" max="4" width="12.5" style="49" customWidth="1"/>
    <col min="5" max="5" width="11.3984375" style="49" customWidth="1"/>
    <col min="6" max="6" width="10.59765625" style="49" customWidth="1"/>
    <col min="7" max="7" width="14.5" style="49" bestFit="1" customWidth="1"/>
    <col min="8" max="16384" width="8.796875" style="49"/>
  </cols>
  <sheetData>
    <row r="1" spans="1:6" ht="56.4" customHeight="1">
      <c r="D1" s="228" t="s">
        <v>515</v>
      </c>
      <c r="E1" s="228"/>
      <c r="F1" s="228"/>
    </row>
    <row r="2" spans="1:6" ht="24" customHeight="1">
      <c r="A2" s="169" t="s">
        <v>501</v>
      </c>
      <c r="B2" s="169"/>
      <c r="C2" s="169"/>
      <c r="D2" s="169"/>
      <c r="E2" s="169"/>
      <c r="F2" s="169"/>
    </row>
    <row r="3" spans="1:6" ht="24" customHeight="1">
      <c r="A3" s="170" t="s">
        <v>516</v>
      </c>
      <c r="B3" s="170"/>
      <c r="C3" s="170"/>
      <c r="D3" s="170"/>
      <c r="E3" s="170"/>
      <c r="F3" s="170"/>
    </row>
    <row r="4" spans="1:6" ht="16.8">
      <c r="A4" s="52"/>
      <c r="B4" s="52"/>
      <c r="C4" s="52"/>
      <c r="D4" s="52"/>
      <c r="E4" s="175" t="s">
        <v>402</v>
      </c>
      <c r="F4" s="175"/>
    </row>
    <row r="5" spans="1:6">
      <c r="A5" s="173" t="s">
        <v>1</v>
      </c>
      <c r="B5" s="173" t="s">
        <v>2</v>
      </c>
      <c r="C5" s="173" t="s">
        <v>3</v>
      </c>
      <c r="D5" s="173" t="s">
        <v>4</v>
      </c>
      <c r="E5" s="171" t="s">
        <v>441</v>
      </c>
      <c r="F5" s="172"/>
    </row>
    <row r="6" spans="1:6" ht="27.6">
      <c r="A6" s="174"/>
      <c r="B6" s="174"/>
      <c r="C6" s="174"/>
      <c r="D6" s="174"/>
      <c r="E6" s="95" t="s">
        <v>434</v>
      </c>
      <c r="F6" s="95" t="s">
        <v>435</v>
      </c>
    </row>
    <row r="7" spans="1:6">
      <c r="A7" s="96" t="s">
        <v>5</v>
      </c>
      <c r="B7" s="96" t="s">
        <v>6</v>
      </c>
      <c r="C7" s="96" t="s">
        <v>122</v>
      </c>
      <c r="D7" s="96" t="s">
        <v>123</v>
      </c>
      <c r="E7" s="95" t="s">
        <v>160</v>
      </c>
      <c r="F7" s="95" t="s">
        <v>161</v>
      </c>
    </row>
    <row r="8" spans="1:6" ht="18" customHeight="1">
      <c r="A8" s="73" t="s">
        <v>5</v>
      </c>
      <c r="B8" s="74" t="s">
        <v>7</v>
      </c>
      <c r="C8" s="75">
        <f>+C9+C12+C16+C17+C18+C19</f>
        <v>124134</v>
      </c>
      <c r="D8" s="75">
        <f>+D9+D12+D17+D18</f>
        <v>144925</v>
      </c>
      <c r="E8" s="75">
        <f>+D8-C8</f>
        <v>20791</v>
      </c>
      <c r="F8" s="130">
        <f>+D8/C8</f>
        <v>1.1674883593536018</v>
      </c>
    </row>
    <row r="9" spans="1:6" ht="18" customHeight="1">
      <c r="A9" s="77" t="s">
        <v>8</v>
      </c>
      <c r="B9" s="78" t="s">
        <v>9</v>
      </c>
      <c r="C9" s="79">
        <v>0</v>
      </c>
      <c r="D9" s="79">
        <v>180</v>
      </c>
      <c r="E9" s="79">
        <f>+D9-C9</f>
        <v>180</v>
      </c>
      <c r="F9" s="131"/>
    </row>
    <row r="10" spans="1:6" ht="18" customHeight="1">
      <c r="A10" s="81" t="s">
        <v>122</v>
      </c>
      <c r="B10" s="82" t="s">
        <v>436</v>
      </c>
      <c r="C10" s="83">
        <v>0</v>
      </c>
      <c r="D10" s="83">
        <v>180.198565</v>
      </c>
      <c r="E10" s="83">
        <f>+D10-C10</f>
        <v>180.198565</v>
      </c>
      <c r="F10" s="132"/>
    </row>
    <row r="11" spans="1:6" ht="18" customHeight="1">
      <c r="A11" s="81" t="s">
        <v>123</v>
      </c>
      <c r="B11" s="82" t="s">
        <v>11</v>
      </c>
      <c r="C11" s="83">
        <v>0</v>
      </c>
      <c r="D11" s="83">
        <v>0</v>
      </c>
      <c r="E11" s="83">
        <v>0</v>
      </c>
      <c r="F11" s="132"/>
    </row>
    <row r="12" spans="1:6" ht="18" customHeight="1">
      <c r="A12" s="77" t="s">
        <v>12</v>
      </c>
      <c r="B12" s="78" t="s">
        <v>44</v>
      </c>
      <c r="C12" s="79">
        <f>+C13+C14+C15</f>
        <v>110863</v>
      </c>
      <c r="D12" s="79">
        <f>+D13+D15</f>
        <v>142247</v>
      </c>
      <c r="E12" s="79">
        <f>+D12-C12</f>
        <v>31384</v>
      </c>
      <c r="F12" s="131">
        <f t="shared" ref="F12:F28" si="0">+D12/C12</f>
        <v>1.2830881358072577</v>
      </c>
    </row>
    <row r="13" spans="1:6" ht="18" customHeight="1">
      <c r="A13" s="81" t="s">
        <v>10</v>
      </c>
      <c r="B13" s="82" t="s">
        <v>13</v>
      </c>
      <c r="C13" s="83">
        <v>14866</v>
      </c>
      <c r="D13" s="83">
        <v>14866</v>
      </c>
      <c r="E13" s="83">
        <f>+D13-C13</f>
        <v>0</v>
      </c>
      <c r="F13" s="132">
        <f t="shared" si="0"/>
        <v>1</v>
      </c>
    </row>
    <row r="14" spans="1:6" ht="18" customHeight="1">
      <c r="A14" s="81" t="s">
        <v>10</v>
      </c>
      <c r="B14" s="82" t="s">
        <v>437</v>
      </c>
      <c r="C14" s="83">
        <v>0</v>
      </c>
      <c r="D14" s="83">
        <v>0</v>
      </c>
      <c r="E14" s="83">
        <v>0</v>
      </c>
      <c r="F14" s="131"/>
    </row>
    <row r="15" spans="1:6" ht="18" customHeight="1">
      <c r="A15" s="81" t="s">
        <v>10</v>
      </c>
      <c r="B15" s="82" t="s">
        <v>14</v>
      </c>
      <c r="C15" s="83">
        <v>95997</v>
      </c>
      <c r="D15" s="83">
        <v>127381</v>
      </c>
      <c r="E15" s="83">
        <f>+D15-C15</f>
        <v>31384</v>
      </c>
      <c r="F15" s="132">
        <f t="shared" si="0"/>
        <v>1.3269268831317644</v>
      </c>
    </row>
    <row r="16" spans="1:6" ht="30.6" customHeight="1">
      <c r="A16" s="77" t="s">
        <v>15</v>
      </c>
      <c r="B16" s="78" t="s">
        <v>438</v>
      </c>
      <c r="C16" s="79">
        <v>0</v>
      </c>
      <c r="D16" s="79">
        <v>0</v>
      </c>
      <c r="E16" s="79">
        <v>0</v>
      </c>
      <c r="F16" s="131"/>
    </row>
    <row r="17" spans="1:7" ht="18" customHeight="1">
      <c r="A17" s="77" t="s">
        <v>16</v>
      </c>
      <c r="B17" s="78" t="s">
        <v>17</v>
      </c>
      <c r="C17" s="79">
        <v>4868</v>
      </c>
      <c r="D17" s="79">
        <v>376</v>
      </c>
      <c r="E17" s="79">
        <f>+D17-C17</f>
        <v>-4492</v>
      </c>
      <c r="F17" s="131">
        <f t="shared" si="0"/>
        <v>7.7239112571898111E-2</v>
      </c>
    </row>
    <row r="18" spans="1:7" ht="17.399999999999999" customHeight="1">
      <c r="A18" s="77" t="s">
        <v>18</v>
      </c>
      <c r="B18" s="78" t="s">
        <v>19</v>
      </c>
      <c r="C18" s="79">
        <v>5281</v>
      </c>
      <c r="D18" s="79">
        <v>2122</v>
      </c>
      <c r="E18" s="79">
        <f>+D18-C18</f>
        <v>-3159</v>
      </c>
      <c r="F18" s="131">
        <f t="shared" si="0"/>
        <v>0.40181783753077066</v>
      </c>
    </row>
    <row r="19" spans="1:7" ht="18" customHeight="1">
      <c r="A19" s="77" t="s">
        <v>71</v>
      </c>
      <c r="B19" s="78" t="s">
        <v>152</v>
      </c>
      <c r="C19" s="79">
        <v>3122</v>
      </c>
      <c r="D19" s="79">
        <v>0</v>
      </c>
      <c r="E19" s="79">
        <v>0</v>
      </c>
      <c r="F19" s="131"/>
    </row>
    <row r="20" spans="1:7" ht="18" customHeight="1">
      <c r="A20" s="77" t="s">
        <v>6</v>
      </c>
      <c r="B20" s="78" t="s">
        <v>20</v>
      </c>
      <c r="C20" s="79">
        <f>+C21+C28+C31+C32+C33+C34+C35</f>
        <v>124134</v>
      </c>
      <c r="D20" s="79">
        <f>+D21+D31+D28+D36+D37+D40+D43+D32</f>
        <v>138427</v>
      </c>
      <c r="E20" s="79">
        <f>+D20-C20</f>
        <v>14293</v>
      </c>
      <c r="F20" s="131">
        <f>+D20/C20</f>
        <v>1.1151417017094429</v>
      </c>
    </row>
    <row r="21" spans="1:7" ht="18" customHeight="1">
      <c r="A21" s="77" t="s">
        <v>8</v>
      </c>
      <c r="B21" s="78" t="s">
        <v>439</v>
      </c>
      <c r="C21" s="79">
        <f>+C22+C23+C24+C25+C26+C27</f>
        <v>93325</v>
      </c>
      <c r="D21" s="79">
        <v>102911</v>
      </c>
      <c r="E21" s="79">
        <f>+D21-C21</f>
        <v>9586</v>
      </c>
      <c r="F21" s="131">
        <f t="shared" si="0"/>
        <v>1.1027163139566032</v>
      </c>
      <c r="G21" s="54">
        <f>+D21-'51'!D8</f>
        <v>0</v>
      </c>
    </row>
    <row r="22" spans="1:7" ht="18" customHeight="1">
      <c r="A22" s="81" t="s">
        <v>122</v>
      </c>
      <c r="B22" s="82" t="s">
        <v>21</v>
      </c>
      <c r="C22" s="83">
        <v>2683</v>
      </c>
      <c r="D22" s="83">
        <v>5686</v>
      </c>
      <c r="E22" s="83">
        <f>+D22-C22</f>
        <v>3003</v>
      </c>
      <c r="F22" s="131">
        <f t="shared" si="0"/>
        <v>2.119269474468878</v>
      </c>
      <c r="G22" s="54">
        <f>+C8-C20</f>
        <v>0</v>
      </c>
    </row>
    <row r="23" spans="1:7" ht="18" customHeight="1">
      <c r="A23" s="81" t="s">
        <v>123</v>
      </c>
      <c r="B23" s="82" t="s">
        <v>22</v>
      </c>
      <c r="C23" s="83">
        <v>88821</v>
      </c>
      <c r="D23" s="83">
        <v>97225</v>
      </c>
      <c r="E23" s="83">
        <f>+D23-C23</f>
        <v>8404</v>
      </c>
      <c r="F23" s="131">
        <f t="shared" si="0"/>
        <v>1.0946172639353307</v>
      </c>
    </row>
    <row r="24" spans="1:7" ht="31.2" customHeight="1">
      <c r="A24" s="81" t="s">
        <v>124</v>
      </c>
      <c r="B24" s="82" t="s">
        <v>23</v>
      </c>
      <c r="C24" s="83">
        <v>0</v>
      </c>
      <c r="D24" s="83">
        <v>0</v>
      </c>
      <c r="E24" s="83">
        <v>0</v>
      </c>
      <c r="F24" s="131"/>
    </row>
    <row r="25" spans="1:7" ht="18" customHeight="1">
      <c r="A25" s="81" t="s">
        <v>125</v>
      </c>
      <c r="B25" s="82" t="s">
        <v>24</v>
      </c>
      <c r="C25" s="83">
        <v>0</v>
      </c>
      <c r="D25" s="83">
        <v>0</v>
      </c>
      <c r="E25" s="83">
        <v>0</v>
      </c>
      <c r="F25" s="131"/>
    </row>
    <row r="26" spans="1:7" ht="18" customHeight="1">
      <c r="A26" s="81" t="s">
        <v>126</v>
      </c>
      <c r="B26" s="82" t="s">
        <v>26</v>
      </c>
      <c r="C26" s="83">
        <v>0</v>
      </c>
      <c r="D26" s="83">
        <v>0</v>
      </c>
      <c r="E26" s="83">
        <v>0</v>
      </c>
      <c r="F26" s="131"/>
    </row>
    <row r="27" spans="1:7" ht="18" customHeight="1">
      <c r="A27" s="81" t="s">
        <v>127</v>
      </c>
      <c r="B27" s="82" t="s">
        <v>25</v>
      </c>
      <c r="C27" s="83">
        <v>1821</v>
      </c>
      <c r="D27" s="83">
        <v>0</v>
      </c>
      <c r="E27" s="83">
        <v>0</v>
      </c>
      <c r="F27" s="131"/>
    </row>
    <row r="28" spans="1:7" ht="18" customHeight="1">
      <c r="A28" s="77" t="s">
        <v>12</v>
      </c>
      <c r="B28" s="78" t="s">
        <v>27</v>
      </c>
      <c r="C28" s="79">
        <f>+C29+C30</f>
        <v>17538</v>
      </c>
      <c r="D28" s="79">
        <v>21141</v>
      </c>
      <c r="E28" s="79">
        <f>+D28-C28</f>
        <v>3603</v>
      </c>
      <c r="F28" s="131">
        <f t="shared" si="0"/>
        <v>1.2054396168320218</v>
      </c>
    </row>
    <row r="29" spans="1:7" ht="18" customHeight="1">
      <c r="A29" s="81" t="s">
        <v>122</v>
      </c>
      <c r="B29" s="82" t="s">
        <v>28</v>
      </c>
      <c r="C29" s="83">
        <v>17303</v>
      </c>
      <c r="D29" s="83">
        <v>21141</v>
      </c>
      <c r="E29" s="83">
        <f>+D29-C29</f>
        <v>3838</v>
      </c>
      <c r="F29" s="132">
        <f t="shared" ref="F29" si="1">+D29/C29</f>
        <v>1.2218112466046351</v>
      </c>
    </row>
    <row r="30" spans="1:7" ht="18" customHeight="1">
      <c r="A30" s="81" t="s">
        <v>123</v>
      </c>
      <c r="B30" s="82" t="s">
        <v>29</v>
      </c>
      <c r="C30" s="83">
        <v>235</v>
      </c>
      <c r="D30" s="83"/>
      <c r="E30" s="83"/>
      <c r="F30" s="132"/>
      <c r="G30" s="54"/>
    </row>
    <row r="31" spans="1:7" ht="19.8" customHeight="1">
      <c r="A31" s="77" t="s">
        <v>15</v>
      </c>
      <c r="B31" s="78" t="s">
        <v>403</v>
      </c>
      <c r="C31" s="79">
        <v>0</v>
      </c>
      <c r="D31" s="79">
        <v>14300</v>
      </c>
      <c r="E31" s="79">
        <v>143030</v>
      </c>
      <c r="F31" s="131"/>
    </row>
    <row r="32" spans="1:7" ht="19.8" customHeight="1">
      <c r="A32" s="77" t="s">
        <v>16</v>
      </c>
      <c r="B32" s="78" t="s">
        <v>151</v>
      </c>
      <c r="C32" s="79">
        <v>0</v>
      </c>
      <c r="D32" s="79">
        <v>75</v>
      </c>
      <c r="E32" s="79">
        <v>75</v>
      </c>
      <c r="F32" s="131"/>
    </row>
    <row r="33" spans="1:7" ht="19.8" customHeight="1">
      <c r="A33" s="77" t="s">
        <v>18</v>
      </c>
      <c r="B33" s="78" t="s">
        <v>504</v>
      </c>
      <c r="C33" s="79">
        <v>4868</v>
      </c>
      <c r="D33" s="79">
        <v>0</v>
      </c>
      <c r="E33" s="79">
        <v>0</v>
      </c>
      <c r="F33" s="131"/>
    </row>
    <row r="34" spans="1:7" ht="19.8" customHeight="1">
      <c r="A34" s="77" t="s">
        <v>71</v>
      </c>
      <c r="B34" s="78" t="s">
        <v>505</v>
      </c>
      <c r="C34" s="79">
        <v>5281</v>
      </c>
      <c r="D34" s="79"/>
      <c r="E34" s="79"/>
      <c r="F34" s="131"/>
    </row>
    <row r="35" spans="1:7" ht="19.8" customHeight="1">
      <c r="A35" s="77" t="s">
        <v>94</v>
      </c>
      <c r="B35" s="78" t="s">
        <v>506</v>
      </c>
      <c r="C35" s="79">
        <v>3122</v>
      </c>
      <c r="D35" s="79"/>
      <c r="E35" s="79"/>
      <c r="F35" s="131"/>
    </row>
    <row r="36" spans="1:7" ht="31.8" customHeight="1">
      <c r="A36" s="77" t="s">
        <v>30</v>
      </c>
      <c r="B36" s="78" t="s">
        <v>31</v>
      </c>
      <c r="C36" s="79">
        <v>0</v>
      </c>
      <c r="D36" s="79">
        <v>0</v>
      </c>
      <c r="E36" s="79">
        <v>0</v>
      </c>
      <c r="F36" s="131"/>
    </row>
    <row r="37" spans="1:7" ht="18" customHeight="1">
      <c r="A37" s="77" t="s">
        <v>32</v>
      </c>
      <c r="B37" s="78" t="s">
        <v>33</v>
      </c>
      <c r="C37" s="79">
        <v>0</v>
      </c>
      <c r="D37" s="79">
        <v>0</v>
      </c>
      <c r="E37" s="79">
        <v>0</v>
      </c>
      <c r="F37" s="131"/>
    </row>
    <row r="38" spans="1:7" ht="21.6" customHeight="1">
      <c r="A38" s="81" t="s">
        <v>8</v>
      </c>
      <c r="B38" s="82" t="s">
        <v>34</v>
      </c>
      <c r="C38" s="83">
        <v>0</v>
      </c>
      <c r="D38" s="83">
        <v>0</v>
      </c>
      <c r="E38" s="83">
        <v>0</v>
      </c>
      <c r="F38" s="131"/>
    </row>
    <row r="39" spans="1:7" ht="29.4" customHeight="1">
      <c r="A39" s="81" t="s">
        <v>12</v>
      </c>
      <c r="B39" s="82" t="s">
        <v>35</v>
      </c>
      <c r="C39" s="83">
        <v>0</v>
      </c>
      <c r="D39" s="83">
        <v>0</v>
      </c>
      <c r="E39" s="83">
        <v>0</v>
      </c>
      <c r="F39" s="131"/>
    </row>
    <row r="40" spans="1:7" ht="19.2" customHeight="1">
      <c r="A40" s="77" t="s">
        <v>36</v>
      </c>
      <c r="B40" s="78" t="s">
        <v>37</v>
      </c>
      <c r="C40" s="79">
        <v>0</v>
      </c>
      <c r="D40" s="79">
        <v>0</v>
      </c>
      <c r="E40" s="79">
        <v>0</v>
      </c>
      <c r="F40" s="131"/>
    </row>
    <row r="41" spans="1:7" ht="19.2" customHeight="1">
      <c r="A41" s="81" t="s">
        <v>8</v>
      </c>
      <c r="B41" s="82" t="s">
        <v>38</v>
      </c>
      <c r="C41" s="83">
        <v>0</v>
      </c>
      <c r="D41" s="83">
        <v>0</v>
      </c>
      <c r="E41" s="83">
        <v>0</v>
      </c>
      <c r="F41" s="131"/>
    </row>
    <row r="42" spans="1:7" ht="19.2" customHeight="1">
      <c r="A42" s="81" t="s">
        <v>12</v>
      </c>
      <c r="B42" s="82" t="s">
        <v>39</v>
      </c>
      <c r="C42" s="83">
        <v>0</v>
      </c>
      <c r="D42" s="83">
        <v>0</v>
      </c>
      <c r="E42" s="83">
        <v>0</v>
      </c>
      <c r="F42" s="131"/>
    </row>
    <row r="43" spans="1:7" ht="27.6">
      <c r="A43" s="77" t="s">
        <v>40</v>
      </c>
      <c r="B43" s="78" t="s">
        <v>41</v>
      </c>
      <c r="C43" s="79">
        <v>0</v>
      </c>
      <c r="D43" s="79">
        <v>0</v>
      </c>
      <c r="E43" s="79">
        <v>0</v>
      </c>
      <c r="F43" s="131"/>
    </row>
    <row r="44" spans="1:7" ht="18.600000000000001" customHeight="1">
      <c r="A44" s="90" t="s">
        <v>166</v>
      </c>
      <c r="B44" s="91" t="s">
        <v>440</v>
      </c>
      <c r="C44" s="93">
        <v>0</v>
      </c>
      <c r="D44" s="93">
        <f>+D8-D20</f>
        <v>6498</v>
      </c>
      <c r="E44" s="93">
        <v>0</v>
      </c>
      <c r="F44" s="94"/>
    </row>
    <row r="45" spans="1:7">
      <c r="D45" s="53"/>
      <c r="E45" s="53"/>
      <c r="F45" s="53"/>
    </row>
    <row r="46" spans="1:7">
      <c r="D46" s="50"/>
      <c r="E46" s="50"/>
      <c r="F46" s="50"/>
      <c r="G46" s="50"/>
    </row>
    <row r="47" spans="1:7">
      <c r="D47" s="51"/>
      <c r="E47" s="51"/>
      <c r="F47" s="51"/>
      <c r="G47" s="51"/>
    </row>
  </sheetData>
  <mergeCells count="9">
    <mergeCell ref="D1:F1"/>
    <mergeCell ref="A2:F2"/>
    <mergeCell ref="A3:F3"/>
    <mergeCell ref="E5:F5"/>
    <mergeCell ref="A5:A6"/>
    <mergeCell ref="B5:B6"/>
    <mergeCell ref="C5:C6"/>
    <mergeCell ref="D5:D6"/>
    <mergeCell ref="E4:F4"/>
  </mergeCells>
  <pageMargins left="0.7" right="0.2" top="0.18" bottom="0.51" header="0" footer="0.3"/>
  <pageSetup paperSize="9" scale="95" orientation="portrait" verticalDpi="300" r:id="rId1"/>
  <headerFooter differentFirst="1">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I59"/>
  <sheetViews>
    <sheetView workbookViewId="0">
      <selection activeCell="F1" sqref="F1:H1"/>
    </sheetView>
  </sheetViews>
  <sheetFormatPr defaultRowHeight="15.6"/>
  <cols>
    <col min="1" max="1" width="5" customWidth="1"/>
    <col min="2" max="2" width="38" customWidth="1"/>
    <col min="3" max="3" width="12.796875" customWidth="1"/>
    <col min="4" max="4" width="8.59765625" customWidth="1"/>
    <col min="5" max="5" width="12.69921875" customWidth="1"/>
    <col min="6" max="6" width="11.59765625" customWidth="1"/>
    <col min="8" max="8" width="9" customWidth="1"/>
  </cols>
  <sheetData>
    <row r="1" spans="1:9" ht="36.6" customHeight="1">
      <c r="F1" s="228" t="s">
        <v>517</v>
      </c>
      <c r="G1" s="228"/>
      <c r="H1" s="228"/>
      <c r="I1" s="229"/>
    </row>
    <row r="2" spans="1:9" ht="27.6" customHeight="1">
      <c r="A2" s="176" t="s">
        <v>433</v>
      </c>
      <c r="B2" s="176"/>
      <c r="C2" s="176"/>
      <c r="D2" s="176"/>
      <c r="E2" s="176"/>
      <c r="F2" s="176"/>
      <c r="G2" s="176"/>
      <c r="H2" s="176"/>
    </row>
    <row r="3" spans="1:9" ht="16.2" customHeight="1">
      <c r="A3" s="183" t="str">
        <f>+'48'!A3:F3</f>
        <v>(Kèm theo Nghị quyết số  09 /NQ-HĐND ngày 30  tháng 3 năm 2026 của HĐND xã Quang Sơn)</v>
      </c>
      <c r="B3" s="183"/>
      <c r="C3" s="183"/>
      <c r="D3" s="183"/>
      <c r="E3" s="183"/>
      <c r="F3" s="183"/>
      <c r="G3" s="183"/>
      <c r="H3" s="183"/>
    </row>
    <row r="4" spans="1:9">
      <c r="G4" s="187" t="s">
        <v>402</v>
      </c>
      <c r="H4" s="187"/>
    </row>
    <row r="5" spans="1:9">
      <c r="A5" s="184" t="s">
        <v>1</v>
      </c>
      <c r="B5" s="184" t="s">
        <v>153</v>
      </c>
      <c r="C5" s="178" t="s">
        <v>3</v>
      </c>
      <c r="D5" s="179"/>
      <c r="E5" s="180" t="s">
        <v>4</v>
      </c>
      <c r="F5" s="181"/>
      <c r="G5" s="178" t="s">
        <v>432</v>
      </c>
      <c r="H5" s="182"/>
    </row>
    <row r="6" spans="1:9">
      <c r="A6" s="185"/>
      <c r="B6" s="186"/>
      <c r="C6" s="43" t="s">
        <v>404</v>
      </c>
      <c r="D6" s="43" t="s">
        <v>405</v>
      </c>
      <c r="E6" s="43" t="s">
        <v>404</v>
      </c>
      <c r="F6" s="43" t="s">
        <v>406</v>
      </c>
      <c r="G6" s="43" t="s">
        <v>404</v>
      </c>
      <c r="H6" s="43" t="s">
        <v>405</v>
      </c>
    </row>
    <row r="7" spans="1:9">
      <c r="A7" s="71" t="s">
        <v>5</v>
      </c>
      <c r="B7" s="71" t="s">
        <v>6</v>
      </c>
      <c r="C7" s="71" t="s">
        <v>122</v>
      </c>
      <c r="D7" s="71" t="s">
        <v>123</v>
      </c>
      <c r="E7" s="69" t="s">
        <v>124</v>
      </c>
      <c r="F7" s="69" t="s">
        <v>125</v>
      </c>
      <c r="G7" s="69" t="s">
        <v>407</v>
      </c>
      <c r="H7" s="69" t="s">
        <v>408</v>
      </c>
    </row>
    <row r="8" spans="1:9" ht="15.75" customHeight="1">
      <c r="A8" s="73"/>
      <c r="B8" s="74" t="s">
        <v>409</v>
      </c>
      <c r="C8" s="75">
        <f>+C9+C53+C54+C55</f>
        <v>17729</v>
      </c>
      <c r="D8" s="75">
        <f>+D9+D53+D54+D55</f>
        <v>0</v>
      </c>
      <c r="E8" s="75">
        <f>+E9+E54+E55</f>
        <v>43265</v>
      </c>
      <c r="F8" s="75">
        <v>2678</v>
      </c>
      <c r="G8" s="76">
        <f>+E8/C8</f>
        <v>2.4403519657059056</v>
      </c>
      <c r="H8" s="133"/>
    </row>
    <row r="9" spans="1:9" ht="17.399999999999999" customHeight="1">
      <c r="A9" s="77" t="s">
        <v>5</v>
      </c>
      <c r="B9" s="78" t="s">
        <v>47</v>
      </c>
      <c r="C9" s="79">
        <f>+C10+C11+C12+C20+C19+C27+C29+C30+C32+C33+C34+C35+C36+C37+C38+C39+C40+C41</f>
        <v>17729</v>
      </c>
      <c r="D9" s="79">
        <f>+D10+D11+D12+D19+D20</f>
        <v>0</v>
      </c>
      <c r="E9" s="79">
        <f>+E10+E42+E43+E51+E52</f>
        <v>40767</v>
      </c>
      <c r="F9" s="79">
        <f>+F10+F42+F43+F51+F52</f>
        <v>180</v>
      </c>
      <c r="G9" s="80">
        <f t="shared" ref="G9:G38" si="0">+E9/C9</f>
        <v>2.2994528738225508</v>
      </c>
      <c r="H9" s="88"/>
    </row>
    <row r="10" spans="1:9">
      <c r="A10" s="77" t="s">
        <v>8</v>
      </c>
      <c r="B10" s="78" t="s">
        <v>410</v>
      </c>
      <c r="C10" s="79">
        <v>0</v>
      </c>
      <c r="D10" s="79">
        <v>0</v>
      </c>
      <c r="E10" s="79">
        <f>+E12+E11+E20+E27+E28+E29+E30+E31+E32+E33+E34+E35+E36+E37+E38</f>
        <v>37645</v>
      </c>
      <c r="F10" s="79">
        <v>180</v>
      </c>
      <c r="G10" s="80"/>
      <c r="H10" s="88"/>
    </row>
    <row r="11" spans="1:9">
      <c r="A11" s="77" t="s">
        <v>122</v>
      </c>
      <c r="B11" s="78" t="s">
        <v>411</v>
      </c>
      <c r="C11" s="79">
        <v>0</v>
      </c>
      <c r="D11" s="79">
        <v>0</v>
      </c>
      <c r="E11" s="79">
        <v>0</v>
      </c>
      <c r="F11" s="79">
        <v>0</v>
      </c>
      <c r="G11" s="80"/>
      <c r="H11" s="88"/>
    </row>
    <row r="12" spans="1:9">
      <c r="A12" s="77" t="s">
        <v>123</v>
      </c>
      <c r="B12" s="78" t="s">
        <v>156</v>
      </c>
      <c r="C12" s="79">
        <v>0</v>
      </c>
      <c r="D12" s="79">
        <v>0</v>
      </c>
      <c r="E12" s="79">
        <v>25</v>
      </c>
      <c r="F12" s="79">
        <v>0</v>
      </c>
      <c r="G12" s="80"/>
      <c r="H12" s="88"/>
    </row>
    <row r="13" spans="1:9">
      <c r="A13" s="81" t="s">
        <v>10</v>
      </c>
      <c r="B13" s="82" t="s">
        <v>412</v>
      </c>
      <c r="C13" s="83">
        <v>0</v>
      </c>
      <c r="D13" s="83">
        <v>0</v>
      </c>
      <c r="E13" s="83">
        <v>6</v>
      </c>
      <c r="F13" s="83">
        <v>0</v>
      </c>
      <c r="G13" s="80"/>
      <c r="H13" s="89"/>
    </row>
    <row r="14" spans="1:9">
      <c r="A14" s="81" t="s">
        <v>10</v>
      </c>
      <c r="B14" s="82" t="s">
        <v>413</v>
      </c>
      <c r="C14" s="83">
        <v>0</v>
      </c>
      <c r="D14" s="83">
        <v>0</v>
      </c>
      <c r="E14" s="83">
        <v>19</v>
      </c>
      <c r="F14" s="83">
        <v>0</v>
      </c>
      <c r="G14" s="80"/>
      <c r="H14" s="89"/>
    </row>
    <row r="15" spans="1:9">
      <c r="A15" s="81" t="s">
        <v>10</v>
      </c>
      <c r="B15" s="82" t="s">
        <v>186</v>
      </c>
      <c r="C15" s="83">
        <v>0</v>
      </c>
      <c r="D15" s="83">
        <v>0</v>
      </c>
      <c r="E15" s="83">
        <v>0</v>
      </c>
      <c r="F15" s="83">
        <v>0</v>
      </c>
      <c r="G15" s="80"/>
      <c r="H15" s="89"/>
    </row>
    <row r="16" spans="1:9">
      <c r="A16" s="81" t="s">
        <v>10</v>
      </c>
      <c r="B16" s="82" t="s">
        <v>155</v>
      </c>
      <c r="C16" s="83">
        <v>0</v>
      </c>
      <c r="D16" s="83">
        <v>0</v>
      </c>
      <c r="E16" s="83">
        <v>0</v>
      </c>
      <c r="F16" s="83">
        <v>0</v>
      </c>
      <c r="G16" s="80"/>
      <c r="H16" s="89"/>
    </row>
    <row r="17" spans="1:8">
      <c r="A17" s="81" t="s">
        <v>10</v>
      </c>
      <c r="B17" s="82" t="s">
        <v>414</v>
      </c>
      <c r="C17" s="83">
        <v>0</v>
      </c>
      <c r="D17" s="83">
        <v>0</v>
      </c>
      <c r="E17" s="83">
        <v>0</v>
      </c>
      <c r="F17" s="83">
        <v>0</v>
      </c>
      <c r="G17" s="80"/>
      <c r="H17" s="89"/>
    </row>
    <row r="18" spans="1:8" ht="15.75" customHeight="1">
      <c r="A18" s="81" t="s">
        <v>10</v>
      </c>
      <c r="B18" s="82" t="s">
        <v>58</v>
      </c>
      <c r="C18" s="83">
        <v>0</v>
      </c>
      <c r="D18" s="83">
        <v>0</v>
      </c>
      <c r="E18" s="83">
        <v>0</v>
      </c>
      <c r="F18" s="83">
        <v>0</v>
      </c>
      <c r="G18" s="80"/>
      <c r="H18" s="89"/>
    </row>
    <row r="19" spans="1:8" ht="27.6">
      <c r="A19" s="77" t="s">
        <v>124</v>
      </c>
      <c r="B19" s="78" t="s">
        <v>157</v>
      </c>
      <c r="C19" s="79">
        <v>0</v>
      </c>
      <c r="D19" s="79">
        <v>0</v>
      </c>
      <c r="E19" s="79">
        <v>0</v>
      </c>
      <c r="F19" s="79">
        <v>0</v>
      </c>
      <c r="G19" s="80"/>
      <c r="H19" s="88"/>
    </row>
    <row r="20" spans="1:8">
      <c r="A20" s="77" t="s">
        <v>125</v>
      </c>
      <c r="B20" s="78" t="s">
        <v>158</v>
      </c>
      <c r="C20" s="79">
        <v>6019</v>
      </c>
      <c r="D20" s="79"/>
      <c r="E20" s="79">
        <v>28651</v>
      </c>
      <c r="F20" s="79">
        <v>0</v>
      </c>
      <c r="G20" s="80">
        <f t="shared" si="0"/>
        <v>4.7600930387107496</v>
      </c>
      <c r="H20" s="88"/>
    </row>
    <row r="21" spans="1:8">
      <c r="A21" s="81" t="s">
        <v>10</v>
      </c>
      <c r="B21" s="82" t="s">
        <v>185</v>
      </c>
      <c r="C21" s="83">
        <v>0</v>
      </c>
      <c r="D21" s="83"/>
      <c r="E21" s="83">
        <v>26096</v>
      </c>
      <c r="F21" s="83">
        <v>0</v>
      </c>
      <c r="G21" s="80"/>
      <c r="H21" s="89"/>
    </row>
    <row r="22" spans="1:8">
      <c r="A22" s="81" t="s">
        <v>10</v>
      </c>
      <c r="B22" s="82" t="s">
        <v>154</v>
      </c>
      <c r="C22" s="83">
        <v>0</v>
      </c>
      <c r="D22" s="83"/>
      <c r="E22" s="83">
        <v>939</v>
      </c>
      <c r="F22" s="83">
        <v>0</v>
      </c>
      <c r="G22" s="80"/>
      <c r="H22" s="89"/>
    </row>
    <row r="23" spans="1:8">
      <c r="A23" s="81" t="s">
        <v>10</v>
      </c>
      <c r="B23" s="82" t="s">
        <v>415</v>
      </c>
      <c r="C23" s="83">
        <v>0</v>
      </c>
      <c r="D23" s="83"/>
      <c r="E23" s="83">
        <v>0</v>
      </c>
      <c r="F23" s="83">
        <v>0</v>
      </c>
      <c r="G23" s="80"/>
      <c r="H23" s="89"/>
    </row>
    <row r="24" spans="1:8">
      <c r="A24" s="81" t="s">
        <v>10</v>
      </c>
      <c r="B24" s="82" t="s">
        <v>155</v>
      </c>
      <c r="C24" s="83">
        <v>0</v>
      </c>
      <c r="D24" s="83"/>
      <c r="E24" s="83">
        <v>1616</v>
      </c>
      <c r="F24" s="83">
        <v>0</v>
      </c>
      <c r="G24" s="80"/>
      <c r="H24" s="89"/>
    </row>
    <row r="25" spans="1:8">
      <c r="A25" s="81" t="s">
        <v>10</v>
      </c>
      <c r="B25" s="82" t="s">
        <v>187</v>
      </c>
      <c r="C25" s="83">
        <v>0</v>
      </c>
      <c r="D25" s="83"/>
      <c r="E25" s="83">
        <v>0</v>
      </c>
      <c r="F25" s="83">
        <v>0</v>
      </c>
      <c r="G25" s="80"/>
      <c r="H25" s="89"/>
    </row>
    <row r="26" spans="1:8">
      <c r="A26" s="81" t="s">
        <v>10</v>
      </c>
      <c r="B26" s="82" t="s">
        <v>58</v>
      </c>
      <c r="C26" s="83">
        <v>0</v>
      </c>
      <c r="D26" s="83"/>
      <c r="E26" s="83">
        <v>0</v>
      </c>
      <c r="F26" s="83">
        <v>0</v>
      </c>
      <c r="G26" s="80"/>
      <c r="H26" s="89"/>
    </row>
    <row r="27" spans="1:8" ht="25.8" customHeight="1">
      <c r="A27" s="77" t="s">
        <v>126</v>
      </c>
      <c r="B27" s="78" t="s">
        <v>48</v>
      </c>
      <c r="C27" s="79">
        <v>398</v>
      </c>
      <c r="D27" s="79"/>
      <c r="E27" s="79">
        <v>384</v>
      </c>
      <c r="F27" s="79">
        <v>0</v>
      </c>
      <c r="G27" s="80">
        <f t="shared" si="0"/>
        <v>0.96482412060301503</v>
      </c>
      <c r="H27" s="88"/>
    </row>
    <row r="28" spans="1:8" ht="25.8" customHeight="1">
      <c r="A28" s="77" t="s">
        <v>127</v>
      </c>
      <c r="B28" s="78" t="s">
        <v>49</v>
      </c>
      <c r="C28" s="79">
        <v>0</v>
      </c>
      <c r="D28" s="79"/>
      <c r="E28" s="79">
        <v>0</v>
      </c>
      <c r="F28" s="79">
        <v>0</v>
      </c>
      <c r="G28" s="80"/>
      <c r="H28" s="88"/>
    </row>
    <row r="29" spans="1:8" ht="25.8" customHeight="1">
      <c r="A29" s="77" t="s">
        <v>128</v>
      </c>
      <c r="B29" s="78" t="s">
        <v>50</v>
      </c>
      <c r="C29" s="79">
        <v>1456</v>
      </c>
      <c r="D29" s="79"/>
      <c r="E29" s="79">
        <v>2882</v>
      </c>
      <c r="F29" s="79">
        <v>0</v>
      </c>
      <c r="G29" s="80">
        <f t="shared" si="0"/>
        <v>1.9793956043956045</v>
      </c>
      <c r="H29" s="88"/>
    </row>
    <row r="30" spans="1:8" ht="25.8" customHeight="1">
      <c r="A30" s="77" t="s">
        <v>129</v>
      </c>
      <c r="B30" s="78" t="s">
        <v>416</v>
      </c>
      <c r="C30" s="79">
        <v>1303</v>
      </c>
      <c r="D30" s="79"/>
      <c r="E30" s="79">
        <v>929</v>
      </c>
      <c r="F30" s="79">
        <v>0</v>
      </c>
      <c r="G30" s="80">
        <f t="shared" si="0"/>
        <v>0.71297006907137372</v>
      </c>
      <c r="H30" s="88"/>
    </row>
    <row r="31" spans="1:8" ht="25.8" customHeight="1">
      <c r="A31" s="77" t="s">
        <v>130</v>
      </c>
      <c r="B31" s="78" t="s">
        <v>51</v>
      </c>
      <c r="C31" s="79">
        <v>0</v>
      </c>
      <c r="D31" s="79"/>
      <c r="E31" s="79">
        <v>0</v>
      </c>
      <c r="F31" s="79">
        <v>0</v>
      </c>
      <c r="G31" s="80"/>
      <c r="H31" s="88"/>
    </row>
    <row r="32" spans="1:8" ht="25.8" customHeight="1">
      <c r="A32" s="77" t="s">
        <v>131</v>
      </c>
      <c r="B32" s="78" t="s">
        <v>52</v>
      </c>
      <c r="C32" s="79">
        <v>30</v>
      </c>
      <c r="D32" s="79"/>
      <c r="E32" s="79">
        <v>61</v>
      </c>
      <c r="F32" s="79">
        <v>0</v>
      </c>
      <c r="G32" s="80">
        <f t="shared" si="0"/>
        <v>2.0333333333333332</v>
      </c>
      <c r="H32" s="88"/>
    </row>
    <row r="33" spans="1:9" ht="25.8" customHeight="1">
      <c r="A33" s="77" t="s">
        <v>132</v>
      </c>
      <c r="B33" s="78" t="s">
        <v>53</v>
      </c>
      <c r="C33" s="79">
        <v>5192</v>
      </c>
      <c r="D33" s="79"/>
      <c r="E33" s="79">
        <v>1309</v>
      </c>
      <c r="F33" s="79">
        <v>0</v>
      </c>
      <c r="G33" s="80">
        <f t="shared" si="0"/>
        <v>0.2521186440677966</v>
      </c>
      <c r="H33" s="88"/>
    </row>
    <row r="34" spans="1:9" ht="25.8" customHeight="1">
      <c r="A34" s="77" t="s">
        <v>133</v>
      </c>
      <c r="B34" s="78" t="s">
        <v>417</v>
      </c>
      <c r="C34" s="79">
        <v>210</v>
      </c>
      <c r="D34" s="79"/>
      <c r="E34" s="79">
        <v>408</v>
      </c>
      <c r="F34" s="79">
        <v>0</v>
      </c>
      <c r="G34" s="80">
        <f t="shared" si="0"/>
        <v>1.9428571428571428</v>
      </c>
      <c r="H34" s="88"/>
    </row>
    <row r="35" spans="1:9" ht="33" customHeight="1">
      <c r="A35" s="77" t="s">
        <v>134</v>
      </c>
      <c r="B35" s="78" t="s">
        <v>418</v>
      </c>
      <c r="C35" s="79">
        <v>0</v>
      </c>
      <c r="D35" s="79"/>
      <c r="E35" s="79">
        <v>0</v>
      </c>
      <c r="F35" s="79">
        <v>0</v>
      </c>
      <c r="G35" s="80"/>
      <c r="H35" s="88"/>
    </row>
    <row r="36" spans="1:9" ht="25.8" customHeight="1">
      <c r="A36" s="77" t="s">
        <v>135</v>
      </c>
      <c r="B36" s="78" t="s">
        <v>54</v>
      </c>
      <c r="C36" s="79">
        <v>0</v>
      </c>
      <c r="D36" s="79"/>
      <c r="E36" s="79">
        <v>0</v>
      </c>
      <c r="F36" s="79">
        <v>0</v>
      </c>
      <c r="G36" s="80"/>
      <c r="H36" s="88"/>
    </row>
    <row r="37" spans="1:9" ht="31.8" customHeight="1">
      <c r="A37" s="77" t="s">
        <v>136</v>
      </c>
      <c r="B37" s="78" t="s">
        <v>419</v>
      </c>
      <c r="C37" s="79">
        <v>1901</v>
      </c>
      <c r="D37" s="79"/>
      <c r="E37" s="79">
        <v>2165</v>
      </c>
      <c r="F37" s="79">
        <v>0</v>
      </c>
      <c r="G37" s="80">
        <f t="shared" si="0"/>
        <v>1.1388742766964755</v>
      </c>
      <c r="H37" s="88"/>
    </row>
    <row r="38" spans="1:9" ht="25.8" customHeight="1">
      <c r="A38" s="77" t="s">
        <v>137</v>
      </c>
      <c r="B38" s="78" t="s">
        <v>55</v>
      </c>
      <c r="C38" s="79">
        <v>1220</v>
      </c>
      <c r="D38" s="79"/>
      <c r="E38" s="79">
        <v>831</v>
      </c>
      <c r="F38" s="79">
        <v>180</v>
      </c>
      <c r="G38" s="80">
        <f t="shared" si="0"/>
        <v>0.68114754098360653</v>
      </c>
      <c r="H38" s="88"/>
      <c r="I38">
        <v>639700000</v>
      </c>
    </row>
    <row r="39" spans="1:9" ht="31.8" customHeight="1">
      <c r="A39" s="77" t="s">
        <v>138</v>
      </c>
      <c r="B39" s="78" t="s">
        <v>420</v>
      </c>
      <c r="C39" s="79">
        <v>0</v>
      </c>
      <c r="D39" s="79"/>
      <c r="E39" s="79">
        <v>0</v>
      </c>
      <c r="F39" s="79">
        <v>0</v>
      </c>
      <c r="G39" s="80"/>
      <c r="H39" s="88"/>
    </row>
    <row r="40" spans="1:9" ht="21.6" customHeight="1">
      <c r="A40" s="77" t="s">
        <v>139</v>
      </c>
      <c r="B40" s="78" t="s">
        <v>421</v>
      </c>
      <c r="C40" s="79">
        <v>0</v>
      </c>
      <c r="D40" s="79"/>
      <c r="E40" s="79">
        <v>0</v>
      </c>
      <c r="F40" s="79">
        <v>0</v>
      </c>
      <c r="G40" s="80"/>
      <c r="H40" s="88"/>
    </row>
    <row r="41" spans="1:9" ht="44.4" customHeight="1">
      <c r="A41" s="77" t="s">
        <v>140</v>
      </c>
      <c r="B41" s="78" t="s">
        <v>159</v>
      </c>
      <c r="C41" s="79">
        <v>0</v>
      </c>
      <c r="D41" s="79"/>
      <c r="E41" s="79">
        <v>0</v>
      </c>
      <c r="F41" s="79">
        <v>0</v>
      </c>
      <c r="G41" s="80"/>
      <c r="H41" s="88"/>
    </row>
    <row r="42" spans="1:9" ht="20.399999999999999" customHeight="1">
      <c r="A42" s="77" t="s">
        <v>12</v>
      </c>
      <c r="B42" s="78" t="s">
        <v>422</v>
      </c>
      <c r="C42" s="79">
        <v>0</v>
      </c>
      <c r="D42" s="79"/>
      <c r="E42" s="79">
        <v>0</v>
      </c>
      <c r="F42" s="79">
        <v>0</v>
      </c>
      <c r="G42" s="80"/>
      <c r="H42" s="88"/>
    </row>
    <row r="43" spans="1:9" ht="20.399999999999999" customHeight="1">
      <c r="A43" s="77" t="s">
        <v>15</v>
      </c>
      <c r="B43" s="78" t="s">
        <v>423</v>
      </c>
      <c r="C43" s="79">
        <v>0</v>
      </c>
      <c r="D43" s="79"/>
      <c r="E43" s="79">
        <v>0</v>
      </c>
      <c r="F43" s="79">
        <v>0</v>
      </c>
      <c r="G43" s="80"/>
      <c r="H43" s="88"/>
    </row>
    <row r="44" spans="1:9" ht="20.399999999999999" customHeight="1">
      <c r="A44" s="81" t="s">
        <v>122</v>
      </c>
      <c r="B44" s="82" t="s">
        <v>56</v>
      </c>
      <c r="C44" s="83">
        <v>0</v>
      </c>
      <c r="D44" s="83"/>
      <c r="E44" s="83">
        <v>0</v>
      </c>
      <c r="F44" s="83">
        <v>0</v>
      </c>
      <c r="G44" s="80"/>
      <c r="H44" s="89"/>
    </row>
    <row r="45" spans="1:9" ht="20.399999999999999" customHeight="1">
      <c r="A45" s="81" t="s">
        <v>123</v>
      </c>
      <c r="B45" s="82" t="s">
        <v>57</v>
      </c>
      <c r="C45" s="83">
        <v>0</v>
      </c>
      <c r="D45" s="83"/>
      <c r="E45" s="83">
        <v>0</v>
      </c>
      <c r="F45" s="83">
        <v>0</v>
      </c>
      <c r="G45" s="80"/>
      <c r="H45" s="89"/>
    </row>
    <row r="46" spans="1:9" ht="20.399999999999999" customHeight="1">
      <c r="A46" s="81" t="s">
        <v>124</v>
      </c>
      <c r="B46" s="82" t="s">
        <v>424</v>
      </c>
      <c r="C46" s="83">
        <v>0</v>
      </c>
      <c r="D46" s="83"/>
      <c r="E46" s="83">
        <v>0</v>
      </c>
      <c r="F46" s="83">
        <v>0</v>
      </c>
      <c r="G46" s="80"/>
      <c r="H46" s="89"/>
    </row>
    <row r="47" spans="1:9" ht="19.8" customHeight="1">
      <c r="A47" s="81" t="s">
        <v>125</v>
      </c>
      <c r="B47" s="82" t="s">
        <v>425</v>
      </c>
      <c r="C47" s="83">
        <v>0</v>
      </c>
      <c r="D47" s="83"/>
      <c r="E47" s="83">
        <v>0</v>
      </c>
      <c r="F47" s="83">
        <v>0</v>
      </c>
      <c r="G47" s="80"/>
      <c r="H47" s="89"/>
    </row>
    <row r="48" spans="1:9" ht="27.6">
      <c r="A48" s="81" t="s">
        <v>126</v>
      </c>
      <c r="B48" s="82" t="s">
        <v>426</v>
      </c>
      <c r="C48" s="83">
        <v>0</v>
      </c>
      <c r="D48" s="83"/>
      <c r="E48" s="83">
        <v>0</v>
      </c>
      <c r="F48" s="83">
        <v>0</v>
      </c>
      <c r="G48" s="80"/>
      <c r="H48" s="89"/>
    </row>
    <row r="49" spans="1:8" ht="19.2" customHeight="1">
      <c r="A49" s="81" t="s">
        <v>127</v>
      </c>
      <c r="B49" s="82" t="s">
        <v>427</v>
      </c>
      <c r="C49" s="83">
        <v>0</v>
      </c>
      <c r="D49" s="83"/>
      <c r="E49" s="83">
        <v>0</v>
      </c>
      <c r="F49" s="83">
        <v>0</v>
      </c>
      <c r="G49" s="80"/>
      <c r="H49" s="89"/>
    </row>
    <row r="50" spans="1:8" ht="19.2" customHeight="1">
      <c r="A50" s="81" t="s">
        <v>128</v>
      </c>
      <c r="B50" s="82" t="s">
        <v>58</v>
      </c>
      <c r="C50" s="83">
        <v>0</v>
      </c>
      <c r="D50" s="83"/>
      <c r="E50" s="83">
        <v>0</v>
      </c>
      <c r="F50" s="83">
        <v>0</v>
      </c>
      <c r="G50" s="80"/>
      <c r="H50" s="89"/>
    </row>
    <row r="51" spans="1:8" ht="19.2" customHeight="1">
      <c r="A51" s="77" t="s">
        <v>16</v>
      </c>
      <c r="B51" s="78" t="s">
        <v>428</v>
      </c>
      <c r="C51" s="79">
        <v>0</v>
      </c>
      <c r="D51" s="79"/>
      <c r="E51" s="79">
        <v>0</v>
      </c>
      <c r="F51" s="79">
        <v>0</v>
      </c>
      <c r="G51" s="80"/>
      <c r="H51" s="88"/>
    </row>
    <row r="52" spans="1:8" ht="19.2" customHeight="1">
      <c r="A52" s="77" t="s">
        <v>18</v>
      </c>
      <c r="B52" s="78" t="s">
        <v>429</v>
      </c>
      <c r="C52" s="79">
        <v>0</v>
      </c>
      <c r="D52" s="79"/>
      <c r="E52" s="79">
        <v>3122</v>
      </c>
      <c r="F52" s="79">
        <v>0</v>
      </c>
      <c r="G52" s="80"/>
      <c r="H52" s="88"/>
    </row>
    <row r="53" spans="1:8" ht="18.600000000000001" customHeight="1">
      <c r="A53" s="77" t="s">
        <v>6</v>
      </c>
      <c r="B53" s="78" t="s">
        <v>430</v>
      </c>
      <c r="C53" s="79">
        <v>0</v>
      </c>
      <c r="D53" s="79"/>
      <c r="E53" s="79">
        <v>0</v>
      </c>
      <c r="F53" s="79">
        <v>0</v>
      </c>
      <c r="G53" s="80"/>
      <c r="H53" s="88"/>
    </row>
    <row r="54" spans="1:8" ht="18.600000000000001" customHeight="1">
      <c r="A54" s="77" t="s">
        <v>30</v>
      </c>
      <c r="B54" s="78" t="s">
        <v>431</v>
      </c>
      <c r="C54" s="79">
        <v>0</v>
      </c>
      <c r="D54" s="79"/>
      <c r="E54" s="79">
        <v>376</v>
      </c>
      <c r="F54" s="79">
        <v>376</v>
      </c>
      <c r="G54" s="80"/>
      <c r="H54" s="88"/>
    </row>
    <row r="55" spans="1:8" ht="28.2" customHeight="1">
      <c r="A55" s="90" t="s">
        <v>32</v>
      </c>
      <c r="B55" s="91" t="s">
        <v>59</v>
      </c>
      <c r="C55" s="93">
        <v>0</v>
      </c>
      <c r="D55" s="93"/>
      <c r="E55" s="93">
        <v>2122</v>
      </c>
      <c r="F55" s="93">
        <v>2122</v>
      </c>
      <c r="G55" s="134"/>
      <c r="H55" s="94"/>
    </row>
    <row r="56" spans="1:8">
      <c r="C56" s="177"/>
      <c r="D56" s="177"/>
    </row>
    <row r="57" spans="1:8">
      <c r="C57" s="44"/>
      <c r="D57" s="44"/>
      <c r="E57" s="46"/>
      <c r="F57" s="46"/>
      <c r="G57" s="46"/>
      <c r="H57" s="46"/>
    </row>
    <row r="58" spans="1:8">
      <c r="C58" s="45"/>
      <c r="D58" s="45"/>
      <c r="E58" s="44"/>
      <c r="F58" s="44"/>
      <c r="G58" s="44"/>
      <c r="H58" s="44"/>
    </row>
    <row r="59" spans="1:8">
      <c r="E59" s="45"/>
      <c r="F59" s="45"/>
      <c r="G59" s="45"/>
      <c r="H59" s="45"/>
    </row>
  </sheetData>
  <mergeCells count="10">
    <mergeCell ref="A2:H2"/>
    <mergeCell ref="C56:D56"/>
    <mergeCell ref="C5:D5"/>
    <mergeCell ref="E5:F5"/>
    <mergeCell ref="G5:H5"/>
    <mergeCell ref="A3:H3"/>
    <mergeCell ref="A5:A6"/>
    <mergeCell ref="B5:B6"/>
    <mergeCell ref="G4:H4"/>
    <mergeCell ref="F1:H1"/>
  </mergeCells>
  <pageMargins left="0.44" right="0.2" top="0.42" bottom="0.25" header="0.3" footer="0.3"/>
  <pageSetup paperSize="9" scale="85" orientation="portrait" verticalDpi="300" r:id="rId1"/>
  <headerFooter differentFirst="1">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53"/>
  <sheetViews>
    <sheetView workbookViewId="0">
      <selection activeCell="D1" sqref="D1:E1"/>
    </sheetView>
  </sheetViews>
  <sheetFormatPr defaultRowHeight="15.6"/>
  <cols>
    <col min="1" max="1" width="5.8984375" customWidth="1"/>
    <col min="2" max="2" width="35.8984375" customWidth="1"/>
    <col min="3" max="5" width="15.19921875" customWidth="1"/>
    <col min="6" max="6" width="14.5" bestFit="1" customWidth="1"/>
  </cols>
  <sheetData>
    <row r="1" spans="1:7" ht="37.200000000000003" customHeight="1">
      <c r="D1" s="228" t="s">
        <v>518</v>
      </c>
      <c r="E1" s="228"/>
      <c r="F1" s="229"/>
      <c r="G1" s="229"/>
    </row>
    <row r="2" spans="1:7" ht="21" customHeight="1">
      <c r="A2" s="188" t="s">
        <v>502</v>
      </c>
      <c r="B2" s="188"/>
      <c r="C2" s="188"/>
      <c r="D2" s="188"/>
      <c r="E2" s="188"/>
    </row>
    <row r="3" spans="1:7" ht="18.75" customHeight="1">
      <c r="A3" s="189" t="str">
        <f>+'48'!A3:F3</f>
        <v>(Kèm theo Nghị quyết số  09 /NQ-HĐND ngày 30  tháng 3 năm 2026 của HĐND xã Quang Sơn)</v>
      </c>
      <c r="B3" s="189"/>
      <c r="C3" s="189"/>
      <c r="D3" s="189"/>
      <c r="E3" s="189"/>
    </row>
    <row r="4" spans="1:7">
      <c r="E4" s="1" t="s">
        <v>513</v>
      </c>
    </row>
    <row r="5" spans="1:7" ht="26.25" customHeight="1">
      <c r="A5" s="68" t="s">
        <v>1</v>
      </c>
      <c r="B5" s="68" t="s">
        <v>442</v>
      </c>
      <c r="C5" s="68" t="s">
        <v>3</v>
      </c>
      <c r="D5" s="68" t="s">
        <v>4</v>
      </c>
      <c r="E5" s="68" t="s">
        <v>43</v>
      </c>
    </row>
    <row r="6" spans="1:7" ht="16.5" customHeight="1">
      <c r="A6" s="69" t="s">
        <v>5</v>
      </c>
      <c r="B6" s="69" t="s">
        <v>6</v>
      </c>
      <c r="C6" s="69" t="s">
        <v>122</v>
      </c>
      <c r="D6" s="69" t="s">
        <v>123</v>
      </c>
      <c r="E6" s="69" t="s">
        <v>60</v>
      </c>
      <c r="F6" s="42">
        <f>+D7-'48'!D20</f>
        <v>0</v>
      </c>
    </row>
    <row r="7" spans="1:7" ht="38.4" customHeight="1">
      <c r="A7" s="74"/>
      <c r="B7" s="74" t="s">
        <v>443</v>
      </c>
      <c r="C7" s="75">
        <f>+C8+C45+C49+C50+C31+C46+C47+C48</f>
        <v>124132</v>
      </c>
      <c r="D7" s="75">
        <f>+D8+D31+D50+D49+D45</f>
        <v>138427</v>
      </c>
      <c r="E7" s="76">
        <f>+D7/C7</f>
        <v>1.1151596687397287</v>
      </c>
      <c r="F7" s="42" t="e">
        <f>+C7-#REF!</f>
        <v>#REF!</v>
      </c>
    </row>
    <row r="8" spans="1:7" ht="24" customHeight="1">
      <c r="A8" s="77" t="s">
        <v>5</v>
      </c>
      <c r="B8" s="78" t="s">
        <v>89</v>
      </c>
      <c r="C8" s="79">
        <f>+C9+C23+C27+C28+C29+C30</f>
        <v>93325</v>
      </c>
      <c r="D8" s="79">
        <v>102911</v>
      </c>
      <c r="E8" s="80">
        <f t="shared" ref="E8:E41" si="0">+D8/C8</f>
        <v>1.1027163139566032</v>
      </c>
      <c r="F8" s="42">
        <f>+D8-'52'!D10</f>
        <v>0</v>
      </c>
    </row>
    <row r="9" spans="1:7" ht="24" customHeight="1">
      <c r="A9" s="77" t="s">
        <v>8</v>
      </c>
      <c r="B9" s="78" t="s">
        <v>21</v>
      </c>
      <c r="C9" s="79">
        <f>+C10+C22</f>
        <v>2683</v>
      </c>
      <c r="D9" s="79">
        <v>5686</v>
      </c>
      <c r="E9" s="80">
        <f t="shared" si="0"/>
        <v>2.119269474468878</v>
      </c>
    </row>
    <row r="10" spans="1:7" ht="24" customHeight="1">
      <c r="A10" s="81" t="s">
        <v>122</v>
      </c>
      <c r="B10" s="82" t="s">
        <v>74</v>
      </c>
      <c r="C10" s="83">
        <f>+C12+C13+C14+C15+C17+C16</f>
        <v>2683</v>
      </c>
      <c r="D10" s="83">
        <v>5686</v>
      </c>
      <c r="E10" s="84">
        <f t="shared" si="0"/>
        <v>2.119269474468878</v>
      </c>
    </row>
    <row r="11" spans="1:7" ht="24" customHeight="1">
      <c r="A11" s="85"/>
      <c r="B11" s="86" t="s">
        <v>62</v>
      </c>
      <c r="C11" s="87">
        <v>0</v>
      </c>
      <c r="D11" s="87">
        <v>0</v>
      </c>
      <c r="E11" s="80"/>
    </row>
    <row r="12" spans="1:7" ht="24" customHeight="1">
      <c r="A12" s="81" t="s">
        <v>10</v>
      </c>
      <c r="B12" s="82" t="s">
        <v>63</v>
      </c>
      <c r="C12" s="83">
        <v>2595</v>
      </c>
      <c r="D12" s="83">
        <v>5276</v>
      </c>
      <c r="E12" s="84">
        <f t="shared" si="0"/>
        <v>2.033140655105973</v>
      </c>
    </row>
    <row r="13" spans="1:7" ht="24" customHeight="1">
      <c r="A13" s="81" t="s">
        <v>10</v>
      </c>
      <c r="B13" s="82" t="s">
        <v>80</v>
      </c>
      <c r="C13" s="83">
        <v>86</v>
      </c>
      <c r="D13" s="83">
        <v>410</v>
      </c>
      <c r="E13" s="84">
        <f t="shared" si="0"/>
        <v>4.7674418604651159</v>
      </c>
    </row>
    <row r="14" spans="1:7" ht="33" customHeight="1">
      <c r="A14" s="81" t="s">
        <v>10</v>
      </c>
      <c r="B14" s="82" t="s">
        <v>444</v>
      </c>
      <c r="C14" s="83">
        <v>0</v>
      </c>
      <c r="D14" s="83">
        <v>0</v>
      </c>
      <c r="E14" s="84"/>
    </row>
    <row r="15" spans="1:7" ht="21" customHeight="1">
      <c r="A15" s="81" t="s">
        <v>10</v>
      </c>
      <c r="B15" s="82" t="s">
        <v>445</v>
      </c>
      <c r="C15" s="83">
        <v>0</v>
      </c>
      <c r="D15" s="83">
        <v>0</v>
      </c>
      <c r="E15" s="84"/>
    </row>
    <row r="16" spans="1:7" ht="21" customHeight="1">
      <c r="A16" s="81" t="s">
        <v>10</v>
      </c>
      <c r="B16" s="82" t="s">
        <v>81</v>
      </c>
      <c r="C16" s="83">
        <v>2</v>
      </c>
      <c r="D16" s="83">
        <v>0</v>
      </c>
      <c r="E16" s="84">
        <f t="shared" si="0"/>
        <v>0</v>
      </c>
    </row>
    <row r="17" spans="1:5" ht="21" customHeight="1">
      <c r="A17" s="81" t="s">
        <v>10</v>
      </c>
      <c r="B17" s="82" t="s">
        <v>446</v>
      </c>
      <c r="C17" s="83">
        <v>0</v>
      </c>
      <c r="D17" s="83">
        <v>0</v>
      </c>
      <c r="E17" s="84"/>
    </row>
    <row r="18" spans="1:5" ht="21" customHeight="1">
      <c r="A18" s="85"/>
      <c r="B18" s="86" t="s">
        <v>64</v>
      </c>
      <c r="C18" s="87">
        <v>0</v>
      </c>
      <c r="D18" s="87">
        <v>0</v>
      </c>
      <c r="E18" s="84"/>
    </row>
    <row r="19" spans="1:5" ht="21" customHeight="1">
      <c r="A19" s="81" t="s">
        <v>10</v>
      </c>
      <c r="B19" s="82" t="s">
        <v>65</v>
      </c>
      <c r="C19" s="83">
        <v>2683</v>
      </c>
      <c r="D19" s="83">
        <v>2442</v>
      </c>
      <c r="E19" s="84">
        <f t="shared" si="0"/>
        <v>0.91017517704062612</v>
      </c>
    </row>
    <row r="20" spans="1:5" ht="21" customHeight="1">
      <c r="A20" s="81" t="s">
        <v>10</v>
      </c>
      <c r="B20" s="82" t="s">
        <v>66</v>
      </c>
      <c r="C20" s="83">
        <v>0</v>
      </c>
      <c r="D20" s="83">
        <v>0</v>
      </c>
      <c r="E20" s="84"/>
    </row>
    <row r="21" spans="1:5" ht="21" customHeight="1">
      <c r="A21" s="81" t="s">
        <v>10</v>
      </c>
      <c r="B21" s="82" t="s">
        <v>448</v>
      </c>
      <c r="C21" s="83">
        <v>0</v>
      </c>
      <c r="D21" s="83">
        <v>0</v>
      </c>
      <c r="E21" s="84"/>
    </row>
    <row r="22" spans="1:5" ht="21" customHeight="1">
      <c r="A22" s="81" t="s">
        <v>123</v>
      </c>
      <c r="B22" s="82" t="s">
        <v>68</v>
      </c>
      <c r="C22" s="83">
        <v>0</v>
      </c>
      <c r="D22" s="83">
        <v>0</v>
      </c>
      <c r="E22" s="84"/>
    </row>
    <row r="23" spans="1:5" ht="21" customHeight="1">
      <c r="A23" s="77" t="s">
        <v>12</v>
      </c>
      <c r="B23" s="78" t="s">
        <v>22</v>
      </c>
      <c r="C23" s="79">
        <v>88821</v>
      </c>
      <c r="D23" s="79">
        <v>97225</v>
      </c>
      <c r="E23" s="80">
        <f t="shared" si="0"/>
        <v>1.0946172639353307</v>
      </c>
    </row>
    <row r="24" spans="1:5" ht="19.8" customHeight="1">
      <c r="A24" s="85"/>
      <c r="B24" s="86" t="s">
        <v>69</v>
      </c>
      <c r="C24" s="87">
        <v>0</v>
      </c>
      <c r="D24" s="87">
        <v>0</v>
      </c>
      <c r="E24" s="80"/>
    </row>
    <row r="25" spans="1:5" ht="19.8" customHeight="1">
      <c r="A25" s="81" t="s">
        <v>122</v>
      </c>
      <c r="B25" s="82" t="s">
        <v>63</v>
      </c>
      <c r="C25" s="83">
        <v>57971</v>
      </c>
      <c r="D25" s="83">
        <v>57689</v>
      </c>
      <c r="E25" s="84">
        <f t="shared" si="0"/>
        <v>0.99513549878387475</v>
      </c>
    </row>
    <row r="26" spans="1:5" ht="19.8" customHeight="1">
      <c r="A26" s="81" t="s">
        <v>123</v>
      </c>
      <c r="B26" s="82" t="s">
        <v>70</v>
      </c>
      <c r="C26" s="83">
        <v>0</v>
      </c>
      <c r="D26" s="83">
        <v>0</v>
      </c>
      <c r="E26" s="80"/>
    </row>
    <row r="27" spans="1:5" ht="19.8" customHeight="1">
      <c r="A27" s="77" t="s">
        <v>15</v>
      </c>
      <c r="B27" s="78" t="s">
        <v>504</v>
      </c>
      <c r="C27" s="79">
        <v>0</v>
      </c>
      <c r="D27" s="79">
        <v>0</v>
      </c>
      <c r="E27" s="80"/>
    </row>
    <row r="28" spans="1:5" ht="19.8" customHeight="1">
      <c r="A28" s="77" t="s">
        <v>16</v>
      </c>
      <c r="B28" s="78" t="s">
        <v>24</v>
      </c>
      <c r="C28" s="79">
        <v>0</v>
      </c>
      <c r="D28" s="79">
        <v>0</v>
      </c>
      <c r="E28" s="80"/>
    </row>
    <row r="29" spans="1:5" ht="19.8" customHeight="1">
      <c r="A29" s="77" t="s">
        <v>18</v>
      </c>
      <c r="B29" s="78" t="s">
        <v>449</v>
      </c>
      <c r="C29" s="79">
        <v>1821</v>
      </c>
      <c r="D29" s="79">
        <v>0</v>
      </c>
      <c r="E29" s="80">
        <f t="shared" si="0"/>
        <v>0</v>
      </c>
    </row>
    <row r="30" spans="1:5" ht="19.8" customHeight="1">
      <c r="A30" s="77" t="s">
        <v>71</v>
      </c>
      <c r="B30" s="78" t="s">
        <v>26</v>
      </c>
      <c r="C30" s="79">
        <v>0</v>
      </c>
      <c r="D30" s="79">
        <v>0</v>
      </c>
      <c r="E30" s="80"/>
    </row>
    <row r="31" spans="1:5" ht="19.8" customHeight="1">
      <c r="A31" s="77" t="s">
        <v>6</v>
      </c>
      <c r="B31" s="78" t="s">
        <v>72</v>
      </c>
      <c r="C31" s="79">
        <f>+C32+C42</f>
        <v>17538</v>
      </c>
      <c r="D31" s="79">
        <v>21141</v>
      </c>
      <c r="E31" s="80">
        <f t="shared" si="0"/>
        <v>1.2054396168320218</v>
      </c>
    </row>
    <row r="32" spans="1:5" ht="19.8" customHeight="1">
      <c r="A32" s="77" t="s">
        <v>8</v>
      </c>
      <c r="B32" s="78" t="s">
        <v>28</v>
      </c>
      <c r="C32" s="79">
        <f>+C33+C36+C39</f>
        <v>17303</v>
      </c>
      <c r="D32" s="79">
        <v>21141</v>
      </c>
      <c r="E32" s="80">
        <f t="shared" si="0"/>
        <v>1.2218112466046351</v>
      </c>
    </row>
    <row r="33" spans="1:6" ht="19.8" customHeight="1">
      <c r="A33" s="77" t="s">
        <v>122</v>
      </c>
      <c r="B33" s="78" t="s">
        <v>450</v>
      </c>
      <c r="C33" s="79">
        <f>+C34+C35</f>
        <v>6742</v>
      </c>
      <c r="D33" s="79">
        <v>7689</v>
      </c>
      <c r="E33" s="80">
        <f t="shared" si="0"/>
        <v>1.1404627706911896</v>
      </c>
      <c r="F33" s="42"/>
    </row>
    <row r="34" spans="1:6" ht="19.8" customHeight="1">
      <c r="A34" s="81"/>
      <c r="B34" s="82" t="s">
        <v>451</v>
      </c>
      <c r="C34" s="83">
        <v>6588</v>
      </c>
      <c r="D34" s="83">
        <v>7535</v>
      </c>
      <c r="E34" s="84">
        <f t="shared" si="0"/>
        <v>1.143746205221615</v>
      </c>
    </row>
    <row r="35" spans="1:6" ht="19.8" customHeight="1">
      <c r="A35" s="81"/>
      <c r="B35" s="82" t="s">
        <v>452</v>
      </c>
      <c r="C35" s="83">
        <v>154</v>
      </c>
      <c r="D35" s="83">
        <v>154</v>
      </c>
      <c r="E35" s="84">
        <f t="shared" si="0"/>
        <v>1</v>
      </c>
    </row>
    <row r="36" spans="1:6" ht="19.8" customHeight="1">
      <c r="A36" s="77" t="s">
        <v>123</v>
      </c>
      <c r="B36" s="78" t="s">
        <v>453</v>
      </c>
      <c r="C36" s="79">
        <f>+C37+C38</f>
        <v>1040</v>
      </c>
      <c r="D36" s="79">
        <v>1140</v>
      </c>
      <c r="E36" s="80">
        <f t="shared" si="0"/>
        <v>1.0961538461538463</v>
      </c>
    </row>
    <row r="37" spans="1:6" ht="19.8" customHeight="1">
      <c r="A37" s="81"/>
      <c r="B37" s="82" t="s">
        <v>451</v>
      </c>
      <c r="C37" s="83">
        <v>0</v>
      </c>
      <c r="D37" s="83">
        <v>0</v>
      </c>
      <c r="E37" s="80"/>
    </row>
    <row r="38" spans="1:6" ht="19.8" customHeight="1">
      <c r="A38" s="81"/>
      <c r="B38" s="82" t="s">
        <v>452</v>
      </c>
      <c r="C38" s="83">
        <v>1040</v>
      </c>
      <c r="D38" s="83">
        <v>1140</v>
      </c>
      <c r="E38" s="84">
        <f t="shared" si="0"/>
        <v>1.0961538461538463</v>
      </c>
    </row>
    <row r="39" spans="1:6" ht="19.8" customHeight="1">
      <c r="A39" s="77" t="s">
        <v>124</v>
      </c>
      <c r="B39" s="78" t="s">
        <v>454</v>
      </c>
      <c r="C39" s="79">
        <f>+C40+C41</f>
        <v>9521</v>
      </c>
      <c r="D39" s="79">
        <v>12312</v>
      </c>
      <c r="E39" s="80">
        <f t="shared" si="0"/>
        <v>1.2931414767356371</v>
      </c>
    </row>
    <row r="40" spans="1:6" ht="19.8" customHeight="1">
      <c r="A40" s="81"/>
      <c r="B40" s="82" t="s">
        <v>451</v>
      </c>
      <c r="C40" s="83">
        <v>5708</v>
      </c>
      <c r="D40" s="83">
        <v>7904</v>
      </c>
      <c r="E40" s="84">
        <f t="shared" si="0"/>
        <v>1.3847231955150665</v>
      </c>
    </row>
    <row r="41" spans="1:6" ht="19.8" customHeight="1">
      <c r="A41" s="81"/>
      <c r="B41" s="82" t="s">
        <v>452</v>
      </c>
      <c r="C41" s="83">
        <v>3813</v>
      </c>
      <c r="D41" s="83">
        <v>4408</v>
      </c>
      <c r="E41" s="84">
        <f t="shared" si="0"/>
        <v>1.1560451088381851</v>
      </c>
    </row>
    <row r="42" spans="1:6" ht="19.8" customHeight="1">
      <c r="A42" s="77" t="s">
        <v>12</v>
      </c>
      <c r="B42" s="78" t="s">
        <v>29</v>
      </c>
      <c r="C42" s="79">
        <f>+C43+C44</f>
        <v>235</v>
      </c>
      <c r="D42" s="79">
        <v>0</v>
      </c>
      <c r="E42" s="80"/>
    </row>
    <row r="43" spans="1:6" ht="30" customHeight="1">
      <c r="A43" s="81" t="s">
        <v>122</v>
      </c>
      <c r="B43" s="82" t="s">
        <v>455</v>
      </c>
      <c r="C43" s="83">
        <v>0</v>
      </c>
      <c r="D43" s="83">
        <v>0</v>
      </c>
      <c r="E43" s="80"/>
    </row>
    <row r="44" spans="1:6" ht="21" customHeight="1">
      <c r="A44" s="81" t="s">
        <v>123</v>
      </c>
      <c r="B44" s="82" t="s">
        <v>456</v>
      </c>
      <c r="C44" s="83">
        <v>235</v>
      </c>
      <c r="D44" s="83">
        <v>0</v>
      </c>
      <c r="E44" s="80"/>
    </row>
    <row r="45" spans="1:6" ht="21" customHeight="1">
      <c r="A45" s="77" t="s">
        <v>30</v>
      </c>
      <c r="B45" s="78" t="s">
        <v>73</v>
      </c>
      <c r="C45" s="79">
        <v>0</v>
      </c>
      <c r="D45" s="79">
        <v>14300</v>
      </c>
      <c r="E45" s="80"/>
    </row>
    <row r="46" spans="1:6" ht="21" customHeight="1">
      <c r="A46" s="77" t="s">
        <v>32</v>
      </c>
      <c r="B46" s="78" t="s">
        <v>504</v>
      </c>
      <c r="C46" s="79">
        <v>4866</v>
      </c>
      <c r="D46" s="79"/>
      <c r="E46" s="80"/>
    </row>
    <row r="47" spans="1:6" ht="21" customHeight="1">
      <c r="A47" s="77" t="s">
        <v>36</v>
      </c>
      <c r="B47" s="78" t="s">
        <v>505</v>
      </c>
      <c r="C47" s="79">
        <v>5281</v>
      </c>
      <c r="D47" s="79"/>
      <c r="E47" s="80"/>
    </row>
    <row r="48" spans="1:6" ht="21" customHeight="1">
      <c r="A48" s="77" t="s">
        <v>164</v>
      </c>
      <c r="B48" s="78" t="s">
        <v>506</v>
      </c>
      <c r="C48" s="79">
        <v>3122</v>
      </c>
      <c r="D48" s="79"/>
      <c r="E48" s="80"/>
    </row>
    <row r="49" spans="1:6" ht="21" customHeight="1">
      <c r="A49" s="77" t="s">
        <v>40</v>
      </c>
      <c r="B49" s="78" t="s">
        <v>457</v>
      </c>
      <c r="C49" s="79">
        <v>0</v>
      </c>
      <c r="D49" s="79">
        <v>0</v>
      </c>
      <c r="E49" s="80"/>
    </row>
    <row r="50" spans="1:6" ht="21" customHeight="1">
      <c r="A50" s="90" t="s">
        <v>166</v>
      </c>
      <c r="B50" s="91" t="s">
        <v>458</v>
      </c>
      <c r="C50" s="93">
        <v>0</v>
      </c>
      <c r="D50" s="93">
        <v>75</v>
      </c>
      <c r="E50" s="134"/>
    </row>
    <row r="51" spans="1:6">
      <c r="D51" s="55"/>
      <c r="E51" s="55"/>
      <c r="F51" s="46"/>
    </row>
    <row r="52" spans="1:6">
      <c r="D52" s="56"/>
      <c r="E52" s="56"/>
      <c r="F52" s="44"/>
    </row>
    <row r="53" spans="1:6">
      <c r="D53" s="57"/>
      <c r="E53" s="57"/>
      <c r="F53" s="45"/>
    </row>
  </sheetData>
  <mergeCells count="3">
    <mergeCell ref="A2:E2"/>
    <mergeCell ref="A3:E3"/>
    <mergeCell ref="D1:E1"/>
  </mergeCells>
  <pageMargins left="0.7" right="0.2" top="0.46" bottom="0.4" header="0.3" footer="0.3"/>
  <pageSetup paperSize="9" orientation="portrait" verticalDpi="0" r:id="rId1"/>
  <headerFooter differentFirst="1">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G54"/>
  <sheetViews>
    <sheetView zoomScaleNormal="100" workbookViewId="0">
      <selection activeCell="E1" sqref="E1:F1"/>
    </sheetView>
  </sheetViews>
  <sheetFormatPr defaultRowHeight="15.6"/>
  <cols>
    <col min="1" max="1" width="4.5" customWidth="1"/>
    <col min="2" max="2" width="37.59765625" customWidth="1"/>
    <col min="3" max="4" width="12.19921875" customWidth="1"/>
    <col min="5" max="5" width="11.59765625" customWidth="1"/>
    <col min="6" max="6" width="12" customWidth="1"/>
    <col min="7" max="7" width="14.19921875" bestFit="1" customWidth="1"/>
  </cols>
  <sheetData>
    <row r="1" spans="1:7" ht="40.200000000000003" customHeight="1">
      <c r="B1" s="2"/>
      <c r="C1" s="2"/>
      <c r="D1" s="2"/>
      <c r="E1" s="228" t="s">
        <v>519</v>
      </c>
      <c r="F1" s="228"/>
    </row>
    <row r="2" spans="1:7" ht="26.4" customHeight="1">
      <c r="A2" s="190" t="s">
        <v>509</v>
      </c>
      <c r="B2" s="190"/>
      <c r="C2" s="190"/>
      <c r="D2" s="190"/>
      <c r="E2" s="190"/>
      <c r="F2" s="190"/>
    </row>
    <row r="3" spans="1:7">
      <c r="A3" s="193" t="str">
        <f>+'48'!A3:F3</f>
        <v>(Kèm theo Nghị quyết số  09 /NQ-HĐND ngày 30  tháng 3 năm 2026 của HĐND xã Quang Sơn)</v>
      </c>
      <c r="B3" s="193"/>
      <c r="C3" s="193"/>
      <c r="D3" s="193"/>
      <c r="E3" s="193"/>
      <c r="F3" s="193"/>
    </row>
    <row r="4" spans="1:7">
      <c r="B4" s="2"/>
      <c r="C4" s="2"/>
      <c r="D4" s="2"/>
      <c r="E4" s="2"/>
      <c r="F4" s="3" t="s">
        <v>513</v>
      </c>
    </row>
    <row r="5" spans="1:7" ht="22.2" customHeight="1">
      <c r="A5" s="70" t="s">
        <v>150</v>
      </c>
      <c r="B5" s="70" t="s">
        <v>150</v>
      </c>
      <c r="C5" s="70" t="s">
        <v>150</v>
      </c>
      <c r="D5" s="70" t="s">
        <v>150</v>
      </c>
      <c r="E5" s="191" t="s">
        <v>441</v>
      </c>
      <c r="F5" s="192"/>
    </row>
    <row r="6" spans="1:7" ht="27.6">
      <c r="A6" s="71" t="s">
        <v>1</v>
      </c>
      <c r="B6" s="71" t="s">
        <v>42</v>
      </c>
      <c r="C6" s="71" t="s">
        <v>3</v>
      </c>
      <c r="D6" s="71" t="s">
        <v>4</v>
      </c>
      <c r="E6" s="95" t="s">
        <v>434</v>
      </c>
      <c r="F6" s="95" t="s">
        <v>435</v>
      </c>
    </row>
    <row r="7" spans="1:7">
      <c r="A7" s="71" t="s">
        <v>5</v>
      </c>
      <c r="B7" s="71" t="s">
        <v>6</v>
      </c>
      <c r="C7" s="71" t="s">
        <v>122</v>
      </c>
      <c r="D7" s="71" t="s">
        <v>123</v>
      </c>
      <c r="E7" s="97" t="s">
        <v>160</v>
      </c>
      <c r="F7" s="97" t="s">
        <v>161</v>
      </c>
    </row>
    <row r="8" spans="1:7" ht="47.4" customHeight="1">
      <c r="A8" s="73"/>
      <c r="B8" s="74" t="s">
        <v>459</v>
      </c>
      <c r="C8" s="75">
        <f>+C10+C48+C49+C50+C51</f>
        <v>124134</v>
      </c>
      <c r="D8" s="75">
        <f>+D10+D9+D46+D47+D48+D49+D50+D51</f>
        <v>138427</v>
      </c>
      <c r="E8" s="75">
        <f>+D8-C8</f>
        <v>14293</v>
      </c>
      <c r="F8" s="76">
        <f>+D8/C8</f>
        <v>1.1151417017094429</v>
      </c>
      <c r="G8" s="42">
        <f>+C8-'48'!C20</f>
        <v>0</v>
      </c>
    </row>
    <row r="9" spans="1:7" ht="33" customHeight="1">
      <c r="A9" s="77" t="s">
        <v>5</v>
      </c>
      <c r="B9" s="78" t="s">
        <v>460</v>
      </c>
      <c r="C9" s="79"/>
      <c r="D9" s="79">
        <v>0</v>
      </c>
      <c r="E9" s="79">
        <f t="shared" ref="E9:E40" si="0">+D9-C9</f>
        <v>0</v>
      </c>
      <c r="F9" s="80"/>
    </row>
    <row r="10" spans="1:7" ht="29.4" customHeight="1">
      <c r="A10" s="77" t="s">
        <v>6</v>
      </c>
      <c r="B10" s="78" t="s">
        <v>461</v>
      </c>
      <c r="C10" s="79">
        <f>+C11+C28+C42+C43+C44+C45</f>
        <v>93325</v>
      </c>
      <c r="D10" s="79">
        <f>+D11+D28+D42+D43+D44+D45</f>
        <v>102911</v>
      </c>
      <c r="E10" s="79">
        <f t="shared" si="0"/>
        <v>9586</v>
      </c>
      <c r="F10" s="80">
        <f t="shared" ref="F10:F48" si="1">+D10/C10</f>
        <v>1.1027163139566032</v>
      </c>
      <c r="G10" s="42"/>
    </row>
    <row r="11" spans="1:7" ht="21" customHeight="1">
      <c r="A11" s="77" t="s">
        <v>8</v>
      </c>
      <c r="B11" s="78" t="s">
        <v>21</v>
      </c>
      <c r="C11" s="79">
        <f>+C12+C26+C27</f>
        <v>2683</v>
      </c>
      <c r="D11" s="79">
        <v>5686</v>
      </c>
      <c r="E11" s="79">
        <f t="shared" si="0"/>
        <v>3003</v>
      </c>
      <c r="F11" s="80">
        <f t="shared" si="1"/>
        <v>2.119269474468878</v>
      </c>
    </row>
    <row r="12" spans="1:7" ht="21" customHeight="1">
      <c r="A12" s="81" t="s">
        <v>122</v>
      </c>
      <c r="B12" s="82" t="s">
        <v>74</v>
      </c>
      <c r="C12" s="83">
        <f>+SUM(C13:C25)</f>
        <v>2683</v>
      </c>
      <c r="D12" s="83">
        <v>5686</v>
      </c>
      <c r="E12" s="83">
        <f t="shared" si="0"/>
        <v>3003</v>
      </c>
      <c r="F12" s="84">
        <f t="shared" si="1"/>
        <v>2.119269474468878</v>
      </c>
      <c r="G12" s="67">
        <v>102926493119</v>
      </c>
    </row>
    <row r="13" spans="1:7" ht="21" customHeight="1">
      <c r="A13" s="81" t="s">
        <v>10</v>
      </c>
      <c r="B13" s="82" t="s">
        <v>75</v>
      </c>
      <c r="C13" s="83">
        <v>0</v>
      </c>
      <c r="D13" s="83">
        <v>0</v>
      </c>
      <c r="E13" s="83">
        <f t="shared" si="0"/>
        <v>0</v>
      </c>
      <c r="F13" s="84"/>
      <c r="G13" s="42">
        <f>+G12-D10</f>
        <v>102926390208</v>
      </c>
    </row>
    <row r="14" spans="1:7" ht="21" customHeight="1">
      <c r="A14" s="81" t="s">
        <v>10</v>
      </c>
      <c r="B14" s="82" t="s">
        <v>462</v>
      </c>
      <c r="C14" s="83">
        <v>0</v>
      </c>
      <c r="D14" s="83">
        <v>0</v>
      </c>
      <c r="E14" s="83">
        <f t="shared" si="0"/>
        <v>0</v>
      </c>
      <c r="F14" s="84"/>
    </row>
    <row r="15" spans="1:7" ht="26.4" customHeight="1">
      <c r="A15" s="81" t="s">
        <v>10</v>
      </c>
      <c r="B15" s="82" t="s">
        <v>463</v>
      </c>
      <c r="C15" s="83">
        <v>2595</v>
      </c>
      <c r="D15" s="83">
        <v>5276</v>
      </c>
      <c r="E15" s="83">
        <f t="shared" si="0"/>
        <v>2681</v>
      </c>
      <c r="F15" s="84">
        <f t="shared" si="1"/>
        <v>2.033140655105973</v>
      </c>
    </row>
    <row r="16" spans="1:7" ht="26.4" customHeight="1">
      <c r="A16" s="81" t="s">
        <v>10</v>
      </c>
      <c r="B16" s="82" t="s">
        <v>464</v>
      </c>
      <c r="C16" s="83">
        <v>0</v>
      </c>
      <c r="D16" s="83"/>
      <c r="E16" s="83">
        <f t="shared" si="0"/>
        <v>0</v>
      </c>
      <c r="F16" s="84"/>
    </row>
    <row r="17" spans="1:6" ht="26.4" customHeight="1">
      <c r="A17" s="81" t="s">
        <v>10</v>
      </c>
      <c r="B17" s="82" t="s">
        <v>76</v>
      </c>
      <c r="C17" s="83">
        <v>0</v>
      </c>
      <c r="D17" s="83"/>
      <c r="E17" s="83">
        <f t="shared" si="0"/>
        <v>0</v>
      </c>
      <c r="F17" s="84"/>
    </row>
    <row r="18" spans="1:6" ht="26.4" customHeight="1">
      <c r="A18" s="81" t="s">
        <v>10</v>
      </c>
      <c r="B18" s="82" t="s">
        <v>445</v>
      </c>
      <c r="C18" s="83">
        <v>0</v>
      </c>
      <c r="D18" s="83"/>
      <c r="E18" s="83">
        <f t="shared" si="0"/>
        <v>0</v>
      </c>
      <c r="F18" s="84"/>
    </row>
    <row r="19" spans="1:6" ht="26.4" customHeight="1">
      <c r="A19" s="81" t="s">
        <v>10</v>
      </c>
      <c r="B19" s="82" t="s">
        <v>77</v>
      </c>
      <c r="C19" s="83">
        <v>0</v>
      </c>
      <c r="D19" s="83"/>
      <c r="E19" s="83">
        <f t="shared" si="0"/>
        <v>0</v>
      </c>
      <c r="F19" s="84"/>
    </row>
    <row r="20" spans="1:6" ht="26.4" customHeight="1">
      <c r="A20" s="81" t="s">
        <v>10</v>
      </c>
      <c r="B20" s="82" t="s">
        <v>78</v>
      </c>
      <c r="C20" s="83">
        <v>0</v>
      </c>
      <c r="D20" s="83"/>
      <c r="E20" s="83">
        <f t="shared" si="0"/>
        <v>0</v>
      </c>
      <c r="F20" s="84"/>
    </row>
    <row r="21" spans="1:6" ht="26.4" customHeight="1">
      <c r="A21" s="81" t="s">
        <v>10</v>
      </c>
      <c r="B21" s="82" t="s">
        <v>79</v>
      </c>
      <c r="C21" s="83">
        <v>0</v>
      </c>
      <c r="D21" s="83">
        <v>0</v>
      </c>
      <c r="E21" s="83">
        <f t="shared" si="0"/>
        <v>0</v>
      </c>
      <c r="F21" s="84"/>
    </row>
    <row r="22" spans="1:6" ht="26.4" customHeight="1">
      <c r="A22" s="81" t="s">
        <v>10</v>
      </c>
      <c r="B22" s="82" t="s">
        <v>80</v>
      </c>
      <c r="C22" s="83">
        <v>86</v>
      </c>
      <c r="D22" s="83">
        <v>410</v>
      </c>
      <c r="E22" s="83">
        <f t="shared" si="0"/>
        <v>324</v>
      </c>
      <c r="F22" s="84">
        <f t="shared" si="1"/>
        <v>4.7674418604651159</v>
      </c>
    </row>
    <row r="23" spans="1:6" ht="27.6">
      <c r="A23" s="81" t="s">
        <v>10</v>
      </c>
      <c r="B23" s="82" t="s">
        <v>444</v>
      </c>
      <c r="C23" s="83">
        <v>0</v>
      </c>
      <c r="D23" s="83"/>
      <c r="E23" s="83">
        <f t="shared" si="0"/>
        <v>0</v>
      </c>
      <c r="F23" s="84"/>
    </row>
    <row r="24" spans="1:6" ht="26.4" customHeight="1">
      <c r="A24" s="81" t="s">
        <v>10</v>
      </c>
      <c r="B24" s="82" t="s">
        <v>81</v>
      </c>
      <c r="C24" s="83">
        <v>2</v>
      </c>
      <c r="D24" s="83"/>
      <c r="E24" s="83"/>
      <c r="F24" s="84">
        <f t="shared" si="1"/>
        <v>0</v>
      </c>
    </row>
    <row r="25" spans="1:6" ht="27.6">
      <c r="A25" s="81" t="s">
        <v>10</v>
      </c>
      <c r="B25" s="82" t="s">
        <v>465</v>
      </c>
      <c r="C25" s="83">
        <v>0</v>
      </c>
      <c r="D25" s="83">
        <v>0</v>
      </c>
      <c r="E25" s="79">
        <f t="shared" si="0"/>
        <v>0</v>
      </c>
      <c r="F25" s="84"/>
    </row>
    <row r="26" spans="1:6" ht="61.2" customHeight="1">
      <c r="A26" s="81" t="s">
        <v>123</v>
      </c>
      <c r="B26" s="82" t="s">
        <v>466</v>
      </c>
      <c r="C26" s="83">
        <v>0</v>
      </c>
      <c r="D26" s="83">
        <v>0</v>
      </c>
      <c r="E26" s="79">
        <f t="shared" si="0"/>
        <v>0</v>
      </c>
      <c r="F26" s="84"/>
    </row>
    <row r="27" spans="1:6" ht="28.8" customHeight="1">
      <c r="A27" s="81" t="s">
        <v>124</v>
      </c>
      <c r="B27" s="82" t="s">
        <v>467</v>
      </c>
      <c r="C27" s="83">
        <v>0</v>
      </c>
      <c r="D27" s="83">
        <v>0</v>
      </c>
      <c r="E27" s="79">
        <f t="shared" si="0"/>
        <v>0</v>
      </c>
      <c r="F27" s="84"/>
    </row>
    <row r="28" spans="1:6" ht="19.8" customHeight="1">
      <c r="A28" s="77" t="s">
        <v>12</v>
      </c>
      <c r="B28" s="78" t="s">
        <v>468</v>
      </c>
      <c r="C28" s="79">
        <f>+C29+C30+C31+C32+C34+C33+C35+C36+C38+C39+C40+C41</f>
        <v>88821</v>
      </c>
      <c r="D28" s="79">
        <f>+SUM(D29:D41)</f>
        <v>97225</v>
      </c>
      <c r="E28" s="79">
        <f t="shared" si="0"/>
        <v>8404</v>
      </c>
      <c r="F28" s="80">
        <f t="shared" si="1"/>
        <v>1.0946172639353307</v>
      </c>
    </row>
    <row r="29" spans="1:6" ht="19.8" customHeight="1">
      <c r="A29" s="81" t="s">
        <v>10</v>
      </c>
      <c r="B29" s="82" t="s">
        <v>75</v>
      </c>
      <c r="C29" s="83">
        <v>980</v>
      </c>
      <c r="D29" s="83">
        <v>911</v>
      </c>
      <c r="E29" s="83">
        <f t="shared" si="0"/>
        <v>-69</v>
      </c>
      <c r="F29" s="84">
        <f t="shared" si="1"/>
        <v>0.92959183673469392</v>
      </c>
    </row>
    <row r="30" spans="1:6" ht="19.8" customHeight="1">
      <c r="A30" s="81" t="s">
        <v>10</v>
      </c>
      <c r="B30" s="82" t="s">
        <v>462</v>
      </c>
      <c r="C30" s="83">
        <v>789</v>
      </c>
      <c r="D30" s="83">
        <v>788</v>
      </c>
      <c r="E30" s="83">
        <f t="shared" si="0"/>
        <v>-1</v>
      </c>
      <c r="F30" s="84">
        <f t="shared" si="1"/>
        <v>0.99873257287705952</v>
      </c>
    </row>
    <row r="31" spans="1:6" ht="19.8" customHeight="1">
      <c r="A31" s="81" t="s">
        <v>10</v>
      </c>
      <c r="B31" s="82" t="s">
        <v>463</v>
      </c>
      <c r="C31" s="83">
        <v>57971</v>
      </c>
      <c r="D31" s="83">
        <v>57689</v>
      </c>
      <c r="E31" s="83">
        <f t="shared" si="0"/>
        <v>-282</v>
      </c>
      <c r="F31" s="84">
        <f t="shared" si="1"/>
        <v>0.99513549878387475</v>
      </c>
    </row>
    <row r="32" spans="1:6" ht="19.8" customHeight="1">
      <c r="A32" s="81" t="s">
        <v>10</v>
      </c>
      <c r="B32" s="82" t="s">
        <v>464</v>
      </c>
      <c r="C32" s="83">
        <v>30</v>
      </c>
      <c r="D32" s="83">
        <v>0</v>
      </c>
      <c r="E32" s="83">
        <f t="shared" si="0"/>
        <v>-30</v>
      </c>
      <c r="F32" s="84">
        <f t="shared" si="1"/>
        <v>0</v>
      </c>
    </row>
    <row r="33" spans="1:6" ht="19.8" customHeight="1">
      <c r="A33" s="81" t="s">
        <v>10</v>
      </c>
      <c r="B33" s="82" t="s">
        <v>76</v>
      </c>
      <c r="C33" s="83">
        <v>508</v>
      </c>
      <c r="D33" s="83">
        <v>280</v>
      </c>
      <c r="E33" s="83">
        <f t="shared" si="0"/>
        <v>-228</v>
      </c>
      <c r="F33" s="84">
        <f t="shared" si="1"/>
        <v>0.55118110236220474</v>
      </c>
    </row>
    <row r="34" spans="1:6" ht="19.8" customHeight="1">
      <c r="A34" s="81" t="s">
        <v>10</v>
      </c>
      <c r="B34" s="82" t="s">
        <v>445</v>
      </c>
      <c r="C34" s="83">
        <v>248</v>
      </c>
      <c r="D34" s="83">
        <v>188</v>
      </c>
      <c r="E34" s="83">
        <f t="shared" si="0"/>
        <v>-60</v>
      </c>
      <c r="F34" s="84">
        <f t="shared" si="1"/>
        <v>0.75806451612903225</v>
      </c>
    </row>
    <row r="35" spans="1:6" ht="19.8" customHeight="1">
      <c r="A35" s="81" t="s">
        <v>10</v>
      </c>
      <c r="B35" s="82" t="s">
        <v>469</v>
      </c>
      <c r="C35" s="83">
        <v>136</v>
      </c>
      <c r="D35" s="83">
        <v>0</v>
      </c>
      <c r="E35" s="83">
        <f t="shared" si="0"/>
        <v>-136</v>
      </c>
      <c r="F35" s="84">
        <f t="shared" si="1"/>
        <v>0</v>
      </c>
    </row>
    <row r="36" spans="1:6" ht="19.8" customHeight="1">
      <c r="A36" s="81" t="s">
        <v>10</v>
      </c>
      <c r="B36" s="82" t="s">
        <v>78</v>
      </c>
      <c r="C36" s="83">
        <v>163</v>
      </c>
      <c r="D36" s="83">
        <v>155</v>
      </c>
      <c r="E36" s="83">
        <f t="shared" si="0"/>
        <v>-8</v>
      </c>
      <c r="F36" s="84">
        <f t="shared" si="1"/>
        <v>0.95092024539877296</v>
      </c>
    </row>
    <row r="37" spans="1:6" ht="19.8" customHeight="1">
      <c r="A37" s="81" t="s">
        <v>10</v>
      </c>
      <c r="B37" s="82" t="s">
        <v>79</v>
      </c>
      <c r="C37" s="83">
        <v>0</v>
      </c>
      <c r="D37" s="83">
        <v>0</v>
      </c>
      <c r="E37" s="83">
        <f t="shared" si="0"/>
        <v>0</v>
      </c>
      <c r="F37" s="84"/>
    </row>
    <row r="38" spans="1:6" ht="19.8" customHeight="1">
      <c r="A38" s="81" t="s">
        <v>10</v>
      </c>
      <c r="B38" s="82" t="s">
        <v>80</v>
      </c>
      <c r="C38" s="83">
        <v>4739</v>
      </c>
      <c r="D38" s="83">
        <v>6561</v>
      </c>
      <c r="E38" s="83">
        <f t="shared" si="0"/>
        <v>1822</v>
      </c>
      <c r="F38" s="84">
        <f t="shared" si="1"/>
        <v>1.3844692973201098</v>
      </c>
    </row>
    <row r="39" spans="1:6" ht="27.6">
      <c r="A39" s="81" t="s">
        <v>10</v>
      </c>
      <c r="B39" s="82" t="s">
        <v>444</v>
      </c>
      <c r="C39" s="83">
        <v>19012</v>
      </c>
      <c r="D39" s="83">
        <v>27308</v>
      </c>
      <c r="E39" s="83">
        <f t="shared" si="0"/>
        <v>8296</v>
      </c>
      <c r="F39" s="84">
        <f t="shared" si="1"/>
        <v>1.4363559856932464</v>
      </c>
    </row>
    <row r="40" spans="1:6" ht="18" customHeight="1">
      <c r="A40" s="81" t="s">
        <v>10</v>
      </c>
      <c r="B40" s="82" t="s">
        <v>470</v>
      </c>
      <c r="C40" s="83">
        <v>2683</v>
      </c>
      <c r="D40" s="83">
        <v>3345</v>
      </c>
      <c r="E40" s="83">
        <f t="shared" si="0"/>
        <v>662</v>
      </c>
      <c r="F40" s="84">
        <f t="shared" si="1"/>
        <v>1.2467387253074915</v>
      </c>
    </row>
    <row r="41" spans="1:6" ht="18" customHeight="1">
      <c r="A41" s="81" t="s">
        <v>10</v>
      </c>
      <c r="B41" s="82" t="s">
        <v>471</v>
      </c>
      <c r="C41" s="83">
        <v>1562</v>
      </c>
      <c r="D41" s="83">
        <v>0</v>
      </c>
      <c r="E41" s="83">
        <v>0</v>
      </c>
      <c r="F41" s="84"/>
    </row>
    <row r="42" spans="1:6" ht="26.4" customHeight="1">
      <c r="A42" s="77" t="s">
        <v>15</v>
      </c>
      <c r="B42" s="78" t="s">
        <v>23</v>
      </c>
      <c r="C42" s="79">
        <v>0</v>
      </c>
      <c r="D42" s="79">
        <v>0</v>
      </c>
      <c r="E42" s="79">
        <v>0</v>
      </c>
      <c r="F42" s="84"/>
    </row>
    <row r="43" spans="1:6" ht="18" customHeight="1">
      <c r="A43" s="77" t="s">
        <v>16</v>
      </c>
      <c r="B43" s="78" t="s">
        <v>24</v>
      </c>
      <c r="C43" s="79">
        <v>0</v>
      </c>
      <c r="D43" s="79">
        <v>0</v>
      </c>
      <c r="E43" s="79">
        <v>0</v>
      </c>
      <c r="F43" s="84"/>
    </row>
    <row r="44" spans="1:6" ht="18" customHeight="1">
      <c r="A44" s="77" t="s">
        <v>18</v>
      </c>
      <c r="B44" s="78" t="s">
        <v>472</v>
      </c>
      <c r="C44" s="79">
        <v>1821</v>
      </c>
      <c r="D44" s="79">
        <v>0</v>
      </c>
      <c r="E44" s="79">
        <v>0</v>
      </c>
      <c r="F44" s="84"/>
    </row>
    <row r="45" spans="1:6" ht="18" customHeight="1">
      <c r="A45" s="77" t="s">
        <v>71</v>
      </c>
      <c r="B45" s="78" t="s">
        <v>473</v>
      </c>
      <c r="C45" s="79">
        <v>0</v>
      </c>
      <c r="D45" s="79">
        <v>0</v>
      </c>
      <c r="E45" s="79">
        <v>0</v>
      </c>
      <c r="F45" s="84"/>
    </row>
    <row r="46" spans="1:6" ht="18" customHeight="1">
      <c r="A46" s="77" t="s">
        <v>30</v>
      </c>
      <c r="B46" s="78" t="s">
        <v>474</v>
      </c>
      <c r="C46" s="79">
        <v>0</v>
      </c>
      <c r="D46" s="79">
        <v>14300</v>
      </c>
      <c r="E46" s="79">
        <v>0</v>
      </c>
      <c r="F46" s="84"/>
    </row>
    <row r="47" spans="1:6" ht="18" customHeight="1">
      <c r="A47" s="77" t="s">
        <v>32</v>
      </c>
      <c r="B47" s="78" t="s">
        <v>151</v>
      </c>
      <c r="C47" s="79">
        <v>0</v>
      </c>
      <c r="D47" s="79">
        <v>75</v>
      </c>
      <c r="E47" s="79">
        <v>75</v>
      </c>
      <c r="F47" s="84"/>
    </row>
    <row r="48" spans="1:6" ht="18" customHeight="1">
      <c r="A48" s="77" t="s">
        <v>36</v>
      </c>
      <c r="B48" s="78" t="s">
        <v>27</v>
      </c>
      <c r="C48" s="79">
        <v>17538</v>
      </c>
      <c r="D48" s="79">
        <v>21141</v>
      </c>
      <c r="E48" s="79">
        <f>+D48-C48</f>
        <v>3603</v>
      </c>
      <c r="F48" s="80">
        <f t="shared" si="1"/>
        <v>1.2054396168320218</v>
      </c>
    </row>
    <row r="49" spans="1:6" ht="18" customHeight="1">
      <c r="A49" s="77" t="s">
        <v>164</v>
      </c>
      <c r="B49" s="78" t="s">
        <v>504</v>
      </c>
      <c r="C49" s="79">
        <v>4868</v>
      </c>
      <c r="D49" s="79"/>
      <c r="E49" s="79"/>
      <c r="F49" s="135"/>
    </row>
    <row r="50" spans="1:6" ht="18" customHeight="1">
      <c r="A50" s="77" t="s">
        <v>40</v>
      </c>
      <c r="B50" s="78" t="s">
        <v>505</v>
      </c>
      <c r="C50" s="79">
        <v>5281</v>
      </c>
      <c r="D50" s="79"/>
      <c r="E50" s="79"/>
      <c r="F50" s="135"/>
    </row>
    <row r="51" spans="1:6" ht="18" customHeight="1">
      <c r="A51" s="90" t="s">
        <v>166</v>
      </c>
      <c r="B51" s="91" t="s">
        <v>506</v>
      </c>
      <c r="C51" s="93">
        <v>3122</v>
      </c>
      <c r="D51" s="93"/>
      <c r="E51" s="93"/>
      <c r="F51" s="136"/>
    </row>
    <row r="52" spans="1:6">
      <c r="A52" s="47"/>
      <c r="B52" s="48"/>
      <c r="C52" s="55"/>
      <c r="D52" s="55"/>
      <c r="E52" s="55"/>
      <c r="F52" s="55"/>
    </row>
    <row r="53" spans="1:6" ht="15" customHeight="1">
      <c r="C53" s="44"/>
      <c r="D53" s="44"/>
      <c r="E53" s="44"/>
      <c r="F53" s="44"/>
    </row>
    <row r="54" spans="1:6">
      <c r="C54" s="45"/>
      <c r="D54" s="45"/>
      <c r="E54" s="45"/>
      <c r="F54" s="45"/>
    </row>
  </sheetData>
  <mergeCells count="4">
    <mergeCell ref="A2:F2"/>
    <mergeCell ref="E5:F5"/>
    <mergeCell ref="A3:F3"/>
    <mergeCell ref="E1:F1"/>
  </mergeCells>
  <pageMargins left="0.5" right="0.2" top="0.3" bottom="0.34" header="0.3" footer="0.3"/>
  <pageSetup paperSize="9" orientation="portrait" verticalDpi="300" r:id="rId1"/>
  <headerFooter differentFirst="1">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M58"/>
  <sheetViews>
    <sheetView workbookViewId="0">
      <selection activeCell="I1" sqref="I1:K1"/>
    </sheetView>
  </sheetViews>
  <sheetFormatPr defaultRowHeight="15.6"/>
  <cols>
    <col min="1" max="1" width="5.69921875" customWidth="1"/>
    <col min="2" max="2" width="45.59765625" customWidth="1"/>
    <col min="3" max="3" width="12.5" customWidth="1"/>
    <col min="4" max="4" width="12" customWidth="1"/>
    <col min="5" max="6" width="13.296875" customWidth="1"/>
    <col min="7" max="7" width="13.19921875" customWidth="1"/>
    <col min="8" max="8" width="11.3984375" customWidth="1"/>
    <col min="9" max="9" width="10.5" customWidth="1"/>
    <col min="10" max="10" width="10.19921875" customWidth="1"/>
    <col min="11" max="11" width="10.796875" customWidth="1"/>
    <col min="13" max="13" width="14.5" bestFit="1" customWidth="1"/>
  </cols>
  <sheetData>
    <row r="1" spans="1:13" ht="37.200000000000003" customHeight="1">
      <c r="I1" s="228" t="s">
        <v>520</v>
      </c>
      <c r="J1" s="228"/>
      <c r="K1" s="228"/>
    </row>
    <row r="2" spans="1:13" ht="40.5" customHeight="1">
      <c r="A2" s="194" t="s">
        <v>510</v>
      </c>
      <c r="B2" s="194"/>
      <c r="C2" s="194"/>
      <c r="D2" s="194"/>
      <c r="E2" s="194"/>
      <c r="F2" s="194"/>
      <c r="G2" s="194"/>
      <c r="H2" s="194"/>
      <c r="I2" s="194"/>
      <c r="J2" s="194"/>
      <c r="K2" s="194"/>
    </row>
    <row r="3" spans="1:13" ht="16.8">
      <c r="A3" s="183" t="str">
        <f>+'48'!A3:F3</f>
        <v>(Kèm theo Nghị quyết số  09 /NQ-HĐND ngày 30  tháng 3 năm 2026 của HĐND xã Quang Sơn)</v>
      </c>
      <c r="B3" s="183"/>
      <c r="C3" s="183"/>
      <c r="D3" s="183"/>
      <c r="E3" s="183"/>
      <c r="F3" s="183"/>
      <c r="G3" s="183"/>
      <c r="H3" s="183"/>
      <c r="I3" s="183"/>
      <c r="J3" s="183"/>
      <c r="K3" s="183"/>
    </row>
    <row r="4" spans="1:13">
      <c r="K4" s="1" t="s">
        <v>513</v>
      </c>
    </row>
    <row r="5" spans="1:13" ht="17.399999999999999" customHeight="1">
      <c r="A5" s="173" t="s">
        <v>1</v>
      </c>
      <c r="B5" s="173" t="s">
        <v>2</v>
      </c>
      <c r="C5" s="173" t="s">
        <v>500</v>
      </c>
      <c r="D5" s="171" t="s">
        <v>82</v>
      </c>
      <c r="E5" s="195"/>
      <c r="F5" s="173" t="s">
        <v>4</v>
      </c>
      <c r="G5" s="171" t="s">
        <v>82</v>
      </c>
      <c r="H5" s="195"/>
      <c r="I5" s="171" t="s">
        <v>43</v>
      </c>
      <c r="J5" s="195"/>
      <c r="K5" s="196"/>
    </row>
    <row r="6" spans="1:13" ht="36" customHeight="1">
      <c r="A6" s="174"/>
      <c r="B6" s="174"/>
      <c r="C6" s="174"/>
      <c r="D6" s="100" t="s">
        <v>514</v>
      </c>
      <c r="E6" s="68" t="s">
        <v>475</v>
      </c>
      <c r="F6" s="174"/>
      <c r="G6" s="99" t="s">
        <v>476</v>
      </c>
      <c r="H6" s="72" t="s">
        <v>477</v>
      </c>
      <c r="I6" s="72" t="s">
        <v>83</v>
      </c>
      <c r="J6" s="72" t="s">
        <v>476</v>
      </c>
      <c r="K6" s="72" t="s">
        <v>477</v>
      </c>
    </row>
    <row r="7" spans="1:13" ht="15.6" customHeight="1">
      <c r="A7" s="71" t="s">
        <v>5</v>
      </c>
      <c r="B7" s="71" t="s">
        <v>6</v>
      </c>
      <c r="C7" s="71" t="s">
        <v>84</v>
      </c>
      <c r="D7" s="71" t="s">
        <v>123</v>
      </c>
      <c r="E7" s="69" t="s">
        <v>124</v>
      </c>
      <c r="F7" s="69" t="s">
        <v>85</v>
      </c>
      <c r="G7" s="69" t="s">
        <v>126</v>
      </c>
      <c r="H7" s="69" t="s">
        <v>127</v>
      </c>
      <c r="I7" s="69" t="s">
        <v>86</v>
      </c>
      <c r="J7" s="69" t="s">
        <v>87</v>
      </c>
      <c r="K7" s="69" t="s">
        <v>88</v>
      </c>
    </row>
    <row r="8" spans="1:13" ht="21" customHeight="1">
      <c r="A8" s="73"/>
      <c r="B8" s="74" t="s">
        <v>61</v>
      </c>
      <c r="C8" s="75">
        <f>+D8+E8</f>
        <v>124134</v>
      </c>
      <c r="D8" s="75">
        <v>0</v>
      </c>
      <c r="E8" s="75">
        <f>+E9+E33+E53+E54+E52+E51+E50</f>
        <v>124134</v>
      </c>
      <c r="F8" s="75">
        <f>+G8+H8</f>
        <v>138427</v>
      </c>
      <c r="G8" s="75">
        <v>0</v>
      </c>
      <c r="H8" s="75">
        <f>+H9+H33+H54+H53+H52</f>
        <v>138427</v>
      </c>
      <c r="I8" s="76">
        <f>+F8/C8</f>
        <v>1.1151417017094429</v>
      </c>
      <c r="J8" s="76"/>
      <c r="K8" s="76">
        <f>+H8/E8</f>
        <v>1.1151417017094429</v>
      </c>
    </row>
    <row r="9" spans="1:13" ht="21" customHeight="1">
      <c r="A9" s="77" t="s">
        <v>5</v>
      </c>
      <c r="B9" s="78" t="s">
        <v>478</v>
      </c>
      <c r="C9" s="79">
        <f t="shared" ref="C9:C54" si="0">+D9+E9</f>
        <v>93325</v>
      </c>
      <c r="D9" s="79">
        <v>0</v>
      </c>
      <c r="E9" s="79">
        <f>+E10+E25+E29+E30+E31+E32</f>
        <v>93325</v>
      </c>
      <c r="F9" s="79">
        <f>+F10+F25</f>
        <v>102911</v>
      </c>
      <c r="G9" s="79">
        <v>0</v>
      </c>
      <c r="H9" s="79">
        <v>102911</v>
      </c>
      <c r="I9" s="80">
        <f t="shared" ref="I9:I46" si="1">+F9/C9</f>
        <v>1.1027163139566032</v>
      </c>
      <c r="J9" s="80"/>
      <c r="K9" s="80">
        <f t="shared" ref="K9:K46" si="2">+H9/E9</f>
        <v>1.1027163139566032</v>
      </c>
    </row>
    <row r="10" spans="1:13" ht="21" customHeight="1">
      <c r="A10" s="77" t="s">
        <v>8</v>
      </c>
      <c r="B10" s="78" t="s">
        <v>21</v>
      </c>
      <c r="C10" s="79">
        <f t="shared" si="0"/>
        <v>2683</v>
      </c>
      <c r="D10" s="79">
        <v>0</v>
      </c>
      <c r="E10" s="79">
        <f>+E11+E24</f>
        <v>2683</v>
      </c>
      <c r="F10" s="79">
        <v>5686</v>
      </c>
      <c r="G10" s="79">
        <v>0</v>
      </c>
      <c r="H10" s="79">
        <v>5686</v>
      </c>
      <c r="I10" s="80">
        <f t="shared" si="1"/>
        <v>2.119269474468878</v>
      </c>
      <c r="J10" s="80"/>
      <c r="K10" s="80">
        <f t="shared" si="2"/>
        <v>2.119269474468878</v>
      </c>
    </row>
    <row r="11" spans="1:13">
      <c r="A11" s="81" t="s">
        <v>122</v>
      </c>
      <c r="B11" s="82" t="s">
        <v>479</v>
      </c>
      <c r="C11" s="83">
        <f t="shared" si="0"/>
        <v>2683</v>
      </c>
      <c r="D11" s="83">
        <v>0</v>
      </c>
      <c r="E11" s="83">
        <f>++E13+E14+E15+E16+E17+E18+E20+E22+E23</f>
        <v>2683</v>
      </c>
      <c r="F11" s="83">
        <f>+H11</f>
        <v>5686</v>
      </c>
      <c r="G11" s="83">
        <v>0</v>
      </c>
      <c r="H11" s="83">
        <v>5686</v>
      </c>
      <c r="I11" s="84">
        <f t="shared" si="1"/>
        <v>2.119269474468878</v>
      </c>
      <c r="J11" s="84"/>
      <c r="K11" s="84">
        <f t="shared" si="2"/>
        <v>2.119269474468878</v>
      </c>
    </row>
    <row r="12" spans="1:13">
      <c r="A12" s="85"/>
      <c r="B12" s="86" t="s">
        <v>480</v>
      </c>
      <c r="C12" s="83">
        <f t="shared" si="0"/>
        <v>0</v>
      </c>
      <c r="D12" s="87">
        <v>0</v>
      </c>
      <c r="E12" s="87">
        <v>0</v>
      </c>
      <c r="F12" s="83">
        <f t="shared" ref="F12:F14" si="3">+H12</f>
        <v>0</v>
      </c>
      <c r="G12" s="87">
        <v>0</v>
      </c>
      <c r="H12" s="87">
        <v>0</v>
      </c>
      <c r="I12" s="84"/>
      <c r="J12" s="84"/>
      <c r="K12" s="84"/>
    </row>
    <row r="13" spans="1:13">
      <c r="A13" s="81"/>
      <c r="B13" s="82" t="s">
        <v>481</v>
      </c>
      <c r="C13" s="83">
        <f t="shared" si="0"/>
        <v>2595</v>
      </c>
      <c r="D13" s="83">
        <v>0</v>
      </c>
      <c r="E13" s="83">
        <v>2595</v>
      </c>
      <c r="F13" s="83">
        <f t="shared" si="3"/>
        <v>5276</v>
      </c>
      <c r="G13" s="83">
        <v>0</v>
      </c>
      <c r="H13" s="83">
        <v>5276</v>
      </c>
      <c r="I13" s="84">
        <f t="shared" si="1"/>
        <v>2.033140655105973</v>
      </c>
      <c r="J13" s="84"/>
      <c r="K13" s="84">
        <f t="shared" si="2"/>
        <v>2.033140655105973</v>
      </c>
    </row>
    <row r="14" spans="1:13">
      <c r="A14" s="81"/>
      <c r="B14" s="82" t="s">
        <v>482</v>
      </c>
      <c r="C14" s="83">
        <f t="shared" si="0"/>
        <v>86</v>
      </c>
      <c r="D14" s="83">
        <v>0</v>
      </c>
      <c r="E14" s="83">
        <v>86</v>
      </c>
      <c r="F14" s="83">
        <f t="shared" si="3"/>
        <v>410</v>
      </c>
      <c r="G14" s="83">
        <v>0</v>
      </c>
      <c r="H14" s="83">
        <v>410</v>
      </c>
      <c r="I14" s="84">
        <f t="shared" si="1"/>
        <v>4.7674418604651159</v>
      </c>
      <c r="J14" s="84"/>
      <c r="K14" s="84">
        <f t="shared" si="2"/>
        <v>4.7674418604651159</v>
      </c>
      <c r="M14" s="42"/>
    </row>
    <row r="15" spans="1:13" ht="27.6">
      <c r="A15" s="81"/>
      <c r="B15" s="82" t="s">
        <v>483</v>
      </c>
      <c r="C15" s="83">
        <f t="shared" si="0"/>
        <v>0</v>
      </c>
      <c r="D15" s="83">
        <v>0</v>
      </c>
      <c r="E15" s="83">
        <v>0</v>
      </c>
      <c r="F15" s="83">
        <v>0</v>
      </c>
      <c r="G15" s="83">
        <v>0</v>
      </c>
      <c r="H15" s="83">
        <v>0</v>
      </c>
      <c r="I15" s="84"/>
      <c r="J15" s="84"/>
      <c r="K15" s="84"/>
      <c r="M15" s="42">
        <f>+H25+H36</f>
        <v>102926</v>
      </c>
    </row>
    <row r="16" spans="1:13">
      <c r="A16" s="81"/>
      <c r="B16" s="82" t="s">
        <v>484</v>
      </c>
      <c r="C16" s="83">
        <f t="shared" si="0"/>
        <v>0</v>
      </c>
      <c r="D16" s="83">
        <v>0</v>
      </c>
      <c r="E16" s="83">
        <v>0</v>
      </c>
      <c r="F16" s="83">
        <v>0</v>
      </c>
      <c r="G16" s="83">
        <v>0</v>
      </c>
      <c r="H16" s="83">
        <v>0</v>
      </c>
      <c r="I16" s="84"/>
      <c r="J16" s="84"/>
      <c r="K16" s="84"/>
    </row>
    <row r="17" spans="1:11">
      <c r="A17" s="81"/>
      <c r="B17" s="82" t="s">
        <v>485</v>
      </c>
      <c r="C17" s="83">
        <f t="shared" si="0"/>
        <v>2</v>
      </c>
      <c r="D17" s="83">
        <v>0</v>
      </c>
      <c r="E17" s="83">
        <v>2</v>
      </c>
      <c r="F17" s="83">
        <v>0</v>
      </c>
      <c r="G17" s="83">
        <v>0</v>
      </c>
      <c r="H17" s="83">
        <v>0</v>
      </c>
      <c r="I17" s="84"/>
      <c r="J17" s="84"/>
      <c r="K17" s="84"/>
    </row>
    <row r="18" spans="1:11">
      <c r="A18" s="81"/>
      <c r="B18" s="82" t="s">
        <v>486</v>
      </c>
      <c r="C18" s="83">
        <f t="shared" si="0"/>
        <v>0</v>
      </c>
      <c r="D18" s="83">
        <v>0</v>
      </c>
      <c r="E18" s="83">
        <v>0</v>
      </c>
      <c r="F18" s="83">
        <v>0</v>
      </c>
      <c r="G18" s="83">
        <v>0</v>
      </c>
      <c r="H18" s="83">
        <v>0</v>
      </c>
      <c r="I18" s="84"/>
      <c r="J18" s="84"/>
      <c r="K18" s="84"/>
    </row>
    <row r="19" spans="1:11">
      <c r="A19" s="85"/>
      <c r="B19" s="86" t="s">
        <v>487</v>
      </c>
      <c r="C19" s="83">
        <f t="shared" si="0"/>
        <v>0</v>
      </c>
      <c r="D19" s="87">
        <v>0</v>
      </c>
      <c r="E19" s="87">
        <v>0</v>
      </c>
      <c r="F19" s="87">
        <v>0</v>
      </c>
      <c r="G19" s="87">
        <v>0</v>
      </c>
      <c r="H19" s="87">
        <v>0</v>
      </c>
      <c r="I19" s="84"/>
      <c r="J19" s="84"/>
      <c r="K19" s="84"/>
    </row>
    <row r="20" spans="1:11">
      <c r="A20" s="81"/>
      <c r="B20" s="82" t="s">
        <v>488</v>
      </c>
      <c r="C20" s="83">
        <f t="shared" si="0"/>
        <v>0</v>
      </c>
      <c r="D20" s="83">
        <v>0</v>
      </c>
      <c r="E20" s="83">
        <v>0</v>
      </c>
      <c r="F20" s="83">
        <f>+G20+H20</f>
        <v>2442</v>
      </c>
      <c r="G20" s="83">
        <v>0</v>
      </c>
      <c r="H20" s="83">
        <v>2442</v>
      </c>
      <c r="I20" s="84"/>
      <c r="J20" s="84"/>
      <c r="K20" s="84"/>
    </row>
    <row r="21" spans="1:11" ht="41.4">
      <c r="A21" s="81"/>
      <c r="B21" s="82" t="s">
        <v>447</v>
      </c>
      <c r="C21" s="83">
        <f t="shared" si="0"/>
        <v>0</v>
      </c>
      <c r="D21" s="83">
        <v>0</v>
      </c>
      <c r="E21" s="83">
        <v>0</v>
      </c>
      <c r="F21" s="83">
        <v>0</v>
      </c>
      <c r="G21" s="83">
        <v>0</v>
      </c>
      <c r="H21" s="83">
        <v>0</v>
      </c>
      <c r="I21" s="84"/>
      <c r="J21" s="84"/>
      <c r="K21" s="84"/>
    </row>
    <row r="22" spans="1:11">
      <c r="A22" s="81"/>
      <c r="B22" s="82" t="s">
        <v>489</v>
      </c>
      <c r="C22" s="83">
        <f t="shared" si="0"/>
        <v>0</v>
      </c>
      <c r="D22" s="83">
        <v>0</v>
      </c>
      <c r="E22" s="83">
        <v>0</v>
      </c>
      <c r="F22" s="83">
        <v>0</v>
      </c>
      <c r="G22" s="83">
        <v>0</v>
      </c>
      <c r="H22" s="83">
        <v>0</v>
      </c>
      <c r="I22" s="84"/>
      <c r="J22" s="84"/>
      <c r="K22" s="84"/>
    </row>
    <row r="23" spans="1:11">
      <c r="A23" s="81"/>
      <c r="B23" s="82" t="s">
        <v>490</v>
      </c>
      <c r="C23" s="83">
        <f t="shared" si="0"/>
        <v>0</v>
      </c>
      <c r="D23" s="83">
        <v>0</v>
      </c>
      <c r="E23" s="83">
        <v>0</v>
      </c>
      <c r="F23" s="83">
        <v>0</v>
      </c>
      <c r="G23" s="83">
        <v>0</v>
      </c>
      <c r="H23" s="83">
        <v>0</v>
      </c>
      <c r="I23" s="84"/>
      <c r="J23" s="84"/>
      <c r="K23" s="84"/>
    </row>
    <row r="24" spans="1:11" ht="60.6" customHeight="1">
      <c r="A24" s="81" t="s">
        <v>123</v>
      </c>
      <c r="B24" s="82" t="s">
        <v>67</v>
      </c>
      <c r="C24" s="83">
        <f t="shared" si="0"/>
        <v>0</v>
      </c>
      <c r="D24" s="83">
        <v>0</v>
      </c>
      <c r="E24" s="83">
        <v>0</v>
      </c>
      <c r="F24" s="83">
        <v>0</v>
      </c>
      <c r="G24" s="83">
        <v>0</v>
      </c>
      <c r="H24" s="83">
        <v>0</v>
      </c>
      <c r="I24" s="84"/>
      <c r="J24" s="84"/>
      <c r="K24" s="84"/>
    </row>
    <row r="25" spans="1:11">
      <c r="A25" s="77" t="s">
        <v>12</v>
      </c>
      <c r="B25" s="78" t="s">
        <v>491</v>
      </c>
      <c r="C25" s="79">
        <f>+D25+E25</f>
        <v>88821</v>
      </c>
      <c r="D25" s="79"/>
      <c r="E25" s="79">
        <v>88821</v>
      </c>
      <c r="F25" s="79">
        <v>97225</v>
      </c>
      <c r="G25" s="79">
        <v>0</v>
      </c>
      <c r="H25" s="79">
        <v>97225</v>
      </c>
      <c r="I25" s="84">
        <f t="shared" si="1"/>
        <v>1.0946172639353307</v>
      </c>
      <c r="J25" s="84"/>
      <c r="K25" s="84">
        <f t="shared" si="2"/>
        <v>1.0946172639353307</v>
      </c>
    </row>
    <row r="26" spans="1:11">
      <c r="A26" s="85"/>
      <c r="B26" s="86" t="s">
        <v>69</v>
      </c>
      <c r="C26" s="83">
        <f t="shared" si="0"/>
        <v>0</v>
      </c>
      <c r="D26" s="87">
        <v>0</v>
      </c>
      <c r="E26" s="87">
        <v>0</v>
      </c>
      <c r="F26" s="87">
        <v>0</v>
      </c>
      <c r="G26" s="87">
        <v>0</v>
      </c>
      <c r="H26" s="87">
        <v>0</v>
      </c>
      <c r="I26" s="84"/>
      <c r="J26" s="84"/>
      <c r="K26" s="84"/>
    </row>
    <row r="27" spans="1:11">
      <c r="A27" s="81" t="s">
        <v>122</v>
      </c>
      <c r="B27" s="82" t="s">
        <v>463</v>
      </c>
      <c r="C27" s="83">
        <f>+D27+E27</f>
        <v>57971</v>
      </c>
      <c r="D27" s="83">
        <v>0</v>
      </c>
      <c r="E27" s="83">
        <v>57971</v>
      </c>
      <c r="F27" s="83">
        <v>57689</v>
      </c>
      <c r="G27" s="83">
        <v>0</v>
      </c>
      <c r="H27" s="83">
        <v>57689</v>
      </c>
      <c r="I27" s="84">
        <f t="shared" si="1"/>
        <v>0.99513549878387475</v>
      </c>
      <c r="J27" s="84"/>
      <c r="K27" s="84">
        <f t="shared" si="2"/>
        <v>0.99513549878387475</v>
      </c>
    </row>
    <row r="28" spans="1:11">
      <c r="A28" s="81" t="s">
        <v>123</v>
      </c>
      <c r="B28" s="82" t="s">
        <v>464</v>
      </c>
      <c r="C28" s="83">
        <f>+D28+E28</f>
        <v>0</v>
      </c>
      <c r="D28" s="83">
        <v>0</v>
      </c>
      <c r="E28" s="83">
        <v>0</v>
      </c>
      <c r="F28" s="83">
        <v>0</v>
      </c>
      <c r="G28" s="83">
        <v>0</v>
      </c>
      <c r="H28" s="83">
        <v>0</v>
      </c>
      <c r="I28" s="84"/>
      <c r="J28" s="84"/>
      <c r="K28" s="84"/>
    </row>
    <row r="29" spans="1:11" ht="28.8" customHeight="1">
      <c r="A29" s="77" t="s">
        <v>15</v>
      </c>
      <c r="B29" s="78" t="s">
        <v>492</v>
      </c>
      <c r="C29" s="83">
        <f t="shared" si="0"/>
        <v>0</v>
      </c>
      <c r="D29" s="79">
        <v>0</v>
      </c>
      <c r="E29" s="79">
        <v>0</v>
      </c>
      <c r="F29" s="79">
        <v>0</v>
      </c>
      <c r="G29" s="79">
        <v>0</v>
      </c>
      <c r="H29" s="79">
        <v>0</v>
      </c>
      <c r="I29" s="84"/>
      <c r="J29" s="84"/>
      <c r="K29" s="84"/>
    </row>
    <row r="30" spans="1:11" ht="18.600000000000001" customHeight="1">
      <c r="A30" s="77" t="s">
        <v>16</v>
      </c>
      <c r="B30" s="78" t="s">
        <v>24</v>
      </c>
      <c r="C30" s="83">
        <f t="shared" si="0"/>
        <v>0</v>
      </c>
      <c r="D30" s="79">
        <v>0</v>
      </c>
      <c r="E30" s="79">
        <v>0</v>
      </c>
      <c r="F30" s="79">
        <v>0</v>
      </c>
      <c r="G30" s="79">
        <v>0</v>
      </c>
      <c r="H30" s="79">
        <v>0</v>
      </c>
      <c r="I30" s="84"/>
      <c r="J30" s="84"/>
      <c r="K30" s="84"/>
    </row>
    <row r="31" spans="1:11" ht="18.600000000000001" customHeight="1">
      <c r="A31" s="77" t="s">
        <v>18</v>
      </c>
      <c r="B31" s="78" t="s">
        <v>25</v>
      </c>
      <c r="C31" s="79">
        <f t="shared" si="0"/>
        <v>1821</v>
      </c>
      <c r="D31" s="79">
        <v>0</v>
      </c>
      <c r="E31" s="79">
        <v>1821</v>
      </c>
      <c r="F31" s="79">
        <v>0</v>
      </c>
      <c r="G31" s="79">
        <v>0</v>
      </c>
      <c r="H31" s="79">
        <v>0</v>
      </c>
      <c r="I31" s="84"/>
      <c r="J31" s="84"/>
      <c r="K31" s="84"/>
    </row>
    <row r="32" spans="1:11" ht="18.600000000000001" customHeight="1">
      <c r="A32" s="77" t="s">
        <v>71</v>
      </c>
      <c r="B32" s="78" t="s">
        <v>26</v>
      </c>
      <c r="C32" s="83">
        <f t="shared" si="0"/>
        <v>0</v>
      </c>
      <c r="D32" s="79">
        <v>0</v>
      </c>
      <c r="E32" s="79">
        <v>0</v>
      </c>
      <c r="F32" s="79">
        <v>0</v>
      </c>
      <c r="G32" s="79">
        <v>0</v>
      </c>
      <c r="H32" s="79">
        <v>0</v>
      </c>
      <c r="I32" s="84"/>
      <c r="J32" s="84"/>
      <c r="K32" s="84"/>
    </row>
    <row r="33" spans="1:11">
      <c r="A33" s="77" t="s">
        <v>6</v>
      </c>
      <c r="B33" s="78" t="s">
        <v>72</v>
      </c>
      <c r="C33" s="79">
        <f t="shared" si="0"/>
        <v>17538</v>
      </c>
      <c r="D33" s="79">
        <v>0</v>
      </c>
      <c r="E33" s="79">
        <f>+E37+E47</f>
        <v>17538</v>
      </c>
      <c r="F33" s="79">
        <f>+G33+H33</f>
        <v>21141</v>
      </c>
      <c r="G33" s="79">
        <v>0</v>
      </c>
      <c r="H33" s="79">
        <v>21141</v>
      </c>
      <c r="I33" s="80">
        <f t="shared" si="1"/>
        <v>1.2054396168320218</v>
      </c>
      <c r="J33" s="80"/>
      <c r="K33" s="80">
        <f t="shared" si="2"/>
        <v>1.2054396168320218</v>
      </c>
    </row>
    <row r="34" spans="1:11">
      <c r="A34" s="85"/>
      <c r="B34" s="86" t="s">
        <v>69</v>
      </c>
      <c r="C34" s="83">
        <f t="shared" si="0"/>
        <v>0</v>
      </c>
      <c r="D34" s="87">
        <v>0</v>
      </c>
      <c r="E34" s="87">
        <v>0</v>
      </c>
      <c r="F34" s="87">
        <v>0</v>
      </c>
      <c r="G34" s="87">
        <v>0</v>
      </c>
      <c r="H34" s="87">
        <v>0</v>
      </c>
      <c r="I34" s="84"/>
      <c r="J34" s="84"/>
      <c r="K34" s="84"/>
    </row>
    <row r="35" spans="1:11">
      <c r="A35" s="81"/>
      <c r="B35" s="82" t="s">
        <v>493</v>
      </c>
      <c r="C35" s="83">
        <f t="shared" si="0"/>
        <v>12296</v>
      </c>
      <c r="D35" s="83">
        <v>0</v>
      </c>
      <c r="E35" s="83">
        <f>+E39+E42+E45+E48</f>
        <v>12296</v>
      </c>
      <c r="F35" s="83">
        <f>+G35+H35</f>
        <v>15440</v>
      </c>
      <c r="G35" s="83">
        <v>0</v>
      </c>
      <c r="H35" s="83">
        <v>15440</v>
      </c>
      <c r="I35" s="84">
        <f t="shared" si="1"/>
        <v>1.2556929082628496</v>
      </c>
      <c r="J35" s="84"/>
      <c r="K35" s="84">
        <f t="shared" si="2"/>
        <v>1.2556929082628496</v>
      </c>
    </row>
    <row r="36" spans="1:11">
      <c r="A36" s="81"/>
      <c r="B36" s="82" t="s">
        <v>494</v>
      </c>
      <c r="C36" s="83">
        <f t="shared" si="0"/>
        <v>5242</v>
      </c>
      <c r="D36" s="83">
        <v>0</v>
      </c>
      <c r="E36" s="83">
        <f>+E40+E43+E46+E49</f>
        <v>5242</v>
      </c>
      <c r="F36" s="83">
        <f>+G36+H36</f>
        <v>5701</v>
      </c>
      <c r="G36" s="83">
        <v>0</v>
      </c>
      <c r="H36" s="83">
        <v>5701</v>
      </c>
      <c r="I36" s="84">
        <f t="shared" si="1"/>
        <v>1.0875619992369325</v>
      </c>
      <c r="J36" s="84"/>
      <c r="K36" s="84">
        <f t="shared" si="2"/>
        <v>1.0875619992369325</v>
      </c>
    </row>
    <row r="37" spans="1:11">
      <c r="A37" s="77" t="s">
        <v>8</v>
      </c>
      <c r="B37" s="78" t="s">
        <v>28</v>
      </c>
      <c r="C37" s="79">
        <f>+C38+C41+C44</f>
        <v>17303</v>
      </c>
      <c r="D37" s="79">
        <f>+D38+D41+D44</f>
        <v>0</v>
      </c>
      <c r="E37" s="79">
        <f>+E38+E41+E44</f>
        <v>17303</v>
      </c>
      <c r="F37" s="79">
        <v>21141</v>
      </c>
      <c r="G37" s="79">
        <v>0</v>
      </c>
      <c r="H37" s="79">
        <v>21141</v>
      </c>
      <c r="I37" s="80">
        <f t="shared" si="1"/>
        <v>1.2218112466046351</v>
      </c>
      <c r="J37" s="80"/>
      <c r="K37" s="80">
        <f t="shared" si="2"/>
        <v>1.2218112466046351</v>
      </c>
    </row>
    <row r="38" spans="1:11">
      <c r="A38" s="81" t="s">
        <v>122</v>
      </c>
      <c r="B38" s="82" t="s">
        <v>503</v>
      </c>
      <c r="C38" s="83">
        <f>+D38+E38</f>
        <v>1040</v>
      </c>
      <c r="D38" s="83">
        <v>0</v>
      </c>
      <c r="E38" s="83">
        <f>+E39+E40</f>
        <v>1040</v>
      </c>
      <c r="F38" s="83">
        <v>1140</v>
      </c>
      <c r="G38" s="83">
        <v>0</v>
      </c>
      <c r="H38" s="83">
        <v>1140</v>
      </c>
      <c r="I38" s="84">
        <f t="shared" si="1"/>
        <v>1.0961538461538463</v>
      </c>
      <c r="J38" s="84"/>
      <c r="K38" s="84">
        <f t="shared" si="2"/>
        <v>1.0961538461538463</v>
      </c>
    </row>
    <row r="39" spans="1:11" s="58" customFormat="1">
      <c r="A39" s="81"/>
      <c r="B39" s="82" t="s">
        <v>495</v>
      </c>
      <c r="C39" s="83">
        <f t="shared" si="0"/>
        <v>0</v>
      </c>
      <c r="D39" s="83">
        <v>0</v>
      </c>
      <c r="E39" s="83">
        <v>0</v>
      </c>
      <c r="F39" s="83">
        <v>0</v>
      </c>
      <c r="G39" s="83">
        <v>0</v>
      </c>
      <c r="H39" s="83">
        <v>0</v>
      </c>
      <c r="I39" s="84"/>
      <c r="J39" s="84"/>
      <c r="K39" s="84"/>
    </row>
    <row r="40" spans="1:11" s="58" customFormat="1">
      <c r="A40" s="81"/>
      <c r="B40" s="82" t="s">
        <v>491</v>
      </c>
      <c r="C40" s="83">
        <f t="shared" si="0"/>
        <v>1040</v>
      </c>
      <c r="D40" s="83">
        <v>0</v>
      </c>
      <c r="E40" s="83">
        <v>1040</v>
      </c>
      <c r="F40" s="83">
        <v>1140</v>
      </c>
      <c r="G40" s="83">
        <v>0</v>
      </c>
      <c r="H40" s="83">
        <v>1140</v>
      </c>
      <c r="I40" s="84">
        <f t="shared" si="1"/>
        <v>1.0961538461538463</v>
      </c>
      <c r="J40" s="84"/>
      <c r="K40" s="84">
        <f t="shared" si="2"/>
        <v>1.0961538461538463</v>
      </c>
    </row>
    <row r="41" spans="1:11" ht="27.6">
      <c r="A41" s="81" t="s">
        <v>123</v>
      </c>
      <c r="B41" s="82" t="s">
        <v>496</v>
      </c>
      <c r="C41" s="83">
        <f>+D41+E41</f>
        <v>6742</v>
      </c>
      <c r="D41" s="83">
        <v>0</v>
      </c>
      <c r="E41" s="83">
        <f>+E42+E43</f>
        <v>6742</v>
      </c>
      <c r="F41" s="83">
        <v>7689</v>
      </c>
      <c r="G41" s="83">
        <v>0</v>
      </c>
      <c r="H41" s="83">
        <v>7689</v>
      </c>
      <c r="I41" s="84">
        <f t="shared" si="1"/>
        <v>1.1404627706911896</v>
      </c>
      <c r="J41" s="84"/>
      <c r="K41" s="84">
        <f t="shared" si="2"/>
        <v>1.1404627706911896</v>
      </c>
    </row>
    <row r="42" spans="1:11" s="58" customFormat="1" ht="18.600000000000001" customHeight="1">
      <c r="A42" s="81"/>
      <c r="B42" s="82" t="s">
        <v>495</v>
      </c>
      <c r="C42" s="83">
        <f t="shared" si="0"/>
        <v>6588</v>
      </c>
      <c r="D42" s="83">
        <v>0</v>
      </c>
      <c r="E42" s="83">
        <v>6588</v>
      </c>
      <c r="F42" s="83">
        <v>7535</v>
      </c>
      <c r="G42" s="83">
        <v>0</v>
      </c>
      <c r="H42" s="83">
        <v>7535</v>
      </c>
      <c r="I42" s="84">
        <f t="shared" si="1"/>
        <v>1.143746205221615</v>
      </c>
      <c r="J42" s="84"/>
      <c r="K42" s="84">
        <f t="shared" si="2"/>
        <v>1.143746205221615</v>
      </c>
    </row>
    <row r="43" spans="1:11" s="58" customFormat="1">
      <c r="A43" s="81"/>
      <c r="B43" s="82" t="s">
        <v>491</v>
      </c>
      <c r="C43" s="83">
        <f t="shared" si="0"/>
        <v>154</v>
      </c>
      <c r="D43" s="83">
        <v>0</v>
      </c>
      <c r="E43" s="83">
        <v>154</v>
      </c>
      <c r="F43" s="83">
        <v>154</v>
      </c>
      <c r="G43" s="83">
        <v>0</v>
      </c>
      <c r="H43" s="83">
        <v>154</v>
      </c>
      <c r="I43" s="84">
        <f t="shared" si="1"/>
        <v>1</v>
      </c>
      <c r="J43" s="84"/>
      <c r="K43" s="84">
        <f t="shared" si="2"/>
        <v>1</v>
      </c>
    </row>
    <row r="44" spans="1:11">
      <c r="A44" s="81" t="s">
        <v>124</v>
      </c>
      <c r="B44" s="82" t="s">
        <v>497</v>
      </c>
      <c r="C44" s="83">
        <f t="shared" ref="C44:C49" si="4">+D44+E44</f>
        <v>9521</v>
      </c>
      <c r="D44" s="83">
        <v>0</v>
      </c>
      <c r="E44" s="83">
        <f>+E46+E45</f>
        <v>9521</v>
      </c>
      <c r="F44" s="83">
        <v>12312</v>
      </c>
      <c r="G44" s="83">
        <v>0</v>
      </c>
      <c r="H44" s="83">
        <v>12312</v>
      </c>
      <c r="I44" s="84">
        <f t="shared" si="1"/>
        <v>1.2931414767356371</v>
      </c>
      <c r="J44" s="84"/>
      <c r="K44" s="84">
        <f t="shared" si="2"/>
        <v>1.2931414767356371</v>
      </c>
    </row>
    <row r="45" spans="1:11" s="58" customFormat="1">
      <c r="A45" s="81"/>
      <c r="B45" s="82" t="s">
        <v>495</v>
      </c>
      <c r="C45" s="83">
        <f t="shared" si="4"/>
        <v>5708</v>
      </c>
      <c r="D45" s="83">
        <v>0</v>
      </c>
      <c r="E45" s="83">
        <v>5708</v>
      </c>
      <c r="F45" s="83">
        <v>7904</v>
      </c>
      <c r="G45" s="83">
        <v>0</v>
      </c>
      <c r="H45" s="83">
        <v>7904</v>
      </c>
      <c r="I45" s="84">
        <f t="shared" si="1"/>
        <v>1.3847231955150665</v>
      </c>
      <c r="J45" s="84"/>
      <c r="K45" s="84">
        <f t="shared" si="2"/>
        <v>1.3847231955150665</v>
      </c>
    </row>
    <row r="46" spans="1:11" s="58" customFormat="1">
      <c r="A46" s="81"/>
      <c r="B46" s="82" t="s">
        <v>491</v>
      </c>
      <c r="C46" s="83">
        <f t="shared" si="4"/>
        <v>3813</v>
      </c>
      <c r="D46" s="83">
        <v>0</v>
      </c>
      <c r="E46" s="83">
        <v>3813</v>
      </c>
      <c r="F46" s="83">
        <v>4408</v>
      </c>
      <c r="G46" s="83">
        <v>0</v>
      </c>
      <c r="H46" s="83">
        <v>4408</v>
      </c>
      <c r="I46" s="84">
        <f t="shared" si="1"/>
        <v>1.1560451088381851</v>
      </c>
      <c r="J46" s="84"/>
      <c r="K46" s="84">
        <f t="shared" si="2"/>
        <v>1.1560451088381851</v>
      </c>
    </row>
    <row r="47" spans="1:11">
      <c r="A47" s="77" t="s">
        <v>12</v>
      </c>
      <c r="B47" s="78" t="s">
        <v>29</v>
      </c>
      <c r="C47" s="79">
        <f t="shared" si="4"/>
        <v>235</v>
      </c>
      <c r="D47" s="79">
        <v>0</v>
      </c>
      <c r="E47" s="79">
        <f>+E48+E49</f>
        <v>235</v>
      </c>
      <c r="F47" s="79">
        <v>0</v>
      </c>
      <c r="G47" s="79">
        <v>0</v>
      </c>
      <c r="H47" s="79">
        <v>0</v>
      </c>
      <c r="I47" s="88"/>
      <c r="J47" s="88"/>
      <c r="K47" s="88"/>
    </row>
    <row r="48" spans="1:11" s="58" customFormat="1" ht="30" customHeight="1">
      <c r="A48" s="81" t="s">
        <v>122</v>
      </c>
      <c r="B48" s="82" t="s">
        <v>498</v>
      </c>
      <c r="C48" s="83">
        <f t="shared" si="4"/>
        <v>0</v>
      </c>
      <c r="D48" s="83">
        <v>0</v>
      </c>
      <c r="E48" s="83">
        <v>0</v>
      </c>
      <c r="F48" s="83">
        <v>0</v>
      </c>
      <c r="G48" s="83">
        <v>0</v>
      </c>
      <c r="H48" s="83">
        <v>0</v>
      </c>
      <c r="I48" s="89"/>
      <c r="J48" s="89"/>
      <c r="K48" s="89"/>
    </row>
    <row r="49" spans="1:12" s="58" customFormat="1" ht="16.8" customHeight="1">
      <c r="A49" s="81" t="s">
        <v>123</v>
      </c>
      <c r="B49" s="82" t="s">
        <v>491</v>
      </c>
      <c r="C49" s="83">
        <f t="shared" si="4"/>
        <v>235</v>
      </c>
      <c r="D49" s="83">
        <v>0</v>
      </c>
      <c r="E49" s="83">
        <v>235</v>
      </c>
      <c r="F49" s="83">
        <v>0</v>
      </c>
      <c r="G49" s="83">
        <v>0</v>
      </c>
      <c r="H49" s="83">
        <v>0</v>
      </c>
      <c r="I49" s="89"/>
      <c r="J49" s="89"/>
      <c r="K49" s="89"/>
    </row>
    <row r="50" spans="1:12" ht="16.8" customHeight="1">
      <c r="A50" s="77" t="s">
        <v>30</v>
      </c>
      <c r="B50" s="78" t="s">
        <v>504</v>
      </c>
      <c r="C50" s="79">
        <v>4868</v>
      </c>
      <c r="D50" s="79"/>
      <c r="E50" s="79">
        <v>4868</v>
      </c>
      <c r="F50" s="79"/>
      <c r="G50" s="79"/>
      <c r="H50" s="79"/>
      <c r="I50" s="88"/>
      <c r="J50" s="88"/>
      <c r="K50" s="88"/>
    </row>
    <row r="51" spans="1:12" ht="16.8" customHeight="1">
      <c r="A51" s="77" t="s">
        <v>32</v>
      </c>
      <c r="B51" s="78" t="s">
        <v>505</v>
      </c>
      <c r="C51" s="79">
        <v>5281</v>
      </c>
      <c r="D51" s="79"/>
      <c r="E51" s="79">
        <v>5281</v>
      </c>
      <c r="F51" s="79"/>
      <c r="G51" s="79"/>
      <c r="H51" s="79"/>
      <c r="I51" s="88"/>
      <c r="J51" s="88"/>
      <c r="K51" s="88"/>
    </row>
    <row r="52" spans="1:12" ht="16.8" customHeight="1">
      <c r="A52" s="77" t="s">
        <v>36</v>
      </c>
      <c r="B52" s="78" t="s">
        <v>506</v>
      </c>
      <c r="C52" s="79">
        <v>3122</v>
      </c>
      <c r="D52" s="79">
        <v>0</v>
      </c>
      <c r="E52" s="79">
        <v>3122</v>
      </c>
      <c r="F52" s="79">
        <v>0</v>
      </c>
      <c r="G52" s="79">
        <v>0</v>
      </c>
      <c r="H52" s="79">
        <v>0</v>
      </c>
      <c r="I52" s="88"/>
      <c r="J52" s="88"/>
      <c r="K52" s="88"/>
    </row>
    <row r="53" spans="1:12" ht="16.8" customHeight="1">
      <c r="A53" s="77" t="s">
        <v>164</v>
      </c>
      <c r="B53" s="78" t="s">
        <v>474</v>
      </c>
      <c r="C53" s="83">
        <f t="shared" si="0"/>
        <v>0</v>
      </c>
      <c r="D53" s="79">
        <v>0</v>
      </c>
      <c r="E53" s="79">
        <v>0</v>
      </c>
      <c r="F53" s="79">
        <f>+G53+H53</f>
        <v>14300</v>
      </c>
      <c r="G53" s="79">
        <v>0</v>
      </c>
      <c r="H53" s="79">
        <v>14300</v>
      </c>
      <c r="I53" s="88"/>
      <c r="J53" s="88"/>
      <c r="K53" s="88"/>
    </row>
    <row r="54" spans="1:12" ht="16.8" customHeight="1">
      <c r="A54" s="90" t="s">
        <v>40</v>
      </c>
      <c r="B54" s="91" t="s">
        <v>499</v>
      </c>
      <c r="C54" s="92">
        <f t="shared" si="0"/>
        <v>0</v>
      </c>
      <c r="D54" s="93">
        <v>0</v>
      </c>
      <c r="E54" s="93">
        <v>0</v>
      </c>
      <c r="F54" s="98">
        <f>+G54+H54</f>
        <v>75</v>
      </c>
      <c r="G54" s="93">
        <v>0</v>
      </c>
      <c r="H54" s="93">
        <v>75</v>
      </c>
      <c r="I54" s="94"/>
      <c r="J54" s="94"/>
      <c r="K54" s="94"/>
    </row>
    <row r="56" spans="1:12">
      <c r="H56" s="59"/>
      <c r="I56" s="59"/>
      <c r="J56" s="59"/>
      <c r="K56" s="59"/>
    </row>
    <row r="57" spans="1:12">
      <c r="H57" s="44"/>
      <c r="I57" s="44"/>
      <c r="J57" s="44"/>
      <c r="K57" s="44"/>
      <c r="L57" s="44"/>
    </row>
    <row r="58" spans="1:12">
      <c r="I58" s="45"/>
      <c r="J58" s="45"/>
      <c r="K58" s="45"/>
      <c r="L58" s="45"/>
    </row>
  </sheetData>
  <mergeCells count="10">
    <mergeCell ref="I1:K1"/>
    <mergeCell ref="A2:K2"/>
    <mergeCell ref="C5:C6"/>
    <mergeCell ref="F5:F6"/>
    <mergeCell ref="D5:E5"/>
    <mergeCell ref="G5:H5"/>
    <mergeCell ref="I5:K5"/>
    <mergeCell ref="A3:K3"/>
    <mergeCell ref="B5:B6"/>
    <mergeCell ref="A5:A6"/>
  </mergeCells>
  <pageMargins left="0.24" right="0.18" top="0.37" bottom="0.56999999999999995" header="0.3" footer="0.3"/>
  <pageSetup paperSize="9" scale="85" orientation="landscape" verticalDpi="0" r:id="rId1"/>
  <headerFooter differentFirst="1">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W83"/>
  <sheetViews>
    <sheetView workbookViewId="0">
      <selection activeCell="T1" sqref="T1:W1"/>
    </sheetView>
  </sheetViews>
  <sheetFormatPr defaultColWidth="8.69921875" defaultRowHeight="15.6"/>
  <cols>
    <col min="1" max="1" width="5.19921875" style="8" customWidth="1"/>
    <col min="2" max="2" width="23.69921875" style="8" customWidth="1"/>
    <col min="3" max="3" width="7.59765625" style="8" customWidth="1"/>
    <col min="4" max="4" width="8.19921875" style="8" customWidth="1"/>
    <col min="5" max="5" width="8.09765625" style="8" customWidth="1"/>
    <col min="6" max="6" width="5.8984375" style="8" customWidth="1"/>
    <col min="7" max="7" width="7" style="8" customWidth="1"/>
    <col min="8" max="8" width="7.8984375" style="8" customWidth="1"/>
    <col min="9" max="9" width="6.8984375" style="8" customWidth="1"/>
    <col min="10" max="10" width="7.69921875" style="8" customWidth="1"/>
    <col min="11" max="11" width="8.3984375" style="8" customWidth="1"/>
    <col min="12" max="12" width="8.59765625" style="8" customWidth="1"/>
    <col min="13" max="13" width="6.8984375" style="8" customWidth="1"/>
    <col min="14" max="14" width="7.09765625" style="8" customWidth="1"/>
    <col min="15" max="15" width="7" style="8" customWidth="1"/>
    <col min="16" max="16" width="6.8984375" style="8" customWidth="1"/>
    <col min="17" max="19" width="7" style="8" customWidth="1"/>
    <col min="20" max="23" width="7.3984375" style="8" customWidth="1"/>
    <col min="24" max="256" width="8.69921875" style="8"/>
    <col min="257" max="257" width="5.19921875" style="8" customWidth="1"/>
    <col min="258" max="258" width="23.09765625" style="8" customWidth="1"/>
    <col min="259" max="263" width="7.8984375" style="8" customWidth="1"/>
    <col min="264" max="268" width="8" style="8" customWidth="1"/>
    <col min="269" max="269" width="8.19921875" style="8" customWidth="1"/>
    <col min="270" max="272" width="7.8984375" style="8" customWidth="1"/>
    <col min="273" max="512" width="8.69921875" style="8"/>
    <col min="513" max="513" width="5.19921875" style="8" customWidth="1"/>
    <col min="514" max="514" width="23.09765625" style="8" customWidth="1"/>
    <col min="515" max="519" width="7.8984375" style="8" customWidth="1"/>
    <col min="520" max="524" width="8" style="8" customWidth="1"/>
    <col min="525" max="525" width="8.19921875" style="8" customWidth="1"/>
    <col min="526" max="528" width="7.8984375" style="8" customWidth="1"/>
    <col min="529" max="768" width="8.69921875" style="8"/>
    <col min="769" max="769" width="5.19921875" style="8" customWidth="1"/>
    <col min="770" max="770" width="23.09765625" style="8" customWidth="1"/>
    <col min="771" max="775" width="7.8984375" style="8" customWidth="1"/>
    <col min="776" max="780" width="8" style="8" customWidth="1"/>
    <col min="781" max="781" width="8.19921875" style="8" customWidth="1"/>
    <col min="782" max="784" width="7.8984375" style="8" customWidth="1"/>
    <col min="785" max="1024" width="8.69921875" style="8"/>
    <col min="1025" max="1025" width="5.19921875" style="8" customWidth="1"/>
    <col min="1026" max="1026" width="23.09765625" style="8" customWidth="1"/>
    <col min="1027" max="1031" width="7.8984375" style="8" customWidth="1"/>
    <col min="1032" max="1036" width="8" style="8" customWidth="1"/>
    <col min="1037" max="1037" width="8.19921875" style="8" customWidth="1"/>
    <col min="1038" max="1040" width="7.8984375" style="8" customWidth="1"/>
    <col min="1041" max="1280" width="8.69921875" style="8"/>
    <col min="1281" max="1281" width="5.19921875" style="8" customWidth="1"/>
    <col min="1282" max="1282" width="23.09765625" style="8" customWidth="1"/>
    <col min="1283" max="1287" width="7.8984375" style="8" customWidth="1"/>
    <col min="1288" max="1292" width="8" style="8" customWidth="1"/>
    <col min="1293" max="1293" width="8.19921875" style="8" customWidth="1"/>
    <col min="1294" max="1296" width="7.8984375" style="8" customWidth="1"/>
    <col min="1297" max="1536" width="8.69921875" style="8"/>
    <col min="1537" max="1537" width="5.19921875" style="8" customWidth="1"/>
    <col min="1538" max="1538" width="23.09765625" style="8" customWidth="1"/>
    <col min="1539" max="1543" width="7.8984375" style="8" customWidth="1"/>
    <col min="1544" max="1548" width="8" style="8" customWidth="1"/>
    <col min="1549" max="1549" width="8.19921875" style="8" customWidth="1"/>
    <col min="1550" max="1552" width="7.8984375" style="8" customWidth="1"/>
    <col min="1553" max="1792" width="8.69921875" style="8"/>
    <col min="1793" max="1793" width="5.19921875" style="8" customWidth="1"/>
    <col min="1794" max="1794" width="23.09765625" style="8" customWidth="1"/>
    <col min="1795" max="1799" width="7.8984375" style="8" customWidth="1"/>
    <col min="1800" max="1804" width="8" style="8" customWidth="1"/>
    <col min="1805" max="1805" width="8.19921875" style="8" customWidth="1"/>
    <col min="1806" max="1808" width="7.8984375" style="8" customWidth="1"/>
    <col min="1809" max="2048" width="8.69921875" style="8"/>
    <col min="2049" max="2049" width="5.19921875" style="8" customWidth="1"/>
    <col min="2050" max="2050" width="23.09765625" style="8" customWidth="1"/>
    <col min="2051" max="2055" width="7.8984375" style="8" customWidth="1"/>
    <col min="2056" max="2060" width="8" style="8" customWidth="1"/>
    <col min="2061" max="2061" width="8.19921875" style="8" customWidth="1"/>
    <col min="2062" max="2064" width="7.8984375" style="8" customWidth="1"/>
    <col min="2065" max="2304" width="8.69921875" style="8"/>
    <col min="2305" max="2305" width="5.19921875" style="8" customWidth="1"/>
    <col min="2306" max="2306" width="23.09765625" style="8" customWidth="1"/>
    <col min="2307" max="2311" width="7.8984375" style="8" customWidth="1"/>
    <col min="2312" max="2316" width="8" style="8" customWidth="1"/>
    <col min="2317" max="2317" width="8.19921875" style="8" customWidth="1"/>
    <col min="2318" max="2320" width="7.8984375" style="8" customWidth="1"/>
    <col min="2321" max="2560" width="8.69921875" style="8"/>
    <col min="2561" max="2561" width="5.19921875" style="8" customWidth="1"/>
    <col min="2562" max="2562" width="23.09765625" style="8" customWidth="1"/>
    <col min="2563" max="2567" width="7.8984375" style="8" customWidth="1"/>
    <col min="2568" max="2572" width="8" style="8" customWidth="1"/>
    <col min="2573" max="2573" width="8.19921875" style="8" customWidth="1"/>
    <col min="2574" max="2576" width="7.8984375" style="8" customWidth="1"/>
    <col min="2577" max="2816" width="8.69921875" style="8"/>
    <col min="2817" max="2817" width="5.19921875" style="8" customWidth="1"/>
    <col min="2818" max="2818" width="23.09765625" style="8" customWidth="1"/>
    <col min="2819" max="2823" width="7.8984375" style="8" customWidth="1"/>
    <col min="2824" max="2828" width="8" style="8" customWidth="1"/>
    <col min="2829" max="2829" width="8.19921875" style="8" customWidth="1"/>
    <col min="2830" max="2832" width="7.8984375" style="8" customWidth="1"/>
    <col min="2833" max="3072" width="8.69921875" style="8"/>
    <col min="3073" max="3073" width="5.19921875" style="8" customWidth="1"/>
    <col min="3074" max="3074" width="23.09765625" style="8" customWidth="1"/>
    <col min="3075" max="3079" width="7.8984375" style="8" customWidth="1"/>
    <col min="3080" max="3084" width="8" style="8" customWidth="1"/>
    <col min="3085" max="3085" width="8.19921875" style="8" customWidth="1"/>
    <col min="3086" max="3088" width="7.8984375" style="8" customWidth="1"/>
    <col min="3089" max="3328" width="8.69921875" style="8"/>
    <col min="3329" max="3329" width="5.19921875" style="8" customWidth="1"/>
    <col min="3330" max="3330" width="23.09765625" style="8" customWidth="1"/>
    <col min="3331" max="3335" width="7.8984375" style="8" customWidth="1"/>
    <col min="3336" max="3340" width="8" style="8" customWidth="1"/>
    <col min="3341" max="3341" width="8.19921875" style="8" customWidth="1"/>
    <col min="3342" max="3344" width="7.8984375" style="8" customWidth="1"/>
    <col min="3345" max="3584" width="8.69921875" style="8"/>
    <col min="3585" max="3585" width="5.19921875" style="8" customWidth="1"/>
    <col min="3586" max="3586" width="23.09765625" style="8" customWidth="1"/>
    <col min="3587" max="3591" width="7.8984375" style="8" customWidth="1"/>
    <col min="3592" max="3596" width="8" style="8" customWidth="1"/>
    <col min="3597" max="3597" width="8.19921875" style="8" customWidth="1"/>
    <col min="3598" max="3600" width="7.8984375" style="8" customWidth="1"/>
    <col min="3601" max="3840" width="8.69921875" style="8"/>
    <col min="3841" max="3841" width="5.19921875" style="8" customWidth="1"/>
    <col min="3842" max="3842" width="23.09765625" style="8" customWidth="1"/>
    <col min="3843" max="3847" width="7.8984375" style="8" customWidth="1"/>
    <col min="3848" max="3852" width="8" style="8" customWidth="1"/>
    <col min="3853" max="3853" width="8.19921875" style="8" customWidth="1"/>
    <col min="3854" max="3856" width="7.8984375" style="8" customWidth="1"/>
    <col min="3857" max="4096" width="8.69921875" style="8"/>
    <col min="4097" max="4097" width="5.19921875" style="8" customWidth="1"/>
    <col min="4098" max="4098" width="23.09765625" style="8" customWidth="1"/>
    <col min="4099" max="4103" width="7.8984375" style="8" customWidth="1"/>
    <col min="4104" max="4108" width="8" style="8" customWidth="1"/>
    <col min="4109" max="4109" width="8.19921875" style="8" customWidth="1"/>
    <col min="4110" max="4112" width="7.8984375" style="8" customWidth="1"/>
    <col min="4113" max="4352" width="8.69921875" style="8"/>
    <col min="4353" max="4353" width="5.19921875" style="8" customWidth="1"/>
    <col min="4354" max="4354" width="23.09765625" style="8" customWidth="1"/>
    <col min="4355" max="4359" width="7.8984375" style="8" customWidth="1"/>
    <col min="4360" max="4364" width="8" style="8" customWidth="1"/>
    <col min="4365" max="4365" width="8.19921875" style="8" customWidth="1"/>
    <col min="4366" max="4368" width="7.8984375" style="8" customWidth="1"/>
    <col min="4369" max="4608" width="8.69921875" style="8"/>
    <col min="4609" max="4609" width="5.19921875" style="8" customWidth="1"/>
    <col min="4610" max="4610" width="23.09765625" style="8" customWidth="1"/>
    <col min="4611" max="4615" width="7.8984375" style="8" customWidth="1"/>
    <col min="4616" max="4620" width="8" style="8" customWidth="1"/>
    <col min="4621" max="4621" width="8.19921875" style="8" customWidth="1"/>
    <col min="4622" max="4624" width="7.8984375" style="8" customWidth="1"/>
    <col min="4625" max="4864" width="8.69921875" style="8"/>
    <col min="4865" max="4865" width="5.19921875" style="8" customWidth="1"/>
    <col min="4866" max="4866" width="23.09765625" style="8" customWidth="1"/>
    <col min="4867" max="4871" width="7.8984375" style="8" customWidth="1"/>
    <col min="4872" max="4876" width="8" style="8" customWidth="1"/>
    <col min="4877" max="4877" width="8.19921875" style="8" customWidth="1"/>
    <col min="4878" max="4880" width="7.8984375" style="8" customWidth="1"/>
    <col min="4881" max="5120" width="8.69921875" style="8"/>
    <col min="5121" max="5121" width="5.19921875" style="8" customWidth="1"/>
    <col min="5122" max="5122" width="23.09765625" style="8" customWidth="1"/>
    <col min="5123" max="5127" width="7.8984375" style="8" customWidth="1"/>
    <col min="5128" max="5132" width="8" style="8" customWidth="1"/>
    <col min="5133" max="5133" width="8.19921875" style="8" customWidth="1"/>
    <col min="5134" max="5136" width="7.8984375" style="8" customWidth="1"/>
    <col min="5137" max="5376" width="8.69921875" style="8"/>
    <col min="5377" max="5377" width="5.19921875" style="8" customWidth="1"/>
    <col min="5378" max="5378" width="23.09765625" style="8" customWidth="1"/>
    <col min="5379" max="5383" width="7.8984375" style="8" customWidth="1"/>
    <col min="5384" max="5388" width="8" style="8" customWidth="1"/>
    <col min="5389" max="5389" width="8.19921875" style="8" customWidth="1"/>
    <col min="5390" max="5392" width="7.8984375" style="8" customWidth="1"/>
    <col min="5393" max="5632" width="8.69921875" style="8"/>
    <col min="5633" max="5633" width="5.19921875" style="8" customWidth="1"/>
    <col min="5634" max="5634" width="23.09765625" style="8" customWidth="1"/>
    <col min="5635" max="5639" width="7.8984375" style="8" customWidth="1"/>
    <col min="5640" max="5644" width="8" style="8" customWidth="1"/>
    <col min="5645" max="5645" width="8.19921875" style="8" customWidth="1"/>
    <col min="5646" max="5648" width="7.8984375" style="8" customWidth="1"/>
    <col min="5649" max="5888" width="8.69921875" style="8"/>
    <col min="5889" max="5889" width="5.19921875" style="8" customWidth="1"/>
    <col min="5890" max="5890" width="23.09765625" style="8" customWidth="1"/>
    <col min="5891" max="5895" width="7.8984375" style="8" customWidth="1"/>
    <col min="5896" max="5900" width="8" style="8" customWidth="1"/>
    <col min="5901" max="5901" width="8.19921875" style="8" customWidth="1"/>
    <col min="5902" max="5904" width="7.8984375" style="8" customWidth="1"/>
    <col min="5905" max="6144" width="8.69921875" style="8"/>
    <col min="6145" max="6145" width="5.19921875" style="8" customWidth="1"/>
    <col min="6146" max="6146" width="23.09765625" style="8" customWidth="1"/>
    <col min="6147" max="6151" width="7.8984375" style="8" customWidth="1"/>
    <col min="6152" max="6156" width="8" style="8" customWidth="1"/>
    <col min="6157" max="6157" width="8.19921875" style="8" customWidth="1"/>
    <col min="6158" max="6160" width="7.8984375" style="8" customWidth="1"/>
    <col min="6161" max="6400" width="8.69921875" style="8"/>
    <col min="6401" max="6401" width="5.19921875" style="8" customWidth="1"/>
    <col min="6402" max="6402" width="23.09765625" style="8" customWidth="1"/>
    <col min="6403" max="6407" width="7.8984375" style="8" customWidth="1"/>
    <col min="6408" max="6412" width="8" style="8" customWidth="1"/>
    <col min="6413" max="6413" width="8.19921875" style="8" customWidth="1"/>
    <col min="6414" max="6416" width="7.8984375" style="8" customWidth="1"/>
    <col min="6417" max="6656" width="8.69921875" style="8"/>
    <col min="6657" max="6657" width="5.19921875" style="8" customWidth="1"/>
    <col min="6658" max="6658" width="23.09765625" style="8" customWidth="1"/>
    <col min="6659" max="6663" width="7.8984375" style="8" customWidth="1"/>
    <col min="6664" max="6668" width="8" style="8" customWidth="1"/>
    <col min="6669" max="6669" width="8.19921875" style="8" customWidth="1"/>
    <col min="6670" max="6672" width="7.8984375" style="8" customWidth="1"/>
    <col min="6673" max="6912" width="8.69921875" style="8"/>
    <col min="6913" max="6913" width="5.19921875" style="8" customWidth="1"/>
    <col min="6914" max="6914" width="23.09765625" style="8" customWidth="1"/>
    <col min="6915" max="6919" width="7.8984375" style="8" customWidth="1"/>
    <col min="6920" max="6924" width="8" style="8" customWidth="1"/>
    <col min="6925" max="6925" width="8.19921875" style="8" customWidth="1"/>
    <col min="6926" max="6928" width="7.8984375" style="8" customWidth="1"/>
    <col min="6929" max="7168" width="8.69921875" style="8"/>
    <col min="7169" max="7169" width="5.19921875" style="8" customWidth="1"/>
    <col min="7170" max="7170" width="23.09765625" style="8" customWidth="1"/>
    <col min="7171" max="7175" width="7.8984375" style="8" customWidth="1"/>
    <col min="7176" max="7180" width="8" style="8" customWidth="1"/>
    <col min="7181" max="7181" width="8.19921875" style="8" customWidth="1"/>
    <col min="7182" max="7184" width="7.8984375" style="8" customWidth="1"/>
    <col min="7185" max="7424" width="8.69921875" style="8"/>
    <col min="7425" max="7425" width="5.19921875" style="8" customWidth="1"/>
    <col min="7426" max="7426" width="23.09765625" style="8" customWidth="1"/>
    <col min="7427" max="7431" width="7.8984375" style="8" customWidth="1"/>
    <col min="7432" max="7436" width="8" style="8" customWidth="1"/>
    <col min="7437" max="7437" width="8.19921875" style="8" customWidth="1"/>
    <col min="7438" max="7440" width="7.8984375" style="8" customWidth="1"/>
    <col min="7441" max="7680" width="8.69921875" style="8"/>
    <col min="7681" max="7681" width="5.19921875" style="8" customWidth="1"/>
    <col min="7682" max="7682" width="23.09765625" style="8" customWidth="1"/>
    <col min="7683" max="7687" width="7.8984375" style="8" customWidth="1"/>
    <col min="7688" max="7692" width="8" style="8" customWidth="1"/>
    <col min="7693" max="7693" width="8.19921875" style="8" customWidth="1"/>
    <col min="7694" max="7696" width="7.8984375" style="8" customWidth="1"/>
    <col min="7697" max="7936" width="8.69921875" style="8"/>
    <col min="7937" max="7937" width="5.19921875" style="8" customWidth="1"/>
    <col min="7938" max="7938" width="23.09765625" style="8" customWidth="1"/>
    <col min="7939" max="7943" width="7.8984375" style="8" customWidth="1"/>
    <col min="7944" max="7948" width="8" style="8" customWidth="1"/>
    <col min="7949" max="7949" width="8.19921875" style="8" customWidth="1"/>
    <col min="7950" max="7952" width="7.8984375" style="8" customWidth="1"/>
    <col min="7953" max="8192" width="8.69921875" style="8"/>
    <col min="8193" max="8193" width="5.19921875" style="8" customWidth="1"/>
    <col min="8194" max="8194" width="23.09765625" style="8" customWidth="1"/>
    <col min="8195" max="8199" width="7.8984375" style="8" customWidth="1"/>
    <col min="8200" max="8204" width="8" style="8" customWidth="1"/>
    <col min="8205" max="8205" width="8.19921875" style="8" customWidth="1"/>
    <col min="8206" max="8208" width="7.8984375" style="8" customWidth="1"/>
    <col min="8209" max="8448" width="8.69921875" style="8"/>
    <col min="8449" max="8449" width="5.19921875" style="8" customWidth="1"/>
    <col min="8450" max="8450" width="23.09765625" style="8" customWidth="1"/>
    <col min="8451" max="8455" width="7.8984375" style="8" customWidth="1"/>
    <col min="8456" max="8460" width="8" style="8" customWidth="1"/>
    <col min="8461" max="8461" width="8.19921875" style="8" customWidth="1"/>
    <col min="8462" max="8464" width="7.8984375" style="8" customWidth="1"/>
    <col min="8465" max="8704" width="8.69921875" style="8"/>
    <col min="8705" max="8705" width="5.19921875" style="8" customWidth="1"/>
    <col min="8706" max="8706" width="23.09765625" style="8" customWidth="1"/>
    <col min="8707" max="8711" width="7.8984375" style="8" customWidth="1"/>
    <col min="8712" max="8716" width="8" style="8" customWidth="1"/>
    <col min="8717" max="8717" width="8.19921875" style="8" customWidth="1"/>
    <col min="8718" max="8720" width="7.8984375" style="8" customWidth="1"/>
    <col min="8721" max="8960" width="8.69921875" style="8"/>
    <col min="8961" max="8961" width="5.19921875" style="8" customWidth="1"/>
    <col min="8962" max="8962" width="23.09765625" style="8" customWidth="1"/>
    <col min="8963" max="8967" width="7.8984375" style="8" customWidth="1"/>
    <col min="8968" max="8972" width="8" style="8" customWidth="1"/>
    <col min="8973" max="8973" width="8.19921875" style="8" customWidth="1"/>
    <col min="8974" max="8976" width="7.8984375" style="8" customWidth="1"/>
    <col min="8977" max="9216" width="8.69921875" style="8"/>
    <col min="9217" max="9217" width="5.19921875" style="8" customWidth="1"/>
    <col min="9218" max="9218" width="23.09765625" style="8" customWidth="1"/>
    <col min="9219" max="9223" width="7.8984375" style="8" customWidth="1"/>
    <col min="9224" max="9228" width="8" style="8" customWidth="1"/>
    <col min="9229" max="9229" width="8.19921875" style="8" customWidth="1"/>
    <col min="9230" max="9232" width="7.8984375" style="8" customWidth="1"/>
    <col min="9233" max="9472" width="8.69921875" style="8"/>
    <col min="9473" max="9473" width="5.19921875" style="8" customWidth="1"/>
    <col min="9474" max="9474" width="23.09765625" style="8" customWidth="1"/>
    <col min="9475" max="9479" width="7.8984375" style="8" customWidth="1"/>
    <col min="9480" max="9484" width="8" style="8" customWidth="1"/>
    <col min="9485" max="9485" width="8.19921875" style="8" customWidth="1"/>
    <col min="9486" max="9488" width="7.8984375" style="8" customWidth="1"/>
    <col min="9489" max="9728" width="8.69921875" style="8"/>
    <col min="9729" max="9729" width="5.19921875" style="8" customWidth="1"/>
    <col min="9730" max="9730" width="23.09765625" style="8" customWidth="1"/>
    <col min="9731" max="9735" width="7.8984375" style="8" customWidth="1"/>
    <col min="9736" max="9740" width="8" style="8" customWidth="1"/>
    <col min="9741" max="9741" width="8.19921875" style="8" customWidth="1"/>
    <col min="9742" max="9744" width="7.8984375" style="8" customWidth="1"/>
    <col min="9745" max="9984" width="8.69921875" style="8"/>
    <col min="9985" max="9985" width="5.19921875" style="8" customWidth="1"/>
    <col min="9986" max="9986" width="23.09765625" style="8" customWidth="1"/>
    <col min="9987" max="9991" width="7.8984375" style="8" customWidth="1"/>
    <col min="9992" max="9996" width="8" style="8" customWidth="1"/>
    <col min="9997" max="9997" width="8.19921875" style="8" customWidth="1"/>
    <col min="9998" max="10000" width="7.8984375" style="8" customWidth="1"/>
    <col min="10001" max="10240" width="8.69921875" style="8"/>
    <col min="10241" max="10241" width="5.19921875" style="8" customWidth="1"/>
    <col min="10242" max="10242" width="23.09765625" style="8" customWidth="1"/>
    <col min="10243" max="10247" width="7.8984375" style="8" customWidth="1"/>
    <col min="10248" max="10252" width="8" style="8" customWidth="1"/>
    <col min="10253" max="10253" width="8.19921875" style="8" customWidth="1"/>
    <col min="10254" max="10256" width="7.8984375" style="8" customWidth="1"/>
    <col min="10257" max="10496" width="8.69921875" style="8"/>
    <col min="10497" max="10497" width="5.19921875" style="8" customWidth="1"/>
    <col min="10498" max="10498" width="23.09765625" style="8" customWidth="1"/>
    <col min="10499" max="10503" width="7.8984375" style="8" customWidth="1"/>
    <col min="10504" max="10508" width="8" style="8" customWidth="1"/>
    <col min="10509" max="10509" width="8.19921875" style="8" customWidth="1"/>
    <col min="10510" max="10512" width="7.8984375" style="8" customWidth="1"/>
    <col min="10513" max="10752" width="8.69921875" style="8"/>
    <col min="10753" max="10753" width="5.19921875" style="8" customWidth="1"/>
    <col min="10754" max="10754" width="23.09765625" style="8" customWidth="1"/>
    <col min="10755" max="10759" width="7.8984375" style="8" customWidth="1"/>
    <col min="10760" max="10764" width="8" style="8" customWidth="1"/>
    <col min="10765" max="10765" width="8.19921875" style="8" customWidth="1"/>
    <col min="10766" max="10768" width="7.8984375" style="8" customWidth="1"/>
    <col min="10769" max="11008" width="8.69921875" style="8"/>
    <col min="11009" max="11009" width="5.19921875" style="8" customWidth="1"/>
    <col min="11010" max="11010" width="23.09765625" style="8" customWidth="1"/>
    <col min="11011" max="11015" width="7.8984375" style="8" customWidth="1"/>
    <col min="11016" max="11020" width="8" style="8" customWidth="1"/>
    <col min="11021" max="11021" width="8.19921875" style="8" customWidth="1"/>
    <col min="11022" max="11024" width="7.8984375" style="8" customWidth="1"/>
    <col min="11025" max="11264" width="8.69921875" style="8"/>
    <col min="11265" max="11265" width="5.19921875" style="8" customWidth="1"/>
    <col min="11266" max="11266" width="23.09765625" style="8" customWidth="1"/>
    <col min="11267" max="11271" width="7.8984375" style="8" customWidth="1"/>
    <col min="11272" max="11276" width="8" style="8" customWidth="1"/>
    <col min="11277" max="11277" width="8.19921875" style="8" customWidth="1"/>
    <col min="11278" max="11280" width="7.8984375" style="8" customWidth="1"/>
    <col min="11281" max="11520" width="8.69921875" style="8"/>
    <col min="11521" max="11521" width="5.19921875" style="8" customWidth="1"/>
    <col min="11522" max="11522" width="23.09765625" style="8" customWidth="1"/>
    <col min="11523" max="11527" width="7.8984375" style="8" customWidth="1"/>
    <col min="11528" max="11532" width="8" style="8" customWidth="1"/>
    <col min="11533" max="11533" width="8.19921875" style="8" customWidth="1"/>
    <col min="11534" max="11536" width="7.8984375" style="8" customWidth="1"/>
    <col min="11537" max="11776" width="8.69921875" style="8"/>
    <col min="11777" max="11777" width="5.19921875" style="8" customWidth="1"/>
    <col min="11778" max="11778" width="23.09765625" style="8" customWidth="1"/>
    <col min="11779" max="11783" width="7.8984375" style="8" customWidth="1"/>
    <col min="11784" max="11788" width="8" style="8" customWidth="1"/>
    <col min="11789" max="11789" width="8.19921875" style="8" customWidth="1"/>
    <col min="11790" max="11792" width="7.8984375" style="8" customWidth="1"/>
    <col min="11793" max="12032" width="8.69921875" style="8"/>
    <col min="12033" max="12033" width="5.19921875" style="8" customWidth="1"/>
    <col min="12034" max="12034" width="23.09765625" style="8" customWidth="1"/>
    <col min="12035" max="12039" width="7.8984375" style="8" customWidth="1"/>
    <col min="12040" max="12044" width="8" style="8" customWidth="1"/>
    <col min="12045" max="12045" width="8.19921875" style="8" customWidth="1"/>
    <col min="12046" max="12048" width="7.8984375" style="8" customWidth="1"/>
    <col min="12049" max="12288" width="8.69921875" style="8"/>
    <col min="12289" max="12289" width="5.19921875" style="8" customWidth="1"/>
    <col min="12290" max="12290" width="23.09765625" style="8" customWidth="1"/>
    <col min="12291" max="12295" width="7.8984375" style="8" customWidth="1"/>
    <col min="12296" max="12300" width="8" style="8" customWidth="1"/>
    <col min="12301" max="12301" width="8.19921875" style="8" customWidth="1"/>
    <col min="12302" max="12304" width="7.8984375" style="8" customWidth="1"/>
    <col min="12305" max="12544" width="8.69921875" style="8"/>
    <col min="12545" max="12545" width="5.19921875" style="8" customWidth="1"/>
    <col min="12546" max="12546" width="23.09765625" style="8" customWidth="1"/>
    <col min="12547" max="12551" width="7.8984375" style="8" customWidth="1"/>
    <col min="12552" max="12556" width="8" style="8" customWidth="1"/>
    <col min="12557" max="12557" width="8.19921875" style="8" customWidth="1"/>
    <col min="12558" max="12560" width="7.8984375" style="8" customWidth="1"/>
    <col min="12561" max="12800" width="8.69921875" style="8"/>
    <col min="12801" max="12801" width="5.19921875" style="8" customWidth="1"/>
    <col min="12802" max="12802" width="23.09765625" style="8" customWidth="1"/>
    <col min="12803" max="12807" width="7.8984375" style="8" customWidth="1"/>
    <col min="12808" max="12812" width="8" style="8" customWidth="1"/>
    <col min="12813" max="12813" width="8.19921875" style="8" customWidth="1"/>
    <col min="12814" max="12816" width="7.8984375" style="8" customWidth="1"/>
    <col min="12817" max="13056" width="8.69921875" style="8"/>
    <col min="13057" max="13057" width="5.19921875" style="8" customWidth="1"/>
    <col min="13058" max="13058" width="23.09765625" style="8" customWidth="1"/>
    <col min="13059" max="13063" width="7.8984375" style="8" customWidth="1"/>
    <col min="13064" max="13068" width="8" style="8" customWidth="1"/>
    <col min="13069" max="13069" width="8.19921875" style="8" customWidth="1"/>
    <col min="13070" max="13072" width="7.8984375" style="8" customWidth="1"/>
    <col min="13073" max="13312" width="8.69921875" style="8"/>
    <col min="13313" max="13313" width="5.19921875" style="8" customWidth="1"/>
    <col min="13314" max="13314" width="23.09765625" style="8" customWidth="1"/>
    <col min="13315" max="13319" width="7.8984375" style="8" customWidth="1"/>
    <col min="13320" max="13324" width="8" style="8" customWidth="1"/>
    <col min="13325" max="13325" width="8.19921875" style="8" customWidth="1"/>
    <col min="13326" max="13328" width="7.8984375" style="8" customWidth="1"/>
    <col min="13329" max="13568" width="8.69921875" style="8"/>
    <col min="13569" max="13569" width="5.19921875" style="8" customWidth="1"/>
    <col min="13570" max="13570" width="23.09765625" style="8" customWidth="1"/>
    <col min="13571" max="13575" width="7.8984375" style="8" customWidth="1"/>
    <col min="13576" max="13580" width="8" style="8" customWidth="1"/>
    <col min="13581" max="13581" width="8.19921875" style="8" customWidth="1"/>
    <col min="13582" max="13584" width="7.8984375" style="8" customWidth="1"/>
    <col min="13585" max="13824" width="8.69921875" style="8"/>
    <col min="13825" max="13825" width="5.19921875" style="8" customWidth="1"/>
    <col min="13826" max="13826" width="23.09765625" style="8" customWidth="1"/>
    <col min="13827" max="13831" width="7.8984375" style="8" customWidth="1"/>
    <col min="13832" max="13836" width="8" style="8" customWidth="1"/>
    <col min="13837" max="13837" width="8.19921875" style="8" customWidth="1"/>
    <col min="13838" max="13840" width="7.8984375" style="8" customWidth="1"/>
    <col min="13841" max="14080" width="8.69921875" style="8"/>
    <col min="14081" max="14081" width="5.19921875" style="8" customWidth="1"/>
    <col min="14082" max="14082" width="23.09765625" style="8" customWidth="1"/>
    <col min="14083" max="14087" width="7.8984375" style="8" customWidth="1"/>
    <col min="14088" max="14092" width="8" style="8" customWidth="1"/>
    <col min="14093" max="14093" width="8.19921875" style="8" customWidth="1"/>
    <col min="14094" max="14096" width="7.8984375" style="8" customWidth="1"/>
    <col min="14097" max="14336" width="8.69921875" style="8"/>
    <col min="14337" max="14337" width="5.19921875" style="8" customWidth="1"/>
    <col min="14338" max="14338" width="23.09765625" style="8" customWidth="1"/>
    <col min="14339" max="14343" width="7.8984375" style="8" customWidth="1"/>
    <col min="14344" max="14348" width="8" style="8" customWidth="1"/>
    <col min="14349" max="14349" width="8.19921875" style="8" customWidth="1"/>
    <col min="14350" max="14352" width="7.8984375" style="8" customWidth="1"/>
    <col min="14353" max="14592" width="8.69921875" style="8"/>
    <col min="14593" max="14593" width="5.19921875" style="8" customWidth="1"/>
    <col min="14594" max="14594" width="23.09765625" style="8" customWidth="1"/>
    <col min="14595" max="14599" width="7.8984375" style="8" customWidth="1"/>
    <col min="14600" max="14604" width="8" style="8" customWidth="1"/>
    <col min="14605" max="14605" width="8.19921875" style="8" customWidth="1"/>
    <col min="14606" max="14608" width="7.8984375" style="8" customWidth="1"/>
    <col min="14609" max="14848" width="8.69921875" style="8"/>
    <col min="14849" max="14849" width="5.19921875" style="8" customWidth="1"/>
    <col min="14850" max="14850" width="23.09765625" style="8" customWidth="1"/>
    <col min="14851" max="14855" width="7.8984375" style="8" customWidth="1"/>
    <col min="14856" max="14860" width="8" style="8" customWidth="1"/>
    <col min="14861" max="14861" width="8.19921875" style="8" customWidth="1"/>
    <col min="14862" max="14864" width="7.8984375" style="8" customWidth="1"/>
    <col min="14865" max="15104" width="8.69921875" style="8"/>
    <col min="15105" max="15105" width="5.19921875" style="8" customWidth="1"/>
    <col min="15106" max="15106" width="23.09765625" style="8" customWidth="1"/>
    <col min="15107" max="15111" width="7.8984375" style="8" customWidth="1"/>
    <col min="15112" max="15116" width="8" style="8" customWidth="1"/>
    <col min="15117" max="15117" width="8.19921875" style="8" customWidth="1"/>
    <col min="15118" max="15120" width="7.8984375" style="8" customWidth="1"/>
    <col min="15121" max="15360" width="8.69921875" style="8"/>
    <col min="15361" max="15361" width="5.19921875" style="8" customWidth="1"/>
    <col min="15362" max="15362" width="23.09765625" style="8" customWidth="1"/>
    <col min="15363" max="15367" width="7.8984375" style="8" customWidth="1"/>
    <col min="15368" max="15372" width="8" style="8" customWidth="1"/>
    <col min="15373" max="15373" width="8.19921875" style="8" customWidth="1"/>
    <col min="15374" max="15376" width="7.8984375" style="8" customWidth="1"/>
    <col min="15377" max="15616" width="8.69921875" style="8"/>
    <col min="15617" max="15617" width="5.19921875" style="8" customWidth="1"/>
    <col min="15618" max="15618" width="23.09765625" style="8" customWidth="1"/>
    <col min="15619" max="15623" width="7.8984375" style="8" customWidth="1"/>
    <col min="15624" max="15628" width="8" style="8" customWidth="1"/>
    <col min="15629" max="15629" width="8.19921875" style="8" customWidth="1"/>
    <col min="15630" max="15632" width="7.8984375" style="8" customWidth="1"/>
    <col min="15633" max="15872" width="8.69921875" style="8"/>
    <col min="15873" max="15873" width="5.19921875" style="8" customWidth="1"/>
    <col min="15874" max="15874" width="23.09765625" style="8" customWidth="1"/>
    <col min="15875" max="15879" width="7.8984375" style="8" customWidth="1"/>
    <col min="15880" max="15884" width="8" style="8" customWidth="1"/>
    <col min="15885" max="15885" width="8.19921875" style="8" customWidth="1"/>
    <col min="15886" max="15888" width="7.8984375" style="8" customWidth="1"/>
    <col min="15889" max="16128" width="8.69921875" style="8"/>
    <col min="16129" max="16129" width="5.19921875" style="8" customWidth="1"/>
    <col min="16130" max="16130" width="23.09765625" style="8" customWidth="1"/>
    <col min="16131" max="16135" width="7.8984375" style="8" customWidth="1"/>
    <col min="16136" max="16140" width="8" style="8" customWidth="1"/>
    <col min="16141" max="16141" width="8.19921875" style="8" customWidth="1"/>
    <col min="16142" max="16144" width="7.8984375" style="8" customWidth="1"/>
    <col min="16145" max="16384" width="8.69921875" style="8"/>
  </cols>
  <sheetData>
    <row r="1" spans="1:23" ht="39" customHeight="1">
      <c r="A1" s="4"/>
      <c r="B1" s="5"/>
      <c r="C1" s="5"/>
      <c r="D1" s="5"/>
      <c r="E1" s="5"/>
      <c r="F1" s="5"/>
      <c r="G1" s="5"/>
      <c r="H1" s="6"/>
      <c r="I1" s="7"/>
      <c r="J1" s="6"/>
      <c r="K1" s="7"/>
      <c r="L1" s="7"/>
      <c r="M1" s="7"/>
      <c r="N1" s="5"/>
      <c r="O1" s="5"/>
      <c r="R1" s="41"/>
      <c r="T1" s="228" t="s">
        <v>521</v>
      </c>
      <c r="U1" s="228"/>
      <c r="V1" s="228"/>
      <c r="W1" s="228"/>
    </row>
    <row r="2" spans="1:23" ht="21" customHeight="1">
      <c r="A2" s="197" t="s">
        <v>511</v>
      </c>
      <c r="B2" s="197"/>
      <c r="C2" s="197"/>
      <c r="D2" s="197"/>
      <c r="E2" s="197"/>
      <c r="F2" s="197"/>
      <c r="G2" s="197"/>
      <c r="H2" s="197"/>
      <c r="I2" s="197"/>
      <c r="J2" s="197"/>
      <c r="K2" s="197"/>
      <c r="L2" s="197"/>
      <c r="M2" s="197"/>
      <c r="N2" s="197"/>
      <c r="O2" s="197"/>
      <c r="P2" s="197"/>
      <c r="Q2" s="197"/>
      <c r="R2" s="197"/>
      <c r="S2" s="197"/>
      <c r="T2" s="197"/>
      <c r="U2" s="197"/>
      <c r="V2" s="197"/>
      <c r="W2" s="197"/>
    </row>
    <row r="3" spans="1:23" ht="22.2" customHeight="1">
      <c r="A3" s="200" t="str">
        <f>+'48'!A3:F3</f>
        <v>(Kèm theo Nghị quyết số  09 /NQ-HĐND ngày 30  tháng 3 năm 2026 của HĐND xã Quang Sơn)</v>
      </c>
      <c r="B3" s="200"/>
      <c r="C3" s="200"/>
      <c r="D3" s="200"/>
      <c r="E3" s="200"/>
      <c r="F3" s="200"/>
      <c r="G3" s="200"/>
      <c r="H3" s="200"/>
      <c r="I3" s="200"/>
      <c r="J3" s="200"/>
      <c r="K3" s="200"/>
      <c r="L3" s="200"/>
      <c r="M3" s="200"/>
      <c r="N3" s="200"/>
      <c r="O3" s="200"/>
      <c r="P3" s="200"/>
      <c r="Q3" s="200"/>
      <c r="R3" s="200"/>
      <c r="S3" s="200"/>
      <c r="T3" s="200"/>
      <c r="U3" s="200"/>
      <c r="V3" s="200"/>
      <c r="W3" s="200"/>
    </row>
    <row r="4" spans="1:23" ht="21.75" customHeight="1">
      <c r="A4" s="9"/>
      <c r="B4" s="9"/>
      <c r="C4" s="9"/>
      <c r="D4" s="9"/>
      <c r="E4" s="9"/>
      <c r="F4" s="9"/>
      <c r="G4" s="10"/>
      <c r="H4" s="11"/>
      <c r="I4" s="11"/>
      <c r="J4" s="11"/>
      <c r="K4" s="11"/>
      <c r="L4" s="11"/>
      <c r="M4" s="11"/>
      <c r="N4" s="9"/>
      <c r="O4" s="9"/>
      <c r="Q4" s="40"/>
      <c r="R4" s="40"/>
      <c r="U4" s="202" t="s">
        <v>0</v>
      </c>
      <c r="V4" s="202"/>
      <c r="W4" s="202"/>
    </row>
    <row r="5" spans="1:23" ht="27" customHeight="1">
      <c r="A5" s="201" t="s">
        <v>1</v>
      </c>
      <c r="B5" s="201" t="s">
        <v>90</v>
      </c>
      <c r="C5" s="201" t="s">
        <v>399</v>
      </c>
      <c r="D5" s="199" t="s">
        <v>150</v>
      </c>
      <c r="E5" s="199" t="s">
        <v>150</v>
      </c>
      <c r="F5" s="199" t="s">
        <v>150</v>
      </c>
      <c r="G5" s="199" t="s">
        <v>150</v>
      </c>
      <c r="H5" s="199" t="s">
        <v>150</v>
      </c>
      <c r="I5" s="199" t="s">
        <v>150</v>
      </c>
      <c r="J5" s="201" t="s">
        <v>400</v>
      </c>
      <c r="K5" s="199" t="s">
        <v>150</v>
      </c>
      <c r="L5" s="199" t="s">
        <v>150</v>
      </c>
      <c r="M5" s="199" t="s">
        <v>150</v>
      </c>
      <c r="N5" s="199" t="s">
        <v>150</v>
      </c>
      <c r="O5" s="199" t="s">
        <v>150</v>
      </c>
      <c r="P5" s="199" t="s">
        <v>150</v>
      </c>
      <c r="Q5" s="199" t="s">
        <v>150</v>
      </c>
      <c r="R5" s="199" t="s">
        <v>150</v>
      </c>
      <c r="S5" s="199" t="s">
        <v>150</v>
      </c>
      <c r="T5" s="201" t="s">
        <v>192</v>
      </c>
      <c r="U5" s="199" t="s">
        <v>150</v>
      </c>
      <c r="V5" s="199" t="s">
        <v>150</v>
      </c>
      <c r="W5" s="199" t="s">
        <v>150</v>
      </c>
    </row>
    <row r="6" spans="1:23" s="13" customFormat="1" ht="27.75" customHeight="1">
      <c r="A6" s="199" t="s">
        <v>150</v>
      </c>
      <c r="B6" s="199" t="s">
        <v>150</v>
      </c>
      <c r="C6" s="198" t="s">
        <v>207</v>
      </c>
      <c r="D6" s="198" t="s">
        <v>208</v>
      </c>
      <c r="E6" s="198" t="s">
        <v>209</v>
      </c>
      <c r="F6" s="198" t="s">
        <v>401</v>
      </c>
      <c r="G6" s="201" t="s">
        <v>97</v>
      </c>
      <c r="H6" s="199" t="s">
        <v>150</v>
      </c>
      <c r="I6" s="199" t="s">
        <v>150</v>
      </c>
      <c r="J6" s="201" t="s">
        <v>210</v>
      </c>
      <c r="K6" s="198" t="s">
        <v>208</v>
      </c>
      <c r="L6" s="198" t="s">
        <v>209</v>
      </c>
      <c r="M6" s="198" t="s">
        <v>401</v>
      </c>
      <c r="N6" s="201" t="s">
        <v>97</v>
      </c>
      <c r="O6" s="199" t="s">
        <v>150</v>
      </c>
      <c r="P6" s="199" t="s">
        <v>150</v>
      </c>
      <c r="Q6" s="198" t="s">
        <v>211</v>
      </c>
      <c r="R6" s="198" t="s">
        <v>212</v>
      </c>
      <c r="S6" s="198" t="s">
        <v>213</v>
      </c>
      <c r="T6" s="201" t="s">
        <v>210</v>
      </c>
      <c r="U6" s="201" t="s">
        <v>214</v>
      </c>
      <c r="V6" s="201" t="s">
        <v>215</v>
      </c>
      <c r="W6" s="198" t="s">
        <v>216</v>
      </c>
    </row>
    <row r="7" spans="1:23" s="14" customFormat="1" ht="65.25" customHeight="1">
      <c r="A7" s="199" t="s">
        <v>150</v>
      </c>
      <c r="B7" s="199" t="s">
        <v>150</v>
      </c>
      <c r="C7" s="199" t="s">
        <v>150</v>
      </c>
      <c r="D7" s="199" t="s">
        <v>150</v>
      </c>
      <c r="E7" s="199" t="s">
        <v>150</v>
      </c>
      <c r="F7" s="199" t="s">
        <v>150</v>
      </c>
      <c r="G7" s="129" t="s">
        <v>91</v>
      </c>
      <c r="H7" s="123" t="s">
        <v>217</v>
      </c>
      <c r="I7" s="129" t="s">
        <v>215</v>
      </c>
      <c r="J7" s="199" t="s">
        <v>150</v>
      </c>
      <c r="K7" s="199" t="s">
        <v>150</v>
      </c>
      <c r="L7" s="199" t="s">
        <v>150</v>
      </c>
      <c r="M7" s="199" t="s">
        <v>150</v>
      </c>
      <c r="N7" s="129" t="s">
        <v>91</v>
      </c>
      <c r="O7" s="123" t="s">
        <v>217</v>
      </c>
      <c r="P7" s="129" t="s">
        <v>215</v>
      </c>
      <c r="Q7" s="199" t="s">
        <v>150</v>
      </c>
      <c r="R7" s="199" t="s">
        <v>150</v>
      </c>
      <c r="S7" s="199" t="s">
        <v>150</v>
      </c>
      <c r="T7" s="199" t="s">
        <v>150</v>
      </c>
      <c r="U7" s="199" t="s">
        <v>150</v>
      </c>
      <c r="V7" s="199" t="s">
        <v>150</v>
      </c>
      <c r="W7" s="199" t="s">
        <v>150</v>
      </c>
    </row>
    <row r="8" spans="1:23" s="15" customFormat="1" ht="17.25" customHeight="1">
      <c r="A8" s="129" t="s">
        <v>5</v>
      </c>
      <c r="B8" s="129" t="s">
        <v>6</v>
      </c>
      <c r="C8" s="129" t="s">
        <v>122</v>
      </c>
      <c r="D8" s="129" t="s">
        <v>123</v>
      </c>
      <c r="E8" s="129" t="s">
        <v>124</v>
      </c>
      <c r="F8" s="129" t="s">
        <v>125</v>
      </c>
      <c r="G8" s="129" t="s">
        <v>126</v>
      </c>
      <c r="H8" s="129" t="s">
        <v>127</v>
      </c>
      <c r="I8" s="129" t="s">
        <v>128</v>
      </c>
      <c r="J8" s="129" t="s">
        <v>129</v>
      </c>
      <c r="K8" s="129" t="s">
        <v>130</v>
      </c>
      <c r="L8" s="129" t="s">
        <v>131</v>
      </c>
      <c r="M8" s="129" t="s">
        <v>132</v>
      </c>
      <c r="N8" s="129" t="s">
        <v>133</v>
      </c>
      <c r="O8" s="129" t="s">
        <v>134</v>
      </c>
      <c r="P8" s="129" t="s">
        <v>135</v>
      </c>
      <c r="Q8" s="129" t="s">
        <v>136</v>
      </c>
      <c r="R8" s="129" t="s">
        <v>137</v>
      </c>
      <c r="S8" s="129" t="s">
        <v>138</v>
      </c>
      <c r="T8" s="129" t="s">
        <v>139</v>
      </c>
      <c r="U8" s="129" t="s">
        <v>140</v>
      </c>
      <c r="V8" s="129" t="s">
        <v>141</v>
      </c>
      <c r="W8" s="129" t="s">
        <v>142</v>
      </c>
    </row>
    <row r="9" spans="1:23" s="16" customFormat="1" ht="18.75" customHeight="1">
      <c r="A9" s="137" t="s">
        <v>8</v>
      </c>
      <c r="B9" s="138" t="s">
        <v>218</v>
      </c>
      <c r="C9" s="139">
        <v>126945</v>
      </c>
      <c r="D9" s="139">
        <v>5710</v>
      </c>
      <c r="E9" s="139">
        <v>99447</v>
      </c>
      <c r="F9" s="140" t="s">
        <v>150</v>
      </c>
      <c r="G9" s="139">
        <v>21788</v>
      </c>
      <c r="H9" s="139">
        <v>15543</v>
      </c>
      <c r="I9" s="139">
        <v>6244</v>
      </c>
      <c r="J9" s="139">
        <f>+K9+L9+N9+S9+Q9</f>
        <v>138427</v>
      </c>
      <c r="K9" s="139">
        <v>5686</v>
      </c>
      <c r="L9" s="139">
        <v>97225</v>
      </c>
      <c r="M9" s="140" t="s">
        <v>150</v>
      </c>
      <c r="N9" s="139">
        <v>21141</v>
      </c>
      <c r="O9" s="139">
        <v>15440</v>
      </c>
      <c r="P9" s="139">
        <v>5701</v>
      </c>
      <c r="Q9" s="141">
        <f>+Q79</f>
        <v>14300</v>
      </c>
      <c r="R9" s="140" t="s">
        <v>150</v>
      </c>
      <c r="S9" s="139">
        <v>75</v>
      </c>
      <c r="T9" s="142" t="s">
        <v>219</v>
      </c>
      <c r="U9" s="142" t="s">
        <v>170</v>
      </c>
      <c r="V9" s="142" t="s">
        <v>230</v>
      </c>
      <c r="W9" s="142" t="s">
        <v>231</v>
      </c>
    </row>
    <row r="10" spans="1:23" s="17" customFormat="1" ht="28.5" customHeight="1">
      <c r="A10" s="143" t="s">
        <v>122</v>
      </c>
      <c r="B10" s="144" t="s">
        <v>98</v>
      </c>
      <c r="C10" s="145">
        <v>126945</v>
      </c>
      <c r="D10" s="145">
        <v>5710</v>
      </c>
      <c r="E10" s="145">
        <v>99447</v>
      </c>
      <c r="F10" s="146" t="s">
        <v>150</v>
      </c>
      <c r="G10" s="145">
        <v>21788</v>
      </c>
      <c r="H10" s="145">
        <v>15543</v>
      </c>
      <c r="I10" s="145">
        <v>6244</v>
      </c>
      <c r="J10" s="145">
        <v>124052</v>
      </c>
      <c r="K10" s="145">
        <v>5686</v>
      </c>
      <c r="L10" s="145">
        <v>97225</v>
      </c>
      <c r="M10" s="146" t="s">
        <v>150</v>
      </c>
      <c r="N10" s="145">
        <v>21141</v>
      </c>
      <c r="O10" s="145">
        <v>15440</v>
      </c>
      <c r="P10" s="145">
        <v>5701</v>
      </c>
      <c r="Q10" s="146" t="s">
        <v>150</v>
      </c>
      <c r="R10" s="146" t="s">
        <v>150</v>
      </c>
      <c r="S10" s="146" t="s">
        <v>150</v>
      </c>
      <c r="T10" s="147" t="s">
        <v>219</v>
      </c>
      <c r="U10" s="147" t="s">
        <v>170</v>
      </c>
      <c r="V10" s="147" t="s">
        <v>230</v>
      </c>
      <c r="W10" s="147" t="s">
        <v>231</v>
      </c>
    </row>
    <row r="11" spans="1:23" s="17" customFormat="1" ht="28.5" customHeight="1">
      <c r="A11" s="148" t="s">
        <v>150</v>
      </c>
      <c r="B11" s="149" t="s">
        <v>182</v>
      </c>
      <c r="C11" s="150">
        <v>0</v>
      </c>
      <c r="D11" s="150">
        <v>0</v>
      </c>
      <c r="E11" s="150">
        <v>0</v>
      </c>
      <c r="F11" s="146" t="s">
        <v>150</v>
      </c>
      <c r="G11" s="150">
        <v>0</v>
      </c>
      <c r="H11" s="150">
        <v>0</v>
      </c>
      <c r="I11" s="150">
        <v>0</v>
      </c>
      <c r="J11" s="150">
        <v>0</v>
      </c>
      <c r="K11" s="150">
        <v>0</v>
      </c>
      <c r="L11" s="150">
        <v>0</v>
      </c>
      <c r="M11" s="146" t="s">
        <v>150</v>
      </c>
      <c r="N11" s="150">
        <v>0</v>
      </c>
      <c r="O11" s="150">
        <v>0</v>
      </c>
      <c r="P11" s="150">
        <v>0</v>
      </c>
      <c r="Q11" s="146" t="s">
        <v>150</v>
      </c>
      <c r="R11" s="146" t="s">
        <v>150</v>
      </c>
      <c r="S11" s="146" t="s">
        <v>150</v>
      </c>
      <c r="T11" s="146" t="s">
        <v>150</v>
      </c>
      <c r="U11" s="146" t="s">
        <v>150</v>
      </c>
      <c r="V11" s="146" t="s">
        <v>150</v>
      </c>
      <c r="W11" s="146" t="s">
        <v>150</v>
      </c>
    </row>
    <row r="12" spans="1:23" s="17" customFormat="1" ht="37.200000000000003" customHeight="1">
      <c r="A12" s="148" t="s">
        <v>150</v>
      </c>
      <c r="B12" s="149" t="s">
        <v>173</v>
      </c>
      <c r="C12" s="150">
        <v>7730</v>
      </c>
      <c r="D12" s="150">
        <v>0</v>
      </c>
      <c r="E12" s="150">
        <v>7730</v>
      </c>
      <c r="F12" s="146" t="s">
        <v>150</v>
      </c>
      <c r="G12" s="150">
        <v>0</v>
      </c>
      <c r="H12" s="150">
        <v>0</v>
      </c>
      <c r="I12" s="150">
        <v>0</v>
      </c>
      <c r="J12" s="150">
        <v>7729</v>
      </c>
      <c r="K12" s="150">
        <v>0</v>
      </c>
      <c r="L12" s="150">
        <v>7729</v>
      </c>
      <c r="M12" s="146" t="s">
        <v>150</v>
      </c>
      <c r="N12" s="150">
        <v>0</v>
      </c>
      <c r="O12" s="150">
        <v>0</v>
      </c>
      <c r="P12" s="150">
        <v>0</v>
      </c>
      <c r="Q12" s="146" t="s">
        <v>150</v>
      </c>
      <c r="R12" s="146" t="s">
        <v>150</v>
      </c>
      <c r="S12" s="146" t="s">
        <v>150</v>
      </c>
      <c r="T12" s="151" t="s">
        <v>220</v>
      </c>
      <c r="U12" s="146" t="s">
        <v>150</v>
      </c>
      <c r="V12" s="151" t="s">
        <v>220</v>
      </c>
      <c r="W12" s="146" t="s">
        <v>150</v>
      </c>
    </row>
    <row r="13" spans="1:23" s="17" customFormat="1" ht="37.200000000000003" customHeight="1">
      <c r="A13" s="148" t="s">
        <v>150</v>
      </c>
      <c r="B13" s="149" t="s">
        <v>175</v>
      </c>
      <c r="C13" s="150">
        <v>7738</v>
      </c>
      <c r="D13" s="150">
        <v>0</v>
      </c>
      <c r="E13" s="150">
        <v>7738</v>
      </c>
      <c r="F13" s="146" t="s">
        <v>150</v>
      </c>
      <c r="G13" s="150">
        <v>0</v>
      </c>
      <c r="H13" s="150">
        <v>0</v>
      </c>
      <c r="I13" s="150">
        <v>0</v>
      </c>
      <c r="J13" s="150">
        <v>7736</v>
      </c>
      <c r="K13" s="150">
        <v>0</v>
      </c>
      <c r="L13" s="150">
        <v>7736</v>
      </c>
      <c r="M13" s="146" t="s">
        <v>150</v>
      </c>
      <c r="N13" s="150">
        <v>0</v>
      </c>
      <c r="O13" s="150">
        <v>0</v>
      </c>
      <c r="P13" s="150">
        <v>0</v>
      </c>
      <c r="Q13" s="146" t="s">
        <v>150</v>
      </c>
      <c r="R13" s="146" t="s">
        <v>150</v>
      </c>
      <c r="S13" s="146" t="s">
        <v>150</v>
      </c>
      <c r="T13" s="151" t="s">
        <v>234</v>
      </c>
      <c r="U13" s="146" t="s">
        <v>150</v>
      </c>
      <c r="V13" s="151" t="s">
        <v>234</v>
      </c>
      <c r="W13" s="146" t="s">
        <v>150</v>
      </c>
    </row>
    <row r="14" spans="1:23" s="17" customFormat="1" ht="37.200000000000003" customHeight="1">
      <c r="A14" s="148" t="s">
        <v>150</v>
      </c>
      <c r="B14" s="149" t="s">
        <v>176</v>
      </c>
      <c r="C14" s="150">
        <v>5270</v>
      </c>
      <c r="D14" s="150">
        <v>0</v>
      </c>
      <c r="E14" s="150">
        <v>5270</v>
      </c>
      <c r="F14" s="146" t="s">
        <v>150</v>
      </c>
      <c r="G14" s="150">
        <v>0</v>
      </c>
      <c r="H14" s="150">
        <v>0</v>
      </c>
      <c r="I14" s="150">
        <v>0</v>
      </c>
      <c r="J14" s="150">
        <v>5268</v>
      </c>
      <c r="K14" s="150">
        <v>0</v>
      </c>
      <c r="L14" s="150">
        <v>5268</v>
      </c>
      <c r="M14" s="146" t="s">
        <v>150</v>
      </c>
      <c r="N14" s="150">
        <v>0</v>
      </c>
      <c r="O14" s="150">
        <v>0</v>
      </c>
      <c r="P14" s="150">
        <v>0</v>
      </c>
      <c r="Q14" s="146" t="s">
        <v>150</v>
      </c>
      <c r="R14" s="146" t="s">
        <v>150</v>
      </c>
      <c r="S14" s="146" t="s">
        <v>150</v>
      </c>
      <c r="T14" s="151" t="s">
        <v>236</v>
      </c>
      <c r="U14" s="146" t="s">
        <v>150</v>
      </c>
      <c r="V14" s="151" t="s">
        <v>236</v>
      </c>
      <c r="W14" s="146" t="s">
        <v>150</v>
      </c>
    </row>
    <row r="15" spans="1:23" s="17" customFormat="1" ht="37.200000000000003" customHeight="1">
      <c r="A15" s="148" t="s">
        <v>150</v>
      </c>
      <c r="B15" s="149" t="s">
        <v>177</v>
      </c>
      <c r="C15" s="150">
        <v>9135</v>
      </c>
      <c r="D15" s="150">
        <v>0</v>
      </c>
      <c r="E15" s="150">
        <v>9135</v>
      </c>
      <c r="F15" s="146" t="s">
        <v>150</v>
      </c>
      <c r="G15" s="150">
        <v>0</v>
      </c>
      <c r="H15" s="150">
        <v>0</v>
      </c>
      <c r="I15" s="150">
        <v>0</v>
      </c>
      <c r="J15" s="150">
        <v>9133</v>
      </c>
      <c r="K15" s="150">
        <v>0</v>
      </c>
      <c r="L15" s="150">
        <v>9133</v>
      </c>
      <c r="M15" s="146" t="s">
        <v>150</v>
      </c>
      <c r="N15" s="150">
        <v>0</v>
      </c>
      <c r="O15" s="150">
        <v>0</v>
      </c>
      <c r="P15" s="150">
        <v>0</v>
      </c>
      <c r="Q15" s="146" t="s">
        <v>150</v>
      </c>
      <c r="R15" s="146" t="s">
        <v>150</v>
      </c>
      <c r="S15" s="146" t="s">
        <v>150</v>
      </c>
      <c r="T15" s="151" t="s">
        <v>238</v>
      </c>
      <c r="U15" s="146" t="s">
        <v>150</v>
      </c>
      <c r="V15" s="151" t="s">
        <v>238</v>
      </c>
      <c r="W15" s="146" t="s">
        <v>150</v>
      </c>
    </row>
    <row r="16" spans="1:23" s="17" customFormat="1" ht="36" customHeight="1">
      <c r="A16" s="148" t="s">
        <v>150</v>
      </c>
      <c r="B16" s="149" t="s">
        <v>179</v>
      </c>
      <c r="C16" s="150">
        <v>10325</v>
      </c>
      <c r="D16" s="150">
        <v>0</v>
      </c>
      <c r="E16" s="150">
        <v>10325</v>
      </c>
      <c r="F16" s="146" t="s">
        <v>150</v>
      </c>
      <c r="G16" s="150">
        <v>0</v>
      </c>
      <c r="H16" s="150">
        <v>0</v>
      </c>
      <c r="I16" s="150">
        <v>0</v>
      </c>
      <c r="J16" s="150">
        <v>10323</v>
      </c>
      <c r="K16" s="150">
        <v>0</v>
      </c>
      <c r="L16" s="150">
        <v>10323</v>
      </c>
      <c r="M16" s="146" t="s">
        <v>150</v>
      </c>
      <c r="N16" s="150">
        <v>0</v>
      </c>
      <c r="O16" s="150">
        <v>0</v>
      </c>
      <c r="P16" s="150">
        <v>0</v>
      </c>
      <c r="Q16" s="146" t="s">
        <v>150</v>
      </c>
      <c r="R16" s="146" t="s">
        <v>150</v>
      </c>
      <c r="S16" s="146" t="s">
        <v>150</v>
      </c>
      <c r="T16" s="151" t="s">
        <v>238</v>
      </c>
      <c r="U16" s="146" t="s">
        <v>150</v>
      </c>
      <c r="V16" s="151" t="s">
        <v>238</v>
      </c>
      <c r="W16" s="146" t="s">
        <v>150</v>
      </c>
    </row>
    <row r="17" spans="1:23" s="17" customFormat="1" ht="36" customHeight="1">
      <c r="A17" s="148" t="s">
        <v>150</v>
      </c>
      <c r="B17" s="149" t="s">
        <v>180</v>
      </c>
      <c r="C17" s="150">
        <v>11576</v>
      </c>
      <c r="D17" s="150">
        <v>0</v>
      </c>
      <c r="E17" s="150">
        <v>11576</v>
      </c>
      <c r="F17" s="146" t="s">
        <v>150</v>
      </c>
      <c r="G17" s="150">
        <v>0</v>
      </c>
      <c r="H17" s="150">
        <v>0</v>
      </c>
      <c r="I17" s="150">
        <v>0</v>
      </c>
      <c r="J17" s="150">
        <v>11569</v>
      </c>
      <c r="K17" s="150">
        <v>0</v>
      </c>
      <c r="L17" s="150">
        <v>11569</v>
      </c>
      <c r="M17" s="146" t="s">
        <v>150</v>
      </c>
      <c r="N17" s="150">
        <v>0</v>
      </c>
      <c r="O17" s="150">
        <v>0</v>
      </c>
      <c r="P17" s="150">
        <v>0</v>
      </c>
      <c r="Q17" s="146" t="s">
        <v>150</v>
      </c>
      <c r="R17" s="146" t="s">
        <v>150</v>
      </c>
      <c r="S17" s="146" t="s">
        <v>150</v>
      </c>
      <c r="T17" s="151" t="s">
        <v>241</v>
      </c>
      <c r="U17" s="146" t="s">
        <v>150</v>
      </c>
      <c r="V17" s="151" t="s">
        <v>241</v>
      </c>
      <c r="W17" s="146" t="s">
        <v>150</v>
      </c>
    </row>
    <row r="18" spans="1:23" s="17" customFormat="1" ht="36" customHeight="1">
      <c r="A18" s="148" t="s">
        <v>150</v>
      </c>
      <c r="B18" s="149" t="s">
        <v>181</v>
      </c>
      <c r="C18" s="150">
        <v>5835</v>
      </c>
      <c r="D18" s="150">
        <v>0</v>
      </c>
      <c r="E18" s="150">
        <v>5835</v>
      </c>
      <c r="F18" s="146" t="s">
        <v>150</v>
      </c>
      <c r="G18" s="150">
        <v>0</v>
      </c>
      <c r="H18" s="150">
        <v>0</v>
      </c>
      <c r="I18" s="150">
        <v>0</v>
      </c>
      <c r="J18" s="150">
        <v>5828</v>
      </c>
      <c r="K18" s="150">
        <v>0</v>
      </c>
      <c r="L18" s="150">
        <v>5828</v>
      </c>
      <c r="M18" s="146" t="s">
        <v>150</v>
      </c>
      <c r="N18" s="150">
        <v>0</v>
      </c>
      <c r="O18" s="150">
        <v>0</v>
      </c>
      <c r="P18" s="150">
        <v>0</v>
      </c>
      <c r="Q18" s="146" t="s">
        <v>150</v>
      </c>
      <c r="R18" s="146" t="s">
        <v>150</v>
      </c>
      <c r="S18" s="146" t="s">
        <v>150</v>
      </c>
      <c r="T18" s="151" t="s">
        <v>243</v>
      </c>
      <c r="U18" s="146" t="s">
        <v>150</v>
      </c>
      <c r="V18" s="151" t="s">
        <v>243</v>
      </c>
      <c r="W18" s="146" t="s">
        <v>150</v>
      </c>
    </row>
    <row r="19" spans="1:23" s="17" customFormat="1" ht="36" customHeight="1">
      <c r="A19" s="148" t="s">
        <v>150</v>
      </c>
      <c r="B19" s="149" t="s">
        <v>347</v>
      </c>
      <c r="C19" s="150">
        <v>6976</v>
      </c>
      <c r="D19" s="150">
        <v>0</v>
      </c>
      <c r="E19" s="150">
        <v>6659</v>
      </c>
      <c r="F19" s="146" t="s">
        <v>150</v>
      </c>
      <c r="G19" s="150">
        <v>317</v>
      </c>
      <c r="H19" s="150">
        <v>0</v>
      </c>
      <c r="I19" s="150">
        <v>317</v>
      </c>
      <c r="J19" s="150">
        <v>6332</v>
      </c>
      <c r="K19" s="150">
        <v>0</v>
      </c>
      <c r="L19" s="150">
        <v>6136</v>
      </c>
      <c r="M19" s="146" t="s">
        <v>150</v>
      </c>
      <c r="N19" s="150">
        <v>196</v>
      </c>
      <c r="O19" s="150">
        <v>0</v>
      </c>
      <c r="P19" s="150">
        <v>196</v>
      </c>
      <c r="Q19" s="146" t="s">
        <v>150</v>
      </c>
      <c r="R19" s="146" t="s">
        <v>150</v>
      </c>
      <c r="S19" s="146" t="s">
        <v>150</v>
      </c>
      <c r="T19" s="151" t="s">
        <v>244</v>
      </c>
      <c r="U19" s="146" t="s">
        <v>150</v>
      </c>
      <c r="V19" s="151" t="s">
        <v>245</v>
      </c>
      <c r="W19" s="151" t="s">
        <v>246</v>
      </c>
    </row>
    <row r="20" spans="1:23" s="17" customFormat="1" ht="36" customHeight="1">
      <c r="A20" s="148" t="s">
        <v>150</v>
      </c>
      <c r="B20" s="149" t="s">
        <v>348</v>
      </c>
      <c r="C20" s="150">
        <v>2072</v>
      </c>
      <c r="D20" s="150">
        <v>0</v>
      </c>
      <c r="E20" s="150">
        <v>2072</v>
      </c>
      <c r="F20" s="146" t="s">
        <v>150</v>
      </c>
      <c r="G20" s="150">
        <v>0</v>
      </c>
      <c r="H20" s="150">
        <v>0</v>
      </c>
      <c r="I20" s="150">
        <v>0</v>
      </c>
      <c r="J20" s="150">
        <v>2070</v>
      </c>
      <c r="K20" s="150">
        <v>0</v>
      </c>
      <c r="L20" s="150">
        <v>2070</v>
      </c>
      <c r="M20" s="146" t="s">
        <v>150</v>
      </c>
      <c r="N20" s="150">
        <v>0</v>
      </c>
      <c r="O20" s="150">
        <v>0</v>
      </c>
      <c r="P20" s="150">
        <v>0</v>
      </c>
      <c r="Q20" s="146" t="s">
        <v>150</v>
      </c>
      <c r="R20" s="146" t="s">
        <v>150</v>
      </c>
      <c r="S20" s="146" t="s">
        <v>150</v>
      </c>
      <c r="T20" s="151" t="s">
        <v>184</v>
      </c>
      <c r="U20" s="146" t="s">
        <v>150</v>
      </c>
      <c r="V20" s="151" t="s">
        <v>184</v>
      </c>
      <c r="W20" s="146" t="s">
        <v>150</v>
      </c>
    </row>
    <row r="21" spans="1:23" s="17" customFormat="1" ht="36" customHeight="1">
      <c r="A21" s="148" t="s">
        <v>150</v>
      </c>
      <c r="B21" s="149" t="s">
        <v>349</v>
      </c>
      <c r="C21" s="150">
        <v>1422</v>
      </c>
      <c r="D21" s="150">
        <v>0</v>
      </c>
      <c r="E21" s="150">
        <v>1422</v>
      </c>
      <c r="F21" s="146" t="s">
        <v>150</v>
      </c>
      <c r="G21" s="150">
        <v>0</v>
      </c>
      <c r="H21" s="150">
        <v>0</v>
      </c>
      <c r="I21" s="150">
        <v>0</v>
      </c>
      <c r="J21" s="150">
        <v>1420</v>
      </c>
      <c r="K21" s="150">
        <v>0</v>
      </c>
      <c r="L21" s="150">
        <v>1420</v>
      </c>
      <c r="M21" s="146" t="s">
        <v>150</v>
      </c>
      <c r="N21" s="150">
        <v>0</v>
      </c>
      <c r="O21" s="150">
        <v>0</v>
      </c>
      <c r="P21" s="150">
        <v>0</v>
      </c>
      <c r="Q21" s="146" t="s">
        <v>150</v>
      </c>
      <c r="R21" s="146" t="s">
        <v>150</v>
      </c>
      <c r="S21" s="146" t="s">
        <v>150</v>
      </c>
      <c r="T21" s="151" t="s">
        <v>249</v>
      </c>
      <c r="U21" s="146" t="s">
        <v>150</v>
      </c>
      <c r="V21" s="151" t="s">
        <v>249</v>
      </c>
      <c r="W21" s="146" t="s">
        <v>150</v>
      </c>
    </row>
    <row r="22" spans="1:23" s="17" customFormat="1" ht="36" customHeight="1">
      <c r="A22" s="148" t="s">
        <v>150</v>
      </c>
      <c r="B22" s="149" t="s">
        <v>350</v>
      </c>
      <c r="C22" s="150">
        <v>4172</v>
      </c>
      <c r="D22" s="150">
        <v>0</v>
      </c>
      <c r="E22" s="150">
        <v>4172</v>
      </c>
      <c r="F22" s="146" t="s">
        <v>150</v>
      </c>
      <c r="G22" s="150">
        <v>0</v>
      </c>
      <c r="H22" s="150">
        <v>0</v>
      </c>
      <c r="I22" s="150">
        <v>0</v>
      </c>
      <c r="J22" s="150">
        <v>4152</v>
      </c>
      <c r="K22" s="150">
        <v>0</v>
      </c>
      <c r="L22" s="150">
        <v>4152</v>
      </c>
      <c r="M22" s="146" t="s">
        <v>150</v>
      </c>
      <c r="N22" s="150">
        <v>0</v>
      </c>
      <c r="O22" s="150">
        <v>0</v>
      </c>
      <c r="P22" s="150">
        <v>0</v>
      </c>
      <c r="Q22" s="146" t="s">
        <v>150</v>
      </c>
      <c r="R22" s="146" t="s">
        <v>150</v>
      </c>
      <c r="S22" s="146" t="s">
        <v>150</v>
      </c>
      <c r="T22" s="151" t="s">
        <v>172</v>
      </c>
      <c r="U22" s="146" t="s">
        <v>150</v>
      </c>
      <c r="V22" s="151" t="s">
        <v>172</v>
      </c>
      <c r="W22" s="146" t="s">
        <v>150</v>
      </c>
    </row>
    <row r="23" spans="1:23" s="17" customFormat="1" ht="36" customHeight="1">
      <c r="A23" s="148" t="s">
        <v>150</v>
      </c>
      <c r="B23" s="149" t="s">
        <v>351</v>
      </c>
      <c r="C23" s="150">
        <v>7912</v>
      </c>
      <c r="D23" s="150">
        <v>0</v>
      </c>
      <c r="E23" s="150">
        <v>5660</v>
      </c>
      <c r="F23" s="146" t="s">
        <v>150</v>
      </c>
      <c r="G23" s="150">
        <v>2252</v>
      </c>
      <c r="H23" s="150">
        <v>0</v>
      </c>
      <c r="I23" s="150">
        <v>2252</v>
      </c>
      <c r="J23" s="150">
        <v>6554</v>
      </c>
      <c r="K23" s="150">
        <v>0</v>
      </c>
      <c r="L23" s="150">
        <v>4399</v>
      </c>
      <c r="M23" s="146" t="s">
        <v>150</v>
      </c>
      <c r="N23" s="150">
        <v>2155</v>
      </c>
      <c r="O23" s="150">
        <v>0</v>
      </c>
      <c r="P23" s="150">
        <v>2155</v>
      </c>
      <c r="Q23" s="146" t="s">
        <v>150</v>
      </c>
      <c r="R23" s="146" t="s">
        <v>150</v>
      </c>
      <c r="S23" s="146" t="s">
        <v>150</v>
      </c>
      <c r="T23" s="151" t="s">
        <v>251</v>
      </c>
      <c r="U23" s="146" t="s">
        <v>150</v>
      </c>
      <c r="V23" s="151" t="s">
        <v>252</v>
      </c>
      <c r="W23" s="151" t="s">
        <v>253</v>
      </c>
    </row>
    <row r="24" spans="1:23" s="17" customFormat="1" ht="36" customHeight="1">
      <c r="A24" s="148" t="s">
        <v>150</v>
      </c>
      <c r="B24" s="149" t="s">
        <v>352</v>
      </c>
      <c r="C24" s="150">
        <v>19886</v>
      </c>
      <c r="D24" s="150">
        <v>0</v>
      </c>
      <c r="E24" s="150">
        <v>19886</v>
      </c>
      <c r="F24" s="146" t="s">
        <v>150</v>
      </c>
      <c r="G24" s="150">
        <v>0</v>
      </c>
      <c r="H24" s="150">
        <v>0</v>
      </c>
      <c r="I24" s="150">
        <v>0</v>
      </c>
      <c r="J24" s="150">
        <v>19751</v>
      </c>
      <c r="K24" s="150">
        <v>0</v>
      </c>
      <c r="L24" s="150">
        <v>19751</v>
      </c>
      <c r="M24" s="146" t="s">
        <v>150</v>
      </c>
      <c r="N24" s="150">
        <v>0</v>
      </c>
      <c r="O24" s="150">
        <v>0</v>
      </c>
      <c r="P24" s="150">
        <v>0</v>
      </c>
      <c r="Q24" s="146" t="s">
        <v>150</v>
      </c>
      <c r="R24" s="146" t="s">
        <v>150</v>
      </c>
      <c r="S24" s="146" t="s">
        <v>150</v>
      </c>
      <c r="T24" s="151" t="s">
        <v>255</v>
      </c>
      <c r="U24" s="146" t="s">
        <v>150</v>
      </c>
      <c r="V24" s="151" t="s">
        <v>255</v>
      </c>
      <c r="W24" s="146" t="s">
        <v>150</v>
      </c>
    </row>
    <row r="25" spans="1:23" s="17" customFormat="1" ht="36" customHeight="1">
      <c r="A25" s="148" t="s">
        <v>150</v>
      </c>
      <c r="B25" s="149" t="s">
        <v>353</v>
      </c>
      <c r="C25" s="150">
        <v>5641</v>
      </c>
      <c r="D25" s="150">
        <v>0</v>
      </c>
      <c r="E25" s="150">
        <v>1966</v>
      </c>
      <c r="F25" s="146" t="s">
        <v>150</v>
      </c>
      <c r="G25" s="150">
        <v>3675</v>
      </c>
      <c r="H25" s="150">
        <v>0</v>
      </c>
      <c r="I25" s="150">
        <v>3675</v>
      </c>
      <c r="J25" s="150">
        <v>5062</v>
      </c>
      <c r="K25" s="150">
        <v>0</v>
      </c>
      <c r="L25" s="150">
        <v>1712</v>
      </c>
      <c r="M25" s="146" t="s">
        <v>150</v>
      </c>
      <c r="N25" s="150">
        <v>3350</v>
      </c>
      <c r="O25" s="150">
        <v>0</v>
      </c>
      <c r="P25" s="150">
        <v>3350</v>
      </c>
      <c r="Q25" s="146" t="s">
        <v>150</v>
      </c>
      <c r="R25" s="146" t="s">
        <v>150</v>
      </c>
      <c r="S25" s="146" t="s">
        <v>150</v>
      </c>
      <c r="T25" s="151" t="s">
        <v>256</v>
      </c>
      <c r="U25" s="146" t="s">
        <v>150</v>
      </c>
      <c r="V25" s="151" t="s">
        <v>257</v>
      </c>
      <c r="W25" s="151" t="s">
        <v>258</v>
      </c>
    </row>
    <row r="26" spans="1:23" s="17" customFormat="1" ht="54" customHeight="1">
      <c r="A26" s="148" t="s">
        <v>150</v>
      </c>
      <c r="B26" s="149" t="s">
        <v>354</v>
      </c>
      <c r="C26" s="150">
        <v>9</v>
      </c>
      <c r="D26" s="150">
        <v>0</v>
      </c>
      <c r="E26" s="150">
        <v>0</v>
      </c>
      <c r="F26" s="146" t="s">
        <v>150</v>
      </c>
      <c r="G26" s="150">
        <v>9</v>
      </c>
      <c r="H26" s="150">
        <v>9</v>
      </c>
      <c r="I26" s="150">
        <v>0</v>
      </c>
      <c r="J26" s="150">
        <v>9</v>
      </c>
      <c r="K26" s="150">
        <v>0</v>
      </c>
      <c r="L26" s="150">
        <v>0</v>
      </c>
      <c r="M26" s="146" t="s">
        <v>150</v>
      </c>
      <c r="N26" s="150">
        <v>9</v>
      </c>
      <c r="O26" s="150">
        <v>9</v>
      </c>
      <c r="P26" s="150">
        <v>0</v>
      </c>
      <c r="Q26" s="146" t="s">
        <v>150</v>
      </c>
      <c r="R26" s="146" t="s">
        <v>150</v>
      </c>
      <c r="S26" s="146" t="s">
        <v>150</v>
      </c>
      <c r="T26" s="151" t="s">
        <v>169</v>
      </c>
      <c r="U26" s="146" t="s">
        <v>150</v>
      </c>
      <c r="V26" s="146" t="s">
        <v>150</v>
      </c>
      <c r="W26" s="151" t="s">
        <v>169</v>
      </c>
    </row>
    <row r="27" spans="1:23" s="17" customFormat="1" ht="54" customHeight="1">
      <c r="A27" s="148" t="s">
        <v>150</v>
      </c>
      <c r="B27" s="149" t="s">
        <v>355</v>
      </c>
      <c r="C27" s="150">
        <v>13</v>
      </c>
      <c r="D27" s="150">
        <v>0</v>
      </c>
      <c r="E27" s="150">
        <v>0</v>
      </c>
      <c r="F27" s="146" t="s">
        <v>150</v>
      </c>
      <c r="G27" s="150">
        <v>13</v>
      </c>
      <c r="H27" s="150">
        <v>13</v>
      </c>
      <c r="I27" s="150">
        <v>0</v>
      </c>
      <c r="J27" s="150">
        <v>13</v>
      </c>
      <c r="K27" s="150">
        <v>0</v>
      </c>
      <c r="L27" s="150">
        <v>0</v>
      </c>
      <c r="M27" s="146" t="s">
        <v>150</v>
      </c>
      <c r="N27" s="150">
        <v>13</v>
      </c>
      <c r="O27" s="150">
        <v>13</v>
      </c>
      <c r="P27" s="150">
        <v>0</v>
      </c>
      <c r="Q27" s="146" t="s">
        <v>150</v>
      </c>
      <c r="R27" s="146" t="s">
        <v>150</v>
      </c>
      <c r="S27" s="146" t="s">
        <v>150</v>
      </c>
      <c r="T27" s="151" t="s">
        <v>169</v>
      </c>
      <c r="U27" s="146" t="s">
        <v>150</v>
      </c>
      <c r="V27" s="146" t="s">
        <v>150</v>
      </c>
      <c r="W27" s="151" t="s">
        <v>169</v>
      </c>
    </row>
    <row r="28" spans="1:23" s="17" customFormat="1" ht="47.4" customHeight="1">
      <c r="A28" s="148" t="s">
        <v>150</v>
      </c>
      <c r="B28" s="149" t="s">
        <v>356</v>
      </c>
      <c r="C28" s="150">
        <v>46</v>
      </c>
      <c r="D28" s="150">
        <v>0</v>
      </c>
      <c r="E28" s="150">
        <v>0</v>
      </c>
      <c r="F28" s="146" t="s">
        <v>150</v>
      </c>
      <c r="G28" s="150">
        <v>46</v>
      </c>
      <c r="H28" s="150">
        <v>46</v>
      </c>
      <c r="I28" s="150">
        <v>0</v>
      </c>
      <c r="J28" s="150">
        <v>46</v>
      </c>
      <c r="K28" s="150">
        <v>0</v>
      </c>
      <c r="L28" s="150">
        <v>0</v>
      </c>
      <c r="M28" s="146" t="s">
        <v>150</v>
      </c>
      <c r="N28" s="150">
        <v>46</v>
      </c>
      <c r="O28" s="150">
        <v>46</v>
      </c>
      <c r="P28" s="150">
        <v>0</v>
      </c>
      <c r="Q28" s="146" t="s">
        <v>150</v>
      </c>
      <c r="R28" s="146" t="s">
        <v>150</v>
      </c>
      <c r="S28" s="146" t="s">
        <v>150</v>
      </c>
      <c r="T28" s="151" t="s">
        <v>169</v>
      </c>
      <c r="U28" s="146" t="s">
        <v>150</v>
      </c>
      <c r="V28" s="146" t="s">
        <v>150</v>
      </c>
      <c r="W28" s="151" t="s">
        <v>169</v>
      </c>
    </row>
    <row r="29" spans="1:23" s="17" customFormat="1" ht="28.5" customHeight="1">
      <c r="A29" s="148" t="s">
        <v>150</v>
      </c>
      <c r="B29" s="149" t="s">
        <v>357</v>
      </c>
      <c r="C29" s="150">
        <v>4</v>
      </c>
      <c r="D29" s="150">
        <v>0</v>
      </c>
      <c r="E29" s="150">
        <v>0</v>
      </c>
      <c r="F29" s="146" t="s">
        <v>150</v>
      </c>
      <c r="G29" s="150">
        <v>4</v>
      </c>
      <c r="H29" s="150">
        <v>4</v>
      </c>
      <c r="I29" s="150">
        <v>0</v>
      </c>
      <c r="J29" s="150">
        <v>4</v>
      </c>
      <c r="K29" s="150">
        <v>0</v>
      </c>
      <c r="L29" s="150">
        <v>0</v>
      </c>
      <c r="M29" s="146" t="s">
        <v>150</v>
      </c>
      <c r="N29" s="150">
        <v>4</v>
      </c>
      <c r="O29" s="150">
        <v>4</v>
      </c>
      <c r="P29" s="150">
        <v>0</v>
      </c>
      <c r="Q29" s="146" t="s">
        <v>150</v>
      </c>
      <c r="R29" s="146" t="s">
        <v>150</v>
      </c>
      <c r="S29" s="146" t="s">
        <v>150</v>
      </c>
      <c r="T29" s="151" t="s">
        <v>169</v>
      </c>
      <c r="U29" s="146" t="s">
        <v>150</v>
      </c>
      <c r="V29" s="146" t="s">
        <v>150</v>
      </c>
      <c r="W29" s="151" t="s">
        <v>169</v>
      </c>
    </row>
    <row r="30" spans="1:23" s="17" customFormat="1" ht="56.4" customHeight="1">
      <c r="A30" s="148" t="s">
        <v>150</v>
      </c>
      <c r="B30" s="149" t="s">
        <v>358</v>
      </c>
      <c r="C30" s="150">
        <v>24</v>
      </c>
      <c r="D30" s="150">
        <v>0</v>
      </c>
      <c r="E30" s="150">
        <v>0</v>
      </c>
      <c r="F30" s="146" t="s">
        <v>150</v>
      </c>
      <c r="G30" s="150">
        <v>24</v>
      </c>
      <c r="H30" s="150">
        <v>24</v>
      </c>
      <c r="I30" s="150">
        <v>0</v>
      </c>
      <c r="J30" s="150">
        <v>24</v>
      </c>
      <c r="K30" s="150">
        <v>0</v>
      </c>
      <c r="L30" s="150">
        <v>0</v>
      </c>
      <c r="M30" s="146" t="s">
        <v>150</v>
      </c>
      <c r="N30" s="150">
        <v>24</v>
      </c>
      <c r="O30" s="150">
        <v>24</v>
      </c>
      <c r="P30" s="150">
        <v>0</v>
      </c>
      <c r="Q30" s="146" t="s">
        <v>150</v>
      </c>
      <c r="R30" s="146" t="s">
        <v>150</v>
      </c>
      <c r="S30" s="146" t="s">
        <v>150</v>
      </c>
      <c r="T30" s="151" t="s">
        <v>169</v>
      </c>
      <c r="U30" s="146" t="s">
        <v>150</v>
      </c>
      <c r="V30" s="146" t="s">
        <v>150</v>
      </c>
      <c r="W30" s="151" t="s">
        <v>169</v>
      </c>
    </row>
    <row r="31" spans="1:23" s="17" customFormat="1" ht="56.4" customHeight="1">
      <c r="A31" s="148" t="s">
        <v>150</v>
      </c>
      <c r="B31" s="149" t="s">
        <v>359</v>
      </c>
      <c r="C31" s="150">
        <v>19</v>
      </c>
      <c r="D31" s="150">
        <v>0</v>
      </c>
      <c r="E31" s="150">
        <v>0</v>
      </c>
      <c r="F31" s="146" t="s">
        <v>150</v>
      </c>
      <c r="G31" s="150">
        <v>19</v>
      </c>
      <c r="H31" s="150">
        <v>19</v>
      </c>
      <c r="I31" s="150">
        <v>0</v>
      </c>
      <c r="J31" s="150">
        <v>19</v>
      </c>
      <c r="K31" s="150">
        <v>0</v>
      </c>
      <c r="L31" s="150">
        <v>0</v>
      </c>
      <c r="M31" s="146" t="s">
        <v>150</v>
      </c>
      <c r="N31" s="150">
        <v>19</v>
      </c>
      <c r="O31" s="150">
        <v>19</v>
      </c>
      <c r="P31" s="150">
        <v>0</v>
      </c>
      <c r="Q31" s="146" t="s">
        <v>150</v>
      </c>
      <c r="R31" s="146" t="s">
        <v>150</v>
      </c>
      <c r="S31" s="146" t="s">
        <v>150</v>
      </c>
      <c r="T31" s="151" t="s">
        <v>169</v>
      </c>
      <c r="U31" s="146" t="s">
        <v>150</v>
      </c>
      <c r="V31" s="146" t="s">
        <v>150</v>
      </c>
      <c r="W31" s="151" t="s">
        <v>169</v>
      </c>
    </row>
    <row r="32" spans="1:23" s="17" customFormat="1" ht="56.4" customHeight="1">
      <c r="A32" s="148" t="s">
        <v>150</v>
      </c>
      <c r="B32" s="149" t="s">
        <v>360</v>
      </c>
      <c r="C32" s="150">
        <v>24</v>
      </c>
      <c r="D32" s="150">
        <v>0</v>
      </c>
      <c r="E32" s="150">
        <v>0</v>
      </c>
      <c r="F32" s="146" t="s">
        <v>150</v>
      </c>
      <c r="G32" s="150">
        <v>24</v>
      </c>
      <c r="H32" s="150">
        <v>24</v>
      </c>
      <c r="I32" s="150">
        <v>0</v>
      </c>
      <c r="J32" s="150">
        <v>24</v>
      </c>
      <c r="K32" s="150">
        <v>0</v>
      </c>
      <c r="L32" s="150">
        <v>0</v>
      </c>
      <c r="M32" s="146" t="s">
        <v>150</v>
      </c>
      <c r="N32" s="150">
        <v>24</v>
      </c>
      <c r="O32" s="150">
        <v>24</v>
      </c>
      <c r="P32" s="150">
        <v>0</v>
      </c>
      <c r="Q32" s="146" t="s">
        <v>150</v>
      </c>
      <c r="R32" s="146" t="s">
        <v>150</v>
      </c>
      <c r="S32" s="146" t="s">
        <v>150</v>
      </c>
      <c r="T32" s="151" t="s">
        <v>169</v>
      </c>
      <c r="U32" s="146" t="s">
        <v>150</v>
      </c>
      <c r="V32" s="146" t="s">
        <v>150</v>
      </c>
      <c r="W32" s="151" t="s">
        <v>169</v>
      </c>
    </row>
    <row r="33" spans="1:23" s="17" customFormat="1" ht="56.4" customHeight="1">
      <c r="A33" s="148" t="s">
        <v>150</v>
      </c>
      <c r="B33" s="149" t="s">
        <v>361</v>
      </c>
      <c r="C33" s="150">
        <v>32</v>
      </c>
      <c r="D33" s="150">
        <v>0</v>
      </c>
      <c r="E33" s="150">
        <v>0</v>
      </c>
      <c r="F33" s="146" t="s">
        <v>150</v>
      </c>
      <c r="G33" s="150">
        <v>32</v>
      </c>
      <c r="H33" s="150">
        <v>32</v>
      </c>
      <c r="I33" s="150">
        <v>0</v>
      </c>
      <c r="J33" s="150">
        <v>32</v>
      </c>
      <c r="K33" s="150">
        <v>0</v>
      </c>
      <c r="L33" s="150">
        <v>0</v>
      </c>
      <c r="M33" s="146" t="s">
        <v>150</v>
      </c>
      <c r="N33" s="150">
        <v>32</v>
      </c>
      <c r="O33" s="150">
        <v>32</v>
      </c>
      <c r="P33" s="150">
        <v>0</v>
      </c>
      <c r="Q33" s="146" t="s">
        <v>150</v>
      </c>
      <c r="R33" s="146" t="s">
        <v>150</v>
      </c>
      <c r="S33" s="146" t="s">
        <v>150</v>
      </c>
      <c r="T33" s="151" t="s">
        <v>169</v>
      </c>
      <c r="U33" s="146" t="s">
        <v>150</v>
      </c>
      <c r="V33" s="146" t="s">
        <v>150</v>
      </c>
      <c r="W33" s="151" t="s">
        <v>169</v>
      </c>
    </row>
    <row r="34" spans="1:23" s="17" customFormat="1" ht="57" customHeight="1">
      <c r="A34" s="148" t="s">
        <v>150</v>
      </c>
      <c r="B34" s="149" t="s">
        <v>362</v>
      </c>
      <c r="C34" s="150">
        <v>1104</v>
      </c>
      <c r="D34" s="150">
        <v>0</v>
      </c>
      <c r="E34" s="150">
        <v>0</v>
      </c>
      <c r="F34" s="146" t="s">
        <v>150</v>
      </c>
      <c r="G34" s="150">
        <v>1104</v>
      </c>
      <c r="H34" s="150">
        <v>1104</v>
      </c>
      <c r="I34" s="150">
        <v>0</v>
      </c>
      <c r="J34" s="150">
        <v>1104</v>
      </c>
      <c r="K34" s="150">
        <v>0</v>
      </c>
      <c r="L34" s="150">
        <v>0</v>
      </c>
      <c r="M34" s="146" t="s">
        <v>150</v>
      </c>
      <c r="N34" s="150">
        <v>1104</v>
      </c>
      <c r="O34" s="150">
        <v>1104</v>
      </c>
      <c r="P34" s="150">
        <v>0</v>
      </c>
      <c r="Q34" s="146" t="s">
        <v>150</v>
      </c>
      <c r="R34" s="146" t="s">
        <v>150</v>
      </c>
      <c r="S34" s="146" t="s">
        <v>150</v>
      </c>
      <c r="T34" s="151" t="s">
        <v>169</v>
      </c>
      <c r="U34" s="146" t="s">
        <v>150</v>
      </c>
      <c r="V34" s="146" t="s">
        <v>150</v>
      </c>
      <c r="W34" s="151" t="s">
        <v>169</v>
      </c>
    </row>
    <row r="35" spans="1:23" s="17" customFormat="1" ht="57" customHeight="1">
      <c r="A35" s="148" t="s">
        <v>150</v>
      </c>
      <c r="B35" s="149" t="s">
        <v>363</v>
      </c>
      <c r="C35" s="150">
        <v>66</v>
      </c>
      <c r="D35" s="150">
        <v>0</v>
      </c>
      <c r="E35" s="150">
        <v>0</v>
      </c>
      <c r="F35" s="146" t="s">
        <v>150</v>
      </c>
      <c r="G35" s="150">
        <v>66</v>
      </c>
      <c r="H35" s="150">
        <v>66</v>
      </c>
      <c r="I35" s="150">
        <v>0</v>
      </c>
      <c r="J35" s="150">
        <v>66</v>
      </c>
      <c r="K35" s="150">
        <v>0</v>
      </c>
      <c r="L35" s="150">
        <v>0</v>
      </c>
      <c r="M35" s="146" t="s">
        <v>150</v>
      </c>
      <c r="N35" s="150">
        <v>66</v>
      </c>
      <c r="O35" s="150">
        <v>66</v>
      </c>
      <c r="P35" s="150">
        <v>0</v>
      </c>
      <c r="Q35" s="146" t="s">
        <v>150</v>
      </c>
      <c r="R35" s="146" t="s">
        <v>150</v>
      </c>
      <c r="S35" s="146" t="s">
        <v>150</v>
      </c>
      <c r="T35" s="151" t="s">
        <v>169</v>
      </c>
      <c r="U35" s="146" t="s">
        <v>150</v>
      </c>
      <c r="V35" s="146" t="s">
        <v>150</v>
      </c>
      <c r="W35" s="151" t="s">
        <v>169</v>
      </c>
    </row>
    <row r="36" spans="1:23" s="17" customFormat="1" ht="43.2" customHeight="1">
      <c r="A36" s="148" t="s">
        <v>150</v>
      </c>
      <c r="B36" s="149" t="s">
        <v>364</v>
      </c>
      <c r="C36" s="150">
        <v>35</v>
      </c>
      <c r="D36" s="150">
        <v>0</v>
      </c>
      <c r="E36" s="150">
        <v>0</v>
      </c>
      <c r="F36" s="146" t="s">
        <v>150</v>
      </c>
      <c r="G36" s="150">
        <v>35</v>
      </c>
      <c r="H36" s="150">
        <v>35</v>
      </c>
      <c r="I36" s="150">
        <v>0</v>
      </c>
      <c r="J36" s="150">
        <v>35</v>
      </c>
      <c r="K36" s="150">
        <v>0</v>
      </c>
      <c r="L36" s="150">
        <v>0</v>
      </c>
      <c r="M36" s="146" t="s">
        <v>150</v>
      </c>
      <c r="N36" s="150">
        <v>35</v>
      </c>
      <c r="O36" s="150">
        <v>35</v>
      </c>
      <c r="P36" s="150">
        <v>0</v>
      </c>
      <c r="Q36" s="146" t="s">
        <v>150</v>
      </c>
      <c r="R36" s="146" t="s">
        <v>150</v>
      </c>
      <c r="S36" s="146" t="s">
        <v>150</v>
      </c>
      <c r="T36" s="151" t="s">
        <v>169</v>
      </c>
      <c r="U36" s="146" t="s">
        <v>150</v>
      </c>
      <c r="V36" s="146" t="s">
        <v>150</v>
      </c>
      <c r="W36" s="151" t="s">
        <v>169</v>
      </c>
    </row>
    <row r="37" spans="1:23" s="17" customFormat="1" ht="43.2" customHeight="1">
      <c r="A37" s="148" t="s">
        <v>150</v>
      </c>
      <c r="B37" s="149" t="s">
        <v>365</v>
      </c>
      <c r="C37" s="150">
        <v>10</v>
      </c>
      <c r="D37" s="150">
        <v>0</v>
      </c>
      <c r="E37" s="150">
        <v>0</v>
      </c>
      <c r="F37" s="146" t="s">
        <v>150</v>
      </c>
      <c r="G37" s="150">
        <v>10</v>
      </c>
      <c r="H37" s="150">
        <v>10</v>
      </c>
      <c r="I37" s="150">
        <v>0</v>
      </c>
      <c r="J37" s="150">
        <v>10</v>
      </c>
      <c r="K37" s="150">
        <v>0</v>
      </c>
      <c r="L37" s="150">
        <v>0</v>
      </c>
      <c r="M37" s="146" t="s">
        <v>150</v>
      </c>
      <c r="N37" s="150">
        <v>10</v>
      </c>
      <c r="O37" s="150">
        <v>10</v>
      </c>
      <c r="P37" s="150">
        <v>0</v>
      </c>
      <c r="Q37" s="146" t="s">
        <v>150</v>
      </c>
      <c r="R37" s="146" t="s">
        <v>150</v>
      </c>
      <c r="S37" s="146" t="s">
        <v>150</v>
      </c>
      <c r="T37" s="151" t="s">
        <v>169</v>
      </c>
      <c r="U37" s="146" t="s">
        <v>150</v>
      </c>
      <c r="V37" s="146" t="s">
        <v>150</v>
      </c>
      <c r="W37" s="151" t="s">
        <v>169</v>
      </c>
    </row>
    <row r="38" spans="1:23" s="17" customFormat="1" ht="54.6" customHeight="1">
      <c r="A38" s="148" t="s">
        <v>150</v>
      </c>
      <c r="B38" s="149" t="s">
        <v>366</v>
      </c>
      <c r="C38" s="150">
        <v>14</v>
      </c>
      <c r="D38" s="150">
        <v>0</v>
      </c>
      <c r="E38" s="150">
        <v>0</v>
      </c>
      <c r="F38" s="146" t="s">
        <v>150</v>
      </c>
      <c r="G38" s="150">
        <v>14</v>
      </c>
      <c r="H38" s="150">
        <v>14</v>
      </c>
      <c r="I38" s="150">
        <v>0</v>
      </c>
      <c r="J38" s="150">
        <v>14</v>
      </c>
      <c r="K38" s="150">
        <v>0</v>
      </c>
      <c r="L38" s="150">
        <v>0</v>
      </c>
      <c r="M38" s="146" t="s">
        <v>150</v>
      </c>
      <c r="N38" s="150">
        <v>14</v>
      </c>
      <c r="O38" s="150">
        <v>14</v>
      </c>
      <c r="P38" s="150">
        <v>0</v>
      </c>
      <c r="Q38" s="146" t="s">
        <v>150</v>
      </c>
      <c r="R38" s="146" t="s">
        <v>150</v>
      </c>
      <c r="S38" s="146" t="s">
        <v>150</v>
      </c>
      <c r="T38" s="151" t="s">
        <v>169</v>
      </c>
      <c r="U38" s="146" t="s">
        <v>150</v>
      </c>
      <c r="V38" s="146" t="s">
        <v>150</v>
      </c>
      <c r="W38" s="151" t="s">
        <v>169</v>
      </c>
    </row>
    <row r="39" spans="1:23" s="17" customFormat="1" ht="54.6" customHeight="1">
      <c r="A39" s="148" t="s">
        <v>150</v>
      </c>
      <c r="B39" s="149" t="s">
        <v>367</v>
      </c>
      <c r="C39" s="150">
        <v>15</v>
      </c>
      <c r="D39" s="150">
        <v>0</v>
      </c>
      <c r="E39" s="150">
        <v>0</v>
      </c>
      <c r="F39" s="146" t="s">
        <v>150</v>
      </c>
      <c r="G39" s="150">
        <v>15</v>
      </c>
      <c r="H39" s="150">
        <v>15</v>
      </c>
      <c r="I39" s="150">
        <v>0</v>
      </c>
      <c r="J39" s="150">
        <v>15</v>
      </c>
      <c r="K39" s="150">
        <v>0</v>
      </c>
      <c r="L39" s="150">
        <v>0</v>
      </c>
      <c r="M39" s="146" t="s">
        <v>150</v>
      </c>
      <c r="N39" s="150">
        <v>15</v>
      </c>
      <c r="O39" s="150">
        <v>15</v>
      </c>
      <c r="P39" s="150">
        <v>0</v>
      </c>
      <c r="Q39" s="146" t="s">
        <v>150</v>
      </c>
      <c r="R39" s="146" t="s">
        <v>150</v>
      </c>
      <c r="S39" s="146" t="s">
        <v>150</v>
      </c>
      <c r="T39" s="151" t="s">
        <v>169</v>
      </c>
      <c r="U39" s="146" t="s">
        <v>150</v>
      </c>
      <c r="V39" s="146" t="s">
        <v>150</v>
      </c>
      <c r="W39" s="151" t="s">
        <v>169</v>
      </c>
    </row>
    <row r="40" spans="1:23" s="17" customFormat="1" ht="54.6" customHeight="1">
      <c r="A40" s="148" t="s">
        <v>150</v>
      </c>
      <c r="B40" s="149" t="s">
        <v>368</v>
      </c>
      <c r="C40" s="150">
        <v>12</v>
      </c>
      <c r="D40" s="150">
        <v>0</v>
      </c>
      <c r="E40" s="150">
        <v>0</v>
      </c>
      <c r="F40" s="146" t="s">
        <v>150</v>
      </c>
      <c r="G40" s="150">
        <v>12</v>
      </c>
      <c r="H40" s="150">
        <v>12</v>
      </c>
      <c r="I40" s="150">
        <v>0</v>
      </c>
      <c r="J40" s="150">
        <v>12</v>
      </c>
      <c r="K40" s="150">
        <v>0</v>
      </c>
      <c r="L40" s="150">
        <v>0</v>
      </c>
      <c r="M40" s="146" t="s">
        <v>150</v>
      </c>
      <c r="N40" s="150">
        <v>12</v>
      </c>
      <c r="O40" s="150">
        <v>12</v>
      </c>
      <c r="P40" s="150">
        <v>0</v>
      </c>
      <c r="Q40" s="146" t="s">
        <v>150</v>
      </c>
      <c r="R40" s="146" t="s">
        <v>150</v>
      </c>
      <c r="S40" s="146" t="s">
        <v>150</v>
      </c>
      <c r="T40" s="151" t="s">
        <v>169</v>
      </c>
      <c r="U40" s="146" t="s">
        <v>150</v>
      </c>
      <c r="V40" s="146" t="s">
        <v>150</v>
      </c>
      <c r="W40" s="151" t="s">
        <v>169</v>
      </c>
    </row>
    <row r="41" spans="1:23" s="17" customFormat="1" ht="43.2" customHeight="1">
      <c r="A41" s="148" t="s">
        <v>150</v>
      </c>
      <c r="B41" s="149" t="s">
        <v>369</v>
      </c>
      <c r="C41" s="150">
        <v>25</v>
      </c>
      <c r="D41" s="150">
        <v>0</v>
      </c>
      <c r="E41" s="150">
        <v>0</v>
      </c>
      <c r="F41" s="146" t="s">
        <v>150</v>
      </c>
      <c r="G41" s="150">
        <v>25</v>
      </c>
      <c r="H41" s="150">
        <v>25</v>
      </c>
      <c r="I41" s="150">
        <v>0</v>
      </c>
      <c r="J41" s="150">
        <v>25</v>
      </c>
      <c r="K41" s="150">
        <v>0</v>
      </c>
      <c r="L41" s="150">
        <v>0</v>
      </c>
      <c r="M41" s="146" t="s">
        <v>150</v>
      </c>
      <c r="N41" s="150">
        <v>25</v>
      </c>
      <c r="O41" s="150">
        <v>25</v>
      </c>
      <c r="P41" s="150">
        <v>0</v>
      </c>
      <c r="Q41" s="146" t="s">
        <v>150</v>
      </c>
      <c r="R41" s="146" t="s">
        <v>150</v>
      </c>
      <c r="S41" s="146" t="s">
        <v>150</v>
      </c>
      <c r="T41" s="151" t="s">
        <v>169</v>
      </c>
      <c r="U41" s="146" t="s">
        <v>150</v>
      </c>
      <c r="V41" s="146" t="s">
        <v>150</v>
      </c>
      <c r="W41" s="151" t="s">
        <v>169</v>
      </c>
    </row>
    <row r="42" spans="1:23" ht="43.2" customHeight="1">
      <c r="A42" s="148" t="s">
        <v>150</v>
      </c>
      <c r="B42" s="149" t="s">
        <v>370</v>
      </c>
      <c r="C42" s="150">
        <v>14</v>
      </c>
      <c r="D42" s="150">
        <v>0</v>
      </c>
      <c r="E42" s="150">
        <v>0</v>
      </c>
      <c r="F42" s="146" t="s">
        <v>150</v>
      </c>
      <c r="G42" s="150">
        <v>14</v>
      </c>
      <c r="H42" s="150">
        <v>14</v>
      </c>
      <c r="I42" s="150">
        <v>0</v>
      </c>
      <c r="J42" s="150">
        <v>14</v>
      </c>
      <c r="K42" s="150">
        <v>0</v>
      </c>
      <c r="L42" s="150">
        <v>0</v>
      </c>
      <c r="M42" s="146" t="s">
        <v>150</v>
      </c>
      <c r="N42" s="150">
        <v>14</v>
      </c>
      <c r="O42" s="150">
        <v>14</v>
      </c>
      <c r="P42" s="150">
        <v>0</v>
      </c>
      <c r="Q42" s="146" t="s">
        <v>150</v>
      </c>
      <c r="R42" s="146" t="s">
        <v>150</v>
      </c>
      <c r="S42" s="146" t="s">
        <v>150</v>
      </c>
      <c r="T42" s="151" t="s">
        <v>169</v>
      </c>
      <c r="U42" s="146" t="s">
        <v>150</v>
      </c>
      <c r="V42" s="146" t="s">
        <v>150</v>
      </c>
      <c r="W42" s="151" t="s">
        <v>169</v>
      </c>
    </row>
    <row r="43" spans="1:23" ht="43.2" customHeight="1">
      <c r="A43" s="148" t="s">
        <v>150</v>
      </c>
      <c r="B43" s="149" t="s">
        <v>371</v>
      </c>
      <c r="C43" s="150">
        <v>27</v>
      </c>
      <c r="D43" s="150">
        <v>0</v>
      </c>
      <c r="E43" s="150">
        <v>0</v>
      </c>
      <c r="F43" s="146" t="s">
        <v>150</v>
      </c>
      <c r="G43" s="150">
        <v>27</v>
      </c>
      <c r="H43" s="150">
        <v>27</v>
      </c>
      <c r="I43" s="150">
        <v>0</v>
      </c>
      <c r="J43" s="150">
        <v>27</v>
      </c>
      <c r="K43" s="150">
        <v>0</v>
      </c>
      <c r="L43" s="150">
        <v>0</v>
      </c>
      <c r="M43" s="146" t="s">
        <v>150</v>
      </c>
      <c r="N43" s="150">
        <v>27</v>
      </c>
      <c r="O43" s="150">
        <v>27</v>
      </c>
      <c r="P43" s="150">
        <v>0</v>
      </c>
      <c r="Q43" s="146" t="s">
        <v>150</v>
      </c>
      <c r="R43" s="146" t="s">
        <v>150</v>
      </c>
      <c r="S43" s="146" t="s">
        <v>150</v>
      </c>
      <c r="T43" s="151" t="s">
        <v>169</v>
      </c>
      <c r="U43" s="146" t="s">
        <v>150</v>
      </c>
      <c r="V43" s="146" t="s">
        <v>150</v>
      </c>
      <c r="W43" s="151" t="s">
        <v>169</v>
      </c>
    </row>
    <row r="44" spans="1:23" ht="52.2" customHeight="1">
      <c r="A44" s="148" t="s">
        <v>150</v>
      </c>
      <c r="B44" s="149" t="s">
        <v>372</v>
      </c>
      <c r="C44" s="150">
        <v>20</v>
      </c>
      <c r="D44" s="150">
        <v>0</v>
      </c>
      <c r="E44" s="150">
        <v>0</v>
      </c>
      <c r="F44" s="146" t="s">
        <v>150</v>
      </c>
      <c r="G44" s="150">
        <v>20</v>
      </c>
      <c r="H44" s="150">
        <v>20</v>
      </c>
      <c r="I44" s="150">
        <v>0</v>
      </c>
      <c r="J44" s="150">
        <v>20</v>
      </c>
      <c r="K44" s="150">
        <v>0</v>
      </c>
      <c r="L44" s="150">
        <v>0</v>
      </c>
      <c r="M44" s="146" t="s">
        <v>150</v>
      </c>
      <c r="N44" s="150">
        <v>20</v>
      </c>
      <c r="O44" s="150">
        <v>20</v>
      </c>
      <c r="P44" s="150">
        <v>0</v>
      </c>
      <c r="Q44" s="146" t="s">
        <v>150</v>
      </c>
      <c r="R44" s="146" t="s">
        <v>150</v>
      </c>
      <c r="S44" s="146" t="s">
        <v>150</v>
      </c>
      <c r="T44" s="151" t="s">
        <v>169</v>
      </c>
      <c r="U44" s="146" t="s">
        <v>150</v>
      </c>
      <c r="V44" s="146" t="s">
        <v>150</v>
      </c>
      <c r="W44" s="151" t="s">
        <v>169</v>
      </c>
    </row>
    <row r="45" spans="1:23" ht="52.2" customHeight="1">
      <c r="A45" s="148" t="s">
        <v>150</v>
      </c>
      <c r="B45" s="149" t="s">
        <v>373</v>
      </c>
      <c r="C45" s="150">
        <v>34</v>
      </c>
      <c r="D45" s="150">
        <v>0</v>
      </c>
      <c r="E45" s="150">
        <v>0</v>
      </c>
      <c r="F45" s="146" t="s">
        <v>150</v>
      </c>
      <c r="G45" s="150">
        <v>34</v>
      </c>
      <c r="H45" s="150">
        <v>34</v>
      </c>
      <c r="I45" s="150">
        <v>0</v>
      </c>
      <c r="J45" s="150">
        <v>34</v>
      </c>
      <c r="K45" s="150">
        <v>0</v>
      </c>
      <c r="L45" s="150">
        <v>0</v>
      </c>
      <c r="M45" s="146" t="s">
        <v>150</v>
      </c>
      <c r="N45" s="150">
        <v>34</v>
      </c>
      <c r="O45" s="150">
        <v>34</v>
      </c>
      <c r="P45" s="150">
        <v>0</v>
      </c>
      <c r="Q45" s="146" t="s">
        <v>150</v>
      </c>
      <c r="R45" s="146" t="s">
        <v>150</v>
      </c>
      <c r="S45" s="146" t="s">
        <v>150</v>
      </c>
      <c r="T45" s="151" t="s">
        <v>169</v>
      </c>
      <c r="U45" s="146" t="s">
        <v>150</v>
      </c>
      <c r="V45" s="146" t="s">
        <v>150</v>
      </c>
      <c r="W45" s="151" t="s">
        <v>169</v>
      </c>
    </row>
    <row r="46" spans="1:23" ht="52.2" customHeight="1">
      <c r="A46" s="148" t="s">
        <v>150</v>
      </c>
      <c r="B46" s="149" t="s">
        <v>374</v>
      </c>
      <c r="C46" s="150">
        <v>112</v>
      </c>
      <c r="D46" s="150">
        <v>0</v>
      </c>
      <c r="E46" s="150">
        <v>0</v>
      </c>
      <c r="F46" s="146" t="s">
        <v>150</v>
      </c>
      <c r="G46" s="150">
        <v>112</v>
      </c>
      <c r="H46" s="150">
        <v>112</v>
      </c>
      <c r="I46" s="150">
        <v>0</v>
      </c>
      <c r="J46" s="150">
        <v>112</v>
      </c>
      <c r="K46" s="150">
        <v>0</v>
      </c>
      <c r="L46" s="150">
        <v>0</v>
      </c>
      <c r="M46" s="146" t="s">
        <v>150</v>
      </c>
      <c r="N46" s="150">
        <v>112</v>
      </c>
      <c r="O46" s="150">
        <v>112</v>
      </c>
      <c r="P46" s="150">
        <v>0</v>
      </c>
      <c r="Q46" s="146" t="s">
        <v>150</v>
      </c>
      <c r="R46" s="146" t="s">
        <v>150</v>
      </c>
      <c r="S46" s="146" t="s">
        <v>150</v>
      </c>
      <c r="T46" s="151" t="s">
        <v>169</v>
      </c>
      <c r="U46" s="146" t="s">
        <v>150</v>
      </c>
      <c r="V46" s="146" t="s">
        <v>150</v>
      </c>
      <c r="W46" s="151" t="s">
        <v>169</v>
      </c>
    </row>
    <row r="47" spans="1:23" ht="45.6" customHeight="1">
      <c r="A47" s="148" t="s">
        <v>150</v>
      </c>
      <c r="B47" s="149" t="s">
        <v>375</v>
      </c>
      <c r="C47" s="150">
        <v>6495</v>
      </c>
      <c r="D47" s="150">
        <v>1993</v>
      </c>
      <c r="E47" s="150">
        <v>0</v>
      </c>
      <c r="F47" s="146" t="s">
        <v>150</v>
      </c>
      <c r="G47" s="150">
        <v>4502</v>
      </c>
      <c r="H47" s="150">
        <v>4502</v>
      </c>
      <c r="I47" s="150">
        <v>0</v>
      </c>
      <c r="J47" s="150">
        <v>6472</v>
      </c>
      <c r="K47" s="150">
        <v>1970</v>
      </c>
      <c r="L47" s="150">
        <v>0</v>
      </c>
      <c r="M47" s="146" t="s">
        <v>150</v>
      </c>
      <c r="N47" s="150">
        <v>4502</v>
      </c>
      <c r="O47" s="150">
        <v>4502</v>
      </c>
      <c r="P47" s="150">
        <v>0</v>
      </c>
      <c r="Q47" s="146" t="s">
        <v>150</v>
      </c>
      <c r="R47" s="146" t="s">
        <v>150</v>
      </c>
      <c r="S47" s="146" t="s">
        <v>150</v>
      </c>
      <c r="T47" s="151" t="s">
        <v>171</v>
      </c>
      <c r="U47" s="151" t="s">
        <v>183</v>
      </c>
      <c r="V47" s="146" t="s">
        <v>150</v>
      </c>
      <c r="W47" s="151" t="s">
        <v>169</v>
      </c>
    </row>
    <row r="48" spans="1:23" ht="66.599999999999994" customHeight="1">
      <c r="A48" s="148" t="s">
        <v>150</v>
      </c>
      <c r="B48" s="149" t="s">
        <v>376</v>
      </c>
      <c r="C48" s="150">
        <v>3306</v>
      </c>
      <c r="D48" s="150">
        <v>3306</v>
      </c>
      <c r="E48" s="150">
        <v>0</v>
      </c>
      <c r="F48" s="146" t="s">
        <v>150</v>
      </c>
      <c r="G48" s="150">
        <v>0</v>
      </c>
      <c r="H48" s="150">
        <v>0</v>
      </c>
      <c r="I48" s="150">
        <v>0</v>
      </c>
      <c r="J48" s="150">
        <v>3306</v>
      </c>
      <c r="K48" s="150">
        <v>3306</v>
      </c>
      <c r="L48" s="150">
        <v>0</v>
      </c>
      <c r="M48" s="146" t="s">
        <v>150</v>
      </c>
      <c r="N48" s="150">
        <v>0</v>
      </c>
      <c r="O48" s="150">
        <v>0</v>
      </c>
      <c r="P48" s="150">
        <v>0</v>
      </c>
      <c r="Q48" s="146" t="s">
        <v>150</v>
      </c>
      <c r="R48" s="146" t="s">
        <v>150</v>
      </c>
      <c r="S48" s="146" t="s">
        <v>150</v>
      </c>
      <c r="T48" s="151" t="s">
        <v>169</v>
      </c>
      <c r="U48" s="151" t="s">
        <v>169</v>
      </c>
      <c r="V48" s="146" t="s">
        <v>150</v>
      </c>
      <c r="W48" s="146" t="s">
        <v>150</v>
      </c>
    </row>
    <row r="49" spans="1:23" ht="28.8" customHeight="1">
      <c r="A49" s="148" t="s">
        <v>150</v>
      </c>
      <c r="B49" s="149" t="s">
        <v>377</v>
      </c>
      <c r="C49" s="150">
        <v>37</v>
      </c>
      <c r="D49" s="150">
        <v>0</v>
      </c>
      <c r="E49" s="150">
        <v>0</v>
      </c>
      <c r="F49" s="146" t="s">
        <v>150</v>
      </c>
      <c r="G49" s="150">
        <v>37</v>
      </c>
      <c r="H49" s="150">
        <v>37</v>
      </c>
      <c r="I49" s="150">
        <v>0</v>
      </c>
      <c r="J49" s="150">
        <v>37</v>
      </c>
      <c r="K49" s="150">
        <v>0</v>
      </c>
      <c r="L49" s="150">
        <v>0</v>
      </c>
      <c r="M49" s="146" t="s">
        <v>150</v>
      </c>
      <c r="N49" s="150">
        <v>37</v>
      </c>
      <c r="O49" s="150">
        <v>37</v>
      </c>
      <c r="P49" s="150">
        <v>0</v>
      </c>
      <c r="Q49" s="146" t="s">
        <v>150</v>
      </c>
      <c r="R49" s="146" t="s">
        <v>150</v>
      </c>
      <c r="S49" s="146" t="s">
        <v>150</v>
      </c>
      <c r="T49" s="151" t="s">
        <v>169</v>
      </c>
      <c r="U49" s="146" t="s">
        <v>150</v>
      </c>
      <c r="V49" s="146" t="s">
        <v>150</v>
      </c>
      <c r="W49" s="151" t="s">
        <v>169</v>
      </c>
    </row>
    <row r="50" spans="1:23" ht="28.8" customHeight="1">
      <c r="A50" s="148" t="s">
        <v>150</v>
      </c>
      <c r="B50" s="149" t="s">
        <v>378</v>
      </c>
      <c r="C50" s="150">
        <v>74</v>
      </c>
      <c r="D50" s="150">
        <v>0</v>
      </c>
      <c r="E50" s="150">
        <v>0</v>
      </c>
      <c r="F50" s="146" t="s">
        <v>150</v>
      </c>
      <c r="G50" s="150">
        <v>74</v>
      </c>
      <c r="H50" s="150">
        <v>74</v>
      </c>
      <c r="I50" s="150">
        <v>0</v>
      </c>
      <c r="J50" s="150">
        <v>74</v>
      </c>
      <c r="K50" s="150">
        <v>0</v>
      </c>
      <c r="L50" s="150">
        <v>0</v>
      </c>
      <c r="M50" s="146" t="s">
        <v>150</v>
      </c>
      <c r="N50" s="150">
        <v>74</v>
      </c>
      <c r="O50" s="150">
        <v>74</v>
      </c>
      <c r="P50" s="150">
        <v>0</v>
      </c>
      <c r="Q50" s="146" t="s">
        <v>150</v>
      </c>
      <c r="R50" s="146" t="s">
        <v>150</v>
      </c>
      <c r="S50" s="146" t="s">
        <v>150</v>
      </c>
      <c r="T50" s="151" t="s">
        <v>169</v>
      </c>
      <c r="U50" s="146" t="s">
        <v>150</v>
      </c>
      <c r="V50" s="146" t="s">
        <v>150</v>
      </c>
      <c r="W50" s="151" t="s">
        <v>169</v>
      </c>
    </row>
    <row r="51" spans="1:23" ht="28.8" customHeight="1">
      <c r="A51" s="148" t="s">
        <v>150</v>
      </c>
      <c r="B51" s="149" t="s">
        <v>379</v>
      </c>
      <c r="C51" s="150">
        <v>125</v>
      </c>
      <c r="D51" s="150">
        <v>0</v>
      </c>
      <c r="E51" s="150">
        <v>0</v>
      </c>
      <c r="F51" s="146" t="s">
        <v>150</v>
      </c>
      <c r="G51" s="150">
        <v>125</v>
      </c>
      <c r="H51" s="150">
        <v>125</v>
      </c>
      <c r="I51" s="150">
        <v>0</v>
      </c>
      <c r="J51" s="150">
        <v>125</v>
      </c>
      <c r="K51" s="150">
        <v>0</v>
      </c>
      <c r="L51" s="150">
        <v>0</v>
      </c>
      <c r="M51" s="146" t="s">
        <v>150</v>
      </c>
      <c r="N51" s="150">
        <v>125</v>
      </c>
      <c r="O51" s="150">
        <v>125</v>
      </c>
      <c r="P51" s="150">
        <v>0</v>
      </c>
      <c r="Q51" s="146" t="s">
        <v>150</v>
      </c>
      <c r="R51" s="146" t="s">
        <v>150</v>
      </c>
      <c r="S51" s="146" t="s">
        <v>150</v>
      </c>
      <c r="T51" s="151" t="s">
        <v>169</v>
      </c>
      <c r="U51" s="146" t="s">
        <v>150</v>
      </c>
      <c r="V51" s="146" t="s">
        <v>150</v>
      </c>
      <c r="W51" s="151" t="s">
        <v>169</v>
      </c>
    </row>
    <row r="52" spans="1:23" ht="28.8" customHeight="1">
      <c r="A52" s="148" t="s">
        <v>150</v>
      </c>
      <c r="B52" s="149" t="s">
        <v>380</v>
      </c>
      <c r="C52" s="150">
        <v>129</v>
      </c>
      <c r="D52" s="150">
        <v>0</v>
      </c>
      <c r="E52" s="150">
        <v>0</v>
      </c>
      <c r="F52" s="146" t="s">
        <v>150</v>
      </c>
      <c r="G52" s="150">
        <v>129</v>
      </c>
      <c r="H52" s="150">
        <v>129</v>
      </c>
      <c r="I52" s="150">
        <v>0</v>
      </c>
      <c r="J52" s="150">
        <v>129</v>
      </c>
      <c r="K52" s="150">
        <v>0</v>
      </c>
      <c r="L52" s="150">
        <v>0</v>
      </c>
      <c r="M52" s="146" t="s">
        <v>150</v>
      </c>
      <c r="N52" s="150">
        <v>129</v>
      </c>
      <c r="O52" s="150">
        <v>129</v>
      </c>
      <c r="P52" s="150">
        <v>0</v>
      </c>
      <c r="Q52" s="146" t="s">
        <v>150</v>
      </c>
      <c r="R52" s="146" t="s">
        <v>150</v>
      </c>
      <c r="S52" s="146" t="s">
        <v>150</v>
      </c>
      <c r="T52" s="151" t="s">
        <v>169</v>
      </c>
      <c r="U52" s="146" t="s">
        <v>150</v>
      </c>
      <c r="V52" s="146" t="s">
        <v>150</v>
      </c>
      <c r="W52" s="151" t="s">
        <v>169</v>
      </c>
    </row>
    <row r="53" spans="1:23" ht="28.8" customHeight="1">
      <c r="A53" s="148" t="s">
        <v>150</v>
      </c>
      <c r="B53" s="149" t="s">
        <v>381</v>
      </c>
      <c r="C53" s="150">
        <v>175</v>
      </c>
      <c r="D53" s="150">
        <v>0</v>
      </c>
      <c r="E53" s="150">
        <v>0</v>
      </c>
      <c r="F53" s="146" t="s">
        <v>150</v>
      </c>
      <c r="G53" s="150">
        <v>175</v>
      </c>
      <c r="H53" s="150">
        <v>175</v>
      </c>
      <c r="I53" s="150">
        <v>0</v>
      </c>
      <c r="J53" s="150">
        <v>175</v>
      </c>
      <c r="K53" s="150">
        <v>0</v>
      </c>
      <c r="L53" s="150">
        <v>0</v>
      </c>
      <c r="M53" s="146" t="s">
        <v>150</v>
      </c>
      <c r="N53" s="150">
        <v>175</v>
      </c>
      <c r="O53" s="150">
        <v>175</v>
      </c>
      <c r="P53" s="150">
        <v>0</v>
      </c>
      <c r="Q53" s="146" t="s">
        <v>150</v>
      </c>
      <c r="R53" s="146" t="s">
        <v>150</v>
      </c>
      <c r="S53" s="146" t="s">
        <v>150</v>
      </c>
      <c r="T53" s="151" t="s">
        <v>169</v>
      </c>
      <c r="U53" s="146" t="s">
        <v>150</v>
      </c>
      <c r="V53" s="146" t="s">
        <v>150</v>
      </c>
      <c r="W53" s="151" t="s">
        <v>169</v>
      </c>
    </row>
    <row r="54" spans="1:23" ht="43.8" customHeight="1">
      <c r="A54" s="148" t="s">
        <v>150</v>
      </c>
      <c r="B54" s="149" t="s">
        <v>382</v>
      </c>
      <c r="C54" s="150">
        <v>69</v>
      </c>
      <c r="D54" s="150">
        <v>69</v>
      </c>
      <c r="E54" s="150">
        <v>0</v>
      </c>
      <c r="F54" s="146" t="s">
        <v>150</v>
      </c>
      <c r="G54" s="150">
        <v>0</v>
      </c>
      <c r="H54" s="150">
        <v>0</v>
      </c>
      <c r="I54" s="150">
        <v>0</v>
      </c>
      <c r="J54" s="150">
        <v>69</v>
      </c>
      <c r="K54" s="150">
        <v>69</v>
      </c>
      <c r="L54" s="150">
        <v>0</v>
      </c>
      <c r="M54" s="146" t="s">
        <v>150</v>
      </c>
      <c r="N54" s="150">
        <v>0</v>
      </c>
      <c r="O54" s="150">
        <v>0</v>
      </c>
      <c r="P54" s="150">
        <v>0</v>
      </c>
      <c r="Q54" s="146" t="s">
        <v>150</v>
      </c>
      <c r="R54" s="146" t="s">
        <v>150</v>
      </c>
      <c r="S54" s="146" t="s">
        <v>150</v>
      </c>
      <c r="T54" s="151" t="s">
        <v>169</v>
      </c>
      <c r="U54" s="151" t="s">
        <v>169</v>
      </c>
      <c r="V54" s="146" t="s">
        <v>150</v>
      </c>
      <c r="W54" s="146" t="s">
        <v>150</v>
      </c>
    </row>
    <row r="55" spans="1:23" ht="43.8" customHeight="1">
      <c r="A55" s="148" t="s">
        <v>150</v>
      </c>
      <c r="B55" s="149" t="s">
        <v>383</v>
      </c>
      <c r="C55" s="150">
        <v>342</v>
      </c>
      <c r="D55" s="150">
        <v>342</v>
      </c>
      <c r="E55" s="150">
        <v>0</v>
      </c>
      <c r="F55" s="146" t="s">
        <v>150</v>
      </c>
      <c r="G55" s="150">
        <v>0</v>
      </c>
      <c r="H55" s="150">
        <v>0</v>
      </c>
      <c r="I55" s="150">
        <v>0</v>
      </c>
      <c r="J55" s="150">
        <v>341</v>
      </c>
      <c r="K55" s="150">
        <v>341</v>
      </c>
      <c r="L55" s="150">
        <v>0</v>
      </c>
      <c r="M55" s="146" t="s">
        <v>150</v>
      </c>
      <c r="N55" s="150">
        <v>0</v>
      </c>
      <c r="O55" s="150">
        <v>0</v>
      </c>
      <c r="P55" s="150">
        <v>0</v>
      </c>
      <c r="Q55" s="146" t="s">
        <v>150</v>
      </c>
      <c r="R55" s="146" t="s">
        <v>150</v>
      </c>
      <c r="S55" s="146" t="s">
        <v>150</v>
      </c>
      <c r="T55" s="151" t="s">
        <v>174</v>
      </c>
      <c r="U55" s="151" t="s">
        <v>174</v>
      </c>
      <c r="V55" s="146" t="s">
        <v>150</v>
      </c>
      <c r="W55" s="146" t="s">
        <v>150</v>
      </c>
    </row>
    <row r="56" spans="1:23" ht="43.8" customHeight="1">
      <c r="A56" s="148" t="s">
        <v>150</v>
      </c>
      <c r="B56" s="149" t="s">
        <v>384</v>
      </c>
      <c r="C56" s="150">
        <v>438</v>
      </c>
      <c r="D56" s="150">
        <v>0</v>
      </c>
      <c r="E56" s="150">
        <v>0</v>
      </c>
      <c r="F56" s="146" t="s">
        <v>150</v>
      </c>
      <c r="G56" s="150">
        <v>438</v>
      </c>
      <c r="H56" s="150">
        <v>438</v>
      </c>
      <c r="I56" s="150">
        <v>0</v>
      </c>
      <c r="J56" s="150">
        <v>438</v>
      </c>
      <c r="K56" s="150">
        <v>0</v>
      </c>
      <c r="L56" s="150">
        <v>0</v>
      </c>
      <c r="M56" s="146" t="s">
        <v>150</v>
      </c>
      <c r="N56" s="150">
        <v>438</v>
      </c>
      <c r="O56" s="150">
        <v>438</v>
      </c>
      <c r="P56" s="150">
        <v>0</v>
      </c>
      <c r="Q56" s="146" t="s">
        <v>150</v>
      </c>
      <c r="R56" s="146" t="s">
        <v>150</v>
      </c>
      <c r="S56" s="146" t="s">
        <v>150</v>
      </c>
      <c r="T56" s="151" t="s">
        <v>169</v>
      </c>
      <c r="U56" s="146" t="s">
        <v>150</v>
      </c>
      <c r="V56" s="146" t="s">
        <v>150</v>
      </c>
      <c r="W56" s="151" t="s">
        <v>169</v>
      </c>
    </row>
    <row r="57" spans="1:23" ht="53.4" customHeight="1">
      <c r="A57" s="148" t="s">
        <v>150</v>
      </c>
      <c r="B57" s="149" t="s">
        <v>385</v>
      </c>
      <c r="C57" s="150">
        <v>748</v>
      </c>
      <c r="D57" s="150">
        <v>0</v>
      </c>
      <c r="E57" s="150">
        <v>0</v>
      </c>
      <c r="F57" s="146" t="s">
        <v>150</v>
      </c>
      <c r="G57" s="150">
        <v>748</v>
      </c>
      <c r="H57" s="150">
        <v>748</v>
      </c>
      <c r="I57" s="150">
        <v>0</v>
      </c>
      <c r="J57" s="150">
        <v>748</v>
      </c>
      <c r="K57" s="150">
        <v>0</v>
      </c>
      <c r="L57" s="150">
        <v>0</v>
      </c>
      <c r="M57" s="146" t="s">
        <v>150</v>
      </c>
      <c r="N57" s="150">
        <v>748</v>
      </c>
      <c r="O57" s="150">
        <v>748</v>
      </c>
      <c r="P57" s="150">
        <v>0</v>
      </c>
      <c r="Q57" s="146" t="s">
        <v>150</v>
      </c>
      <c r="R57" s="146" t="s">
        <v>150</v>
      </c>
      <c r="S57" s="146" t="s">
        <v>150</v>
      </c>
      <c r="T57" s="151" t="s">
        <v>169</v>
      </c>
      <c r="U57" s="146" t="s">
        <v>150</v>
      </c>
      <c r="V57" s="146" t="s">
        <v>150</v>
      </c>
      <c r="W57" s="151" t="s">
        <v>169</v>
      </c>
    </row>
    <row r="58" spans="1:23" ht="53.4" customHeight="1">
      <c r="A58" s="148" t="s">
        <v>150</v>
      </c>
      <c r="B58" s="149" t="s">
        <v>386</v>
      </c>
      <c r="C58" s="150">
        <v>727</v>
      </c>
      <c r="D58" s="150">
        <v>0</v>
      </c>
      <c r="E58" s="150">
        <v>0</v>
      </c>
      <c r="F58" s="146" t="s">
        <v>150</v>
      </c>
      <c r="G58" s="150">
        <v>727</v>
      </c>
      <c r="H58" s="150">
        <v>727</v>
      </c>
      <c r="I58" s="150">
        <v>0</v>
      </c>
      <c r="J58" s="150">
        <v>726</v>
      </c>
      <c r="K58" s="150">
        <v>0</v>
      </c>
      <c r="L58" s="150">
        <v>0</v>
      </c>
      <c r="M58" s="146" t="s">
        <v>150</v>
      </c>
      <c r="N58" s="150">
        <v>726</v>
      </c>
      <c r="O58" s="150">
        <v>726</v>
      </c>
      <c r="P58" s="150">
        <v>0</v>
      </c>
      <c r="Q58" s="146" t="s">
        <v>150</v>
      </c>
      <c r="R58" s="146" t="s">
        <v>150</v>
      </c>
      <c r="S58" s="146" t="s">
        <v>150</v>
      </c>
      <c r="T58" s="151" t="s">
        <v>249</v>
      </c>
      <c r="U58" s="146" t="s">
        <v>150</v>
      </c>
      <c r="V58" s="146" t="s">
        <v>150</v>
      </c>
      <c r="W58" s="151" t="s">
        <v>249</v>
      </c>
    </row>
    <row r="59" spans="1:23" ht="53.4" customHeight="1">
      <c r="A59" s="148" t="s">
        <v>150</v>
      </c>
      <c r="B59" s="149" t="s">
        <v>387</v>
      </c>
      <c r="C59" s="150">
        <v>443</v>
      </c>
      <c r="D59" s="150">
        <v>0</v>
      </c>
      <c r="E59" s="150">
        <v>0</v>
      </c>
      <c r="F59" s="146" t="s">
        <v>150</v>
      </c>
      <c r="G59" s="150">
        <v>443</v>
      </c>
      <c r="H59" s="150">
        <v>443</v>
      </c>
      <c r="I59" s="150">
        <v>0</v>
      </c>
      <c r="J59" s="150">
        <v>443</v>
      </c>
      <c r="K59" s="150">
        <v>0</v>
      </c>
      <c r="L59" s="150">
        <v>0</v>
      </c>
      <c r="M59" s="146" t="s">
        <v>150</v>
      </c>
      <c r="N59" s="150">
        <v>443</v>
      </c>
      <c r="O59" s="150">
        <v>443</v>
      </c>
      <c r="P59" s="150">
        <v>0</v>
      </c>
      <c r="Q59" s="146" t="s">
        <v>150</v>
      </c>
      <c r="R59" s="146" t="s">
        <v>150</v>
      </c>
      <c r="S59" s="146" t="s">
        <v>150</v>
      </c>
      <c r="T59" s="151" t="s">
        <v>169</v>
      </c>
      <c r="U59" s="146" t="s">
        <v>150</v>
      </c>
      <c r="V59" s="146" t="s">
        <v>150</v>
      </c>
      <c r="W59" s="151" t="s">
        <v>169</v>
      </c>
    </row>
    <row r="60" spans="1:23" ht="56.4" customHeight="1">
      <c r="A60" s="148" t="s">
        <v>150</v>
      </c>
      <c r="B60" s="149" t="s">
        <v>388</v>
      </c>
      <c r="C60" s="150">
        <v>171</v>
      </c>
      <c r="D60" s="150">
        <v>0</v>
      </c>
      <c r="E60" s="150">
        <v>0</v>
      </c>
      <c r="F60" s="146" t="s">
        <v>150</v>
      </c>
      <c r="G60" s="150">
        <v>171</v>
      </c>
      <c r="H60" s="150">
        <v>171</v>
      </c>
      <c r="I60" s="150">
        <v>0</v>
      </c>
      <c r="J60" s="150">
        <v>170</v>
      </c>
      <c r="K60" s="150">
        <v>0</v>
      </c>
      <c r="L60" s="150">
        <v>0</v>
      </c>
      <c r="M60" s="146" t="s">
        <v>150</v>
      </c>
      <c r="N60" s="150">
        <v>170</v>
      </c>
      <c r="O60" s="150">
        <v>170</v>
      </c>
      <c r="P60" s="150">
        <v>0</v>
      </c>
      <c r="Q60" s="146" t="s">
        <v>150</v>
      </c>
      <c r="R60" s="146" t="s">
        <v>150</v>
      </c>
      <c r="S60" s="146" t="s">
        <v>150</v>
      </c>
      <c r="T60" s="151" t="s">
        <v>313</v>
      </c>
      <c r="U60" s="146" t="s">
        <v>150</v>
      </c>
      <c r="V60" s="146" t="s">
        <v>150</v>
      </c>
      <c r="W60" s="151" t="s">
        <v>313</v>
      </c>
    </row>
    <row r="61" spans="1:23" ht="43.2" customHeight="1">
      <c r="A61" s="148" t="s">
        <v>150</v>
      </c>
      <c r="B61" s="149" t="s">
        <v>389</v>
      </c>
      <c r="C61" s="150">
        <v>397</v>
      </c>
      <c r="D61" s="150">
        <v>0</v>
      </c>
      <c r="E61" s="150">
        <v>0</v>
      </c>
      <c r="F61" s="146" t="s">
        <v>150</v>
      </c>
      <c r="G61" s="150">
        <v>397</v>
      </c>
      <c r="H61" s="150">
        <v>397</v>
      </c>
      <c r="I61" s="150">
        <v>0</v>
      </c>
      <c r="J61" s="150">
        <v>397</v>
      </c>
      <c r="K61" s="150">
        <v>0</v>
      </c>
      <c r="L61" s="150">
        <v>0</v>
      </c>
      <c r="M61" s="146" t="s">
        <v>150</v>
      </c>
      <c r="N61" s="150">
        <v>397</v>
      </c>
      <c r="O61" s="150">
        <v>397</v>
      </c>
      <c r="P61" s="150">
        <v>0</v>
      </c>
      <c r="Q61" s="146" t="s">
        <v>150</v>
      </c>
      <c r="R61" s="146" t="s">
        <v>150</v>
      </c>
      <c r="S61" s="146" t="s">
        <v>150</v>
      </c>
      <c r="T61" s="151" t="s">
        <v>169</v>
      </c>
      <c r="U61" s="146" t="s">
        <v>150</v>
      </c>
      <c r="V61" s="146" t="s">
        <v>150</v>
      </c>
      <c r="W61" s="151" t="s">
        <v>169</v>
      </c>
    </row>
    <row r="62" spans="1:23" ht="39.6" customHeight="1">
      <c r="A62" s="148" t="s">
        <v>150</v>
      </c>
      <c r="B62" s="149" t="s">
        <v>390</v>
      </c>
      <c r="C62" s="150">
        <v>100</v>
      </c>
      <c r="D62" s="150">
        <v>0</v>
      </c>
      <c r="E62" s="150">
        <v>0</v>
      </c>
      <c r="F62" s="146" t="s">
        <v>150</v>
      </c>
      <c r="G62" s="150">
        <v>100</v>
      </c>
      <c r="H62" s="150">
        <v>100</v>
      </c>
      <c r="I62" s="150">
        <v>0</v>
      </c>
      <c r="J62" s="150">
        <v>100</v>
      </c>
      <c r="K62" s="150">
        <v>0</v>
      </c>
      <c r="L62" s="150">
        <v>0</v>
      </c>
      <c r="M62" s="146" t="s">
        <v>150</v>
      </c>
      <c r="N62" s="150">
        <v>100</v>
      </c>
      <c r="O62" s="150">
        <v>100</v>
      </c>
      <c r="P62" s="150">
        <v>0</v>
      </c>
      <c r="Q62" s="146" t="s">
        <v>150</v>
      </c>
      <c r="R62" s="146" t="s">
        <v>150</v>
      </c>
      <c r="S62" s="146" t="s">
        <v>150</v>
      </c>
      <c r="T62" s="151" t="s">
        <v>169</v>
      </c>
      <c r="U62" s="146" t="s">
        <v>150</v>
      </c>
      <c r="V62" s="146" t="s">
        <v>150</v>
      </c>
      <c r="W62" s="151" t="s">
        <v>169</v>
      </c>
    </row>
    <row r="63" spans="1:23" ht="34.200000000000003" customHeight="1">
      <c r="A63" s="148" t="s">
        <v>150</v>
      </c>
      <c r="B63" s="149" t="s">
        <v>391</v>
      </c>
      <c r="C63" s="150">
        <v>67</v>
      </c>
      <c r="D63" s="150">
        <v>0</v>
      </c>
      <c r="E63" s="150">
        <v>0</v>
      </c>
      <c r="F63" s="146" t="s">
        <v>150</v>
      </c>
      <c r="G63" s="150">
        <v>67</v>
      </c>
      <c r="H63" s="150">
        <v>67</v>
      </c>
      <c r="I63" s="150">
        <v>0</v>
      </c>
      <c r="J63" s="150">
        <v>67</v>
      </c>
      <c r="K63" s="150">
        <v>0</v>
      </c>
      <c r="L63" s="150">
        <v>0</v>
      </c>
      <c r="M63" s="146" t="s">
        <v>150</v>
      </c>
      <c r="N63" s="150">
        <v>67</v>
      </c>
      <c r="O63" s="150">
        <v>67</v>
      </c>
      <c r="P63" s="150">
        <v>0</v>
      </c>
      <c r="Q63" s="146" t="s">
        <v>150</v>
      </c>
      <c r="R63" s="146" t="s">
        <v>150</v>
      </c>
      <c r="S63" s="146" t="s">
        <v>150</v>
      </c>
      <c r="T63" s="151" t="s">
        <v>169</v>
      </c>
      <c r="U63" s="146" t="s">
        <v>150</v>
      </c>
      <c r="V63" s="146" t="s">
        <v>150</v>
      </c>
      <c r="W63" s="151" t="s">
        <v>169</v>
      </c>
    </row>
    <row r="64" spans="1:23" ht="34.200000000000003" customHeight="1">
      <c r="A64" s="148" t="s">
        <v>150</v>
      </c>
      <c r="B64" s="149" t="s">
        <v>392</v>
      </c>
      <c r="C64" s="150">
        <v>241</v>
      </c>
      <c r="D64" s="150">
        <v>0</v>
      </c>
      <c r="E64" s="150">
        <v>0</v>
      </c>
      <c r="F64" s="146" t="s">
        <v>150</v>
      </c>
      <c r="G64" s="150">
        <v>241</v>
      </c>
      <c r="H64" s="150">
        <v>241</v>
      </c>
      <c r="I64" s="150">
        <v>0</v>
      </c>
      <c r="J64" s="150">
        <v>241</v>
      </c>
      <c r="K64" s="150">
        <v>0</v>
      </c>
      <c r="L64" s="150">
        <v>0</v>
      </c>
      <c r="M64" s="146" t="s">
        <v>150</v>
      </c>
      <c r="N64" s="150">
        <v>241</v>
      </c>
      <c r="O64" s="150">
        <v>241</v>
      </c>
      <c r="P64" s="150">
        <v>0</v>
      </c>
      <c r="Q64" s="146" t="s">
        <v>150</v>
      </c>
      <c r="R64" s="146" t="s">
        <v>150</v>
      </c>
      <c r="S64" s="146" t="s">
        <v>150</v>
      </c>
      <c r="T64" s="151" t="s">
        <v>169</v>
      </c>
      <c r="U64" s="146" t="s">
        <v>150</v>
      </c>
      <c r="V64" s="146" t="s">
        <v>150</v>
      </c>
      <c r="W64" s="151" t="s">
        <v>169</v>
      </c>
    </row>
    <row r="65" spans="1:23" ht="36">
      <c r="A65" s="148" t="s">
        <v>150</v>
      </c>
      <c r="B65" s="149" t="s">
        <v>393</v>
      </c>
      <c r="C65" s="150">
        <v>108</v>
      </c>
      <c r="D65" s="150">
        <v>0</v>
      </c>
      <c r="E65" s="150">
        <v>0</v>
      </c>
      <c r="F65" s="146" t="s">
        <v>150</v>
      </c>
      <c r="G65" s="150">
        <v>108</v>
      </c>
      <c r="H65" s="150">
        <v>108</v>
      </c>
      <c r="I65" s="150">
        <v>0</v>
      </c>
      <c r="J65" s="150">
        <v>108</v>
      </c>
      <c r="K65" s="150">
        <v>0</v>
      </c>
      <c r="L65" s="150">
        <v>0</v>
      </c>
      <c r="M65" s="146" t="s">
        <v>150</v>
      </c>
      <c r="N65" s="150">
        <v>108</v>
      </c>
      <c r="O65" s="150">
        <v>108</v>
      </c>
      <c r="P65" s="150">
        <v>0</v>
      </c>
      <c r="Q65" s="146" t="s">
        <v>150</v>
      </c>
      <c r="R65" s="146" t="s">
        <v>150</v>
      </c>
      <c r="S65" s="146" t="s">
        <v>150</v>
      </c>
      <c r="T65" s="151" t="s">
        <v>169</v>
      </c>
      <c r="U65" s="146" t="s">
        <v>150</v>
      </c>
      <c r="V65" s="146" t="s">
        <v>150</v>
      </c>
      <c r="W65" s="151" t="s">
        <v>169</v>
      </c>
    </row>
    <row r="66" spans="1:23" ht="41.4" customHeight="1">
      <c r="A66" s="148" t="s">
        <v>150</v>
      </c>
      <c r="B66" s="149" t="s">
        <v>394</v>
      </c>
      <c r="C66" s="150">
        <v>497</v>
      </c>
      <c r="D66" s="150">
        <v>0</v>
      </c>
      <c r="E66" s="150">
        <v>0</v>
      </c>
      <c r="F66" s="146" t="s">
        <v>150</v>
      </c>
      <c r="G66" s="150">
        <v>497</v>
      </c>
      <c r="H66" s="150">
        <v>497</v>
      </c>
      <c r="I66" s="150">
        <v>0</v>
      </c>
      <c r="J66" s="150">
        <v>497</v>
      </c>
      <c r="K66" s="150">
        <v>0</v>
      </c>
      <c r="L66" s="150">
        <v>0</v>
      </c>
      <c r="M66" s="146" t="s">
        <v>150</v>
      </c>
      <c r="N66" s="150">
        <v>497</v>
      </c>
      <c r="O66" s="150">
        <v>497</v>
      </c>
      <c r="P66" s="150">
        <v>0</v>
      </c>
      <c r="Q66" s="146" t="s">
        <v>150</v>
      </c>
      <c r="R66" s="146" t="s">
        <v>150</v>
      </c>
      <c r="S66" s="146" t="s">
        <v>150</v>
      </c>
      <c r="T66" s="151" t="s">
        <v>169</v>
      </c>
      <c r="U66" s="146" t="s">
        <v>150</v>
      </c>
      <c r="V66" s="146" t="s">
        <v>150</v>
      </c>
      <c r="W66" s="151" t="s">
        <v>169</v>
      </c>
    </row>
    <row r="67" spans="1:23" ht="42.6" customHeight="1">
      <c r="A67" s="148" t="s">
        <v>150</v>
      </c>
      <c r="B67" s="149" t="s">
        <v>395</v>
      </c>
      <c r="C67" s="150">
        <v>1126</v>
      </c>
      <c r="D67" s="150">
        <v>0</v>
      </c>
      <c r="E67" s="150">
        <v>0</v>
      </c>
      <c r="F67" s="146" t="s">
        <v>150</v>
      </c>
      <c r="G67" s="150">
        <v>1126</v>
      </c>
      <c r="H67" s="150">
        <v>1126</v>
      </c>
      <c r="I67" s="150">
        <v>0</v>
      </c>
      <c r="J67" s="150">
        <v>1101</v>
      </c>
      <c r="K67" s="150">
        <v>0</v>
      </c>
      <c r="L67" s="150">
        <v>0</v>
      </c>
      <c r="M67" s="146" t="s">
        <v>150</v>
      </c>
      <c r="N67" s="150">
        <v>1101</v>
      </c>
      <c r="O67" s="150">
        <v>1101</v>
      </c>
      <c r="P67" s="150">
        <v>0</v>
      </c>
      <c r="Q67" s="146" t="s">
        <v>150</v>
      </c>
      <c r="R67" s="146" t="s">
        <v>150</v>
      </c>
      <c r="S67" s="146" t="s">
        <v>150</v>
      </c>
      <c r="T67" s="151" t="s">
        <v>229</v>
      </c>
      <c r="U67" s="146" t="s">
        <v>150</v>
      </c>
      <c r="V67" s="146" t="s">
        <v>150</v>
      </c>
      <c r="W67" s="151" t="s">
        <v>229</v>
      </c>
    </row>
    <row r="68" spans="1:23" ht="40.799999999999997" customHeight="1">
      <c r="A68" s="148" t="s">
        <v>150</v>
      </c>
      <c r="B68" s="149" t="s">
        <v>396</v>
      </c>
      <c r="C68" s="150">
        <v>996</v>
      </c>
      <c r="D68" s="150">
        <v>0</v>
      </c>
      <c r="E68" s="150">
        <v>0</v>
      </c>
      <c r="F68" s="146" t="s">
        <v>150</v>
      </c>
      <c r="G68" s="150">
        <v>996</v>
      </c>
      <c r="H68" s="150">
        <v>996</v>
      </c>
      <c r="I68" s="150">
        <v>0</v>
      </c>
      <c r="J68" s="150">
        <v>985</v>
      </c>
      <c r="K68" s="150">
        <v>0</v>
      </c>
      <c r="L68" s="150">
        <v>0</v>
      </c>
      <c r="M68" s="146" t="s">
        <v>150</v>
      </c>
      <c r="N68" s="150">
        <v>985</v>
      </c>
      <c r="O68" s="150">
        <v>985</v>
      </c>
      <c r="P68" s="150">
        <v>0</v>
      </c>
      <c r="Q68" s="146" t="s">
        <v>150</v>
      </c>
      <c r="R68" s="146" t="s">
        <v>150</v>
      </c>
      <c r="S68" s="146" t="s">
        <v>150</v>
      </c>
      <c r="T68" s="151" t="s">
        <v>178</v>
      </c>
      <c r="U68" s="146" t="s">
        <v>150</v>
      </c>
      <c r="V68" s="146" t="s">
        <v>150</v>
      </c>
      <c r="W68" s="151" t="s">
        <v>178</v>
      </c>
    </row>
    <row r="69" spans="1:23" ht="40.799999999999997" customHeight="1">
      <c r="A69" s="148" t="s">
        <v>150</v>
      </c>
      <c r="B69" s="149" t="s">
        <v>397</v>
      </c>
      <c r="C69" s="150">
        <v>518</v>
      </c>
      <c r="D69" s="150">
        <v>0</v>
      </c>
      <c r="E69" s="150">
        <v>0</v>
      </c>
      <c r="F69" s="146" t="s">
        <v>150</v>
      </c>
      <c r="G69" s="150">
        <v>518</v>
      </c>
      <c r="H69" s="150">
        <v>518</v>
      </c>
      <c r="I69" s="150">
        <v>0</v>
      </c>
      <c r="J69" s="150">
        <v>490</v>
      </c>
      <c r="K69" s="150">
        <v>0</v>
      </c>
      <c r="L69" s="150">
        <v>0</v>
      </c>
      <c r="M69" s="146" t="s">
        <v>150</v>
      </c>
      <c r="N69" s="150">
        <v>490</v>
      </c>
      <c r="O69" s="150">
        <v>490</v>
      </c>
      <c r="P69" s="150">
        <v>0</v>
      </c>
      <c r="Q69" s="146" t="s">
        <v>150</v>
      </c>
      <c r="R69" s="146" t="s">
        <v>150</v>
      </c>
      <c r="S69" s="146" t="s">
        <v>150</v>
      </c>
      <c r="T69" s="151" t="s">
        <v>332</v>
      </c>
      <c r="U69" s="146" t="s">
        <v>150</v>
      </c>
      <c r="V69" s="146" t="s">
        <v>150</v>
      </c>
      <c r="W69" s="151" t="s">
        <v>332</v>
      </c>
    </row>
    <row r="70" spans="1:23" ht="40.799999999999997" customHeight="1">
      <c r="A70" s="148" t="s">
        <v>150</v>
      </c>
      <c r="B70" s="149" t="s">
        <v>398</v>
      </c>
      <c r="C70" s="150">
        <v>1422</v>
      </c>
      <c r="D70" s="150">
        <v>0</v>
      </c>
      <c r="E70" s="150">
        <v>0</v>
      </c>
      <c r="F70" s="146" t="s">
        <v>150</v>
      </c>
      <c r="G70" s="150">
        <v>1422</v>
      </c>
      <c r="H70" s="150">
        <v>1422</v>
      </c>
      <c r="I70" s="150">
        <v>0</v>
      </c>
      <c r="J70" s="150">
        <v>1386</v>
      </c>
      <c r="K70" s="150">
        <v>0</v>
      </c>
      <c r="L70" s="150">
        <v>0</v>
      </c>
      <c r="M70" s="146" t="s">
        <v>150</v>
      </c>
      <c r="N70" s="150">
        <v>1386</v>
      </c>
      <c r="O70" s="150">
        <v>1386</v>
      </c>
      <c r="P70" s="150">
        <v>0</v>
      </c>
      <c r="Q70" s="146" t="s">
        <v>150</v>
      </c>
      <c r="R70" s="146" t="s">
        <v>150</v>
      </c>
      <c r="S70" s="146" t="s">
        <v>150</v>
      </c>
      <c r="T70" s="151" t="s">
        <v>335</v>
      </c>
      <c r="U70" s="146" t="s">
        <v>150</v>
      </c>
      <c r="V70" s="146" t="s">
        <v>150</v>
      </c>
      <c r="W70" s="151" t="s">
        <v>335</v>
      </c>
    </row>
    <row r="71" spans="1:23" ht="43.8" customHeight="1">
      <c r="A71" s="148" t="s">
        <v>150</v>
      </c>
      <c r="B71" s="149" t="s">
        <v>342</v>
      </c>
      <c r="C71" s="150">
        <v>508</v>
      </c>
      <c r="D71" s="150">
        <v>0</v>
      </c>
      <c r="E71" s="150">
        <v>0</v>
      </c>
      <c r="F71" s="146" t="s">
        <v>150</v>
      </c>
      <c r="G71" s="150">
        <v>508</v>
      </c>
      <c r="H71" s="150">
        <v>508</v>
      </c>
      <c r="I71" s="150">
        <v>0</v>
      </c>
      <c r="J71" s="150">
        <v>505</v>
      </c>
      <c r="K71" s="150">
        <v>0</v>
      </c>
      <c r="L71" s="150">
        <v>0</v>
      </c>
      <c r="M71" s="146" t="s">
        <v>150</v>
      </c>
      <c r="N71" s="150">
        <v>505</v>
      </c>
      <c r="O71" s="150">
        <v>505</v>
      </c>
      <c r="P71" s="150">
        <v>0</v>
      </c>
      <c r="Q71" s="146" t="s">
        <v>150</v>
      </c>
      <c r="R71" s="146" t="s">
        <v>150</v>
      </c>
      <c r="S71" s="146" t="s">
        <v>150</v>
      </c>
      <c r="T71" s="151" t="s">
        <v>337</v>
      </c>
      <c r="U71" s="146" t="s">
        <v>150</v>
      </c>
      <c r="V71" s="146" t="s">
        <v>150</v>
      </c>
      <c r="W71" s="151" t="s">
        <v>337</v>
      </c>
    </row>
    <row r="72" spans="1:23" ht="43.8" customHeight="1">
      <c r="A72" s="148" t="s">
        <v>150</v>
      </c>
      <c r="B72" s="149" t="s">
        <v>343</v>
      </c>
      <c r="C72" s="150">
        <v>145</v>
      </c>
      <c r="D72" s="150">
        <v>0</v>
      </c>
      <c r="E72" s="150">
        <v>0</v>
      </c>
      <c r="F72" s="146" t="s">
        <v>150</v>
      </c>
      <c r="G72" s="150">
        <v>145</v>
      </c>
      <c r="H72" s="150">
        <v>145</v>
      </c>
      <c r="I72" s="150">
        <v>0</v>
      </c>
      <c r="J72" s="150">
        <v>145</v>
      </c>
      <c r="K72" s="150">
        <v>0</v>
      </c>
      <c r="L72" s="150">
        <v>0</v>
      </c>
      <c r="M72" s="146" t="s">
        <v>150</v>
      </c>
      <c r="N72" s="150">
        <v>145</v>
      </c>
      <c r="O72" s="150">
        <v>145</v>
      </c>
      <c r="P72" s="150">
        <v>0</v>
      </c>
      <c r="Q72" s="146" t="s">
        <v>150</v>
      </c>
      <c r="R72" s="146" t="s">
        <v>150</v>
      </c>
      <c r="S72" s="146" t="s">
        <v>150</v>
      </c>
      <c r="T72" s="151" t="s">
        <v>169</v>
      </c>
      <c r="U72" s="146" t="s">
        <v>150</v>
      </c>
      <c r="V72" s="146" t="s">
        <v>150</v>
      </c>
      <c r="W72" s="151" t="s">
        <v>169</v>
      </c>
    </row>
    <row r="73" spans="1:23" ht="30" customHeight="1">
      <c r="A73" s="148" t="s">
        <v>150</v>
      </c>
      <c r="B73" s="149" t="s">
        <v>344</v>
      </c>
      <c r="C73" s="150">
        <v>120</v>
      </c>
      <c r="D73" s="150">
        <v>0</v>
      </c>
      <c r="E73" s="150">
        <v>0</v>
      </c>
      <c r="F73" s="146" t="s">
        <v>150</v>
      </c>
      <c r="G73" s="150">
        <v>120</v>
      </c>
      <c r="H73" s="150">
        <v>120</v>
      </c>
      <c r="I73" s="150">
        <v>0</v>
      </c>
      <c r="J73" s="150">
        <v>120</v>
      </c>
      <c r="K73" s="150">
        <v>0</v>
      </c>
      <c r="L73" s="150">
        <v>0</v>
      </c>
      <c r="M73" s="146" t="s">
        <v>150</v>
      </c>
      <c r="N73" s="150">
        <v>120</v>
      </c>
      <c r="O73" s="150">
        <v>120</v>
      </c>
      <c r="P73" s="150">
        <v>0</v>
      </c>
      <c r="Q73" s="146" t="s">
        <v>150</v>
      </c>
      <c r="R73" s="146" t="s">
        <v>150</v>
      </c>
      <c r="S73" s="146" t="s">
        <v>150</v>
      </c>
      <c r="T73" s="151" t="s">
        <v>169</v>
      </c>
      <c r="U73" s="146" t="s">
        <v>150</v>
      </c>
      <c r="V73" s="146" t="s">
        <v>150</v>
      </c>
      <c r="W73" s="151" t="s">
        <v>169</v>
      </c>
    </row>
    <row r="74" spans="1:23" ht="30" customHeight="1">
      <c r="A74" s="148" t="s">
        <v>150</v>
      </c>
      <c r="B74" s="149" t="s">
        <v>345</v>
      </c>
      <c r="C74" s="150">
        <v>25</v>
      </c>
      <c r="D74" s="150">
        <v>0</v>
      </c>
      <c r="E74" s="150">
        <v>0</v>
      </c>
      <c r="F74" s="146" t="s">
        <v>150</v>
      </c>
      <c r="G74" s="150">
        <v>25</v>
      </c>
      <c r="H74" s="150">
        <v>25</v>
      </c>
      <c r="I74" s="150">
        <v>0</v>
      </c>
      <c r="J74" s="150">
        <v>25</v>
      </c>
      <c r="K74" s="150">
        <v>0</v>
      </c>
      <c r="L74" s="150">
        <v>0</v>
      </c>
      <c r="M74" s="146" t="s">
        <v>150</v>
      </c>
      <c r="N74" s="150">
        <v>25</v>
      </c>
      <c r="O74" s="150">
        <v>25</v>
      </c>
      <c r="P74" s="150">
        <v>0</v>
      </c>
      <c r="Q74" s="146" t="s">
        <v>150</v>
      </c>
      <c r="R74" s="146" t="s">
        <v>150</v>
      </c>
      <c r="S74" s="146" t="s">
        <v>150</v>
      </c>
      <c r="T74" s="151" t="s">
        <v>169</v>
      </c>
      <c r="U74" s="146" t="s">
        <v>150</v>
      </c>
      <c r="V74" s="146" t="s">
        <v>150</v>
      </c>
      <c r="W74" s="151" t="s">
        <v>169</v>
      </c>
    </row>
    <row r="75" spans="1:23" ht="66" customHeight="1">
      <c r="A75" s="148" t="s">
        <v>150</v>
      </c>
      <c r="B75" s="149" t="s">
        <v>346</v>
      </c>
      <c r="C75" s="150">
        <v>46</v>
      </c>
      <c r="D75" s="150">
        <v>0</v>
      </c>
      <c r="E75" s="150">
        <v>0</v>
      </c>
      <c r="F75" s="146" t="s">
        <v>150</v>
      </c>
      <c r="G75" s="150">
        <v>46</v>
      </c>
      <c r="H75" s="150">
        <v>46</v>
      </c>
      <c r="I75" s="150">
        <v>0</v>
      </c>
      <c r="J75" s="150">
        <v>46</v>
      </c>
      <c r="K75" s="150">
        <v>0</v>
      </c>
      <c r="L75" s="150">
        <v>0</v>
      </c>
      <c r="M75" s="146" t="s">
        <v>150</v>
      </c>
      <c r="N75" s="150">
        <v>46</v>
      </c>
      <c r="O75" s="150">
        <v>46</v>
      </c>
      <c r="P75" s="150">
        <v>0</v>
      </c>
      <c r="Q75" s="146" t="s">
        <v>150</v>
      </c>
      <c r="R75" s="146" t="s">
        <v>150</v>
      </c>
      <c r="S75" s="146" t="s">
        <v>150</v>
      </c>
      <c r="T75" s="151" t="s">
        <v>169</v>
      </c>
      <c r="U75" s="146" t="s">
        <v>150</v>
      </c>
      <c r="V75" s="146" t="s">
        <v>150</v>
      </c>
      <c r="W75" s="151" t="s">
        <v>169</v>
      </c>
    </row>
    <row r="76" spans="1:23" ht="22.8" customHeight="1">
      <c r="A76" s="152" t="s">
        <v>12</v>
      </c>
      <c r="B76" s="153" t="s">
        <v>25</v>
      </c>
      <c r="C76" s="146" t="s">
        <v>150</v>
      </c>
      <c r="D76" s="146" t="s">
        <v>150</v>
      </c>
      <c r="E76" s="146" t="s">
        <v>150</v>
      </c>
      <c r="F76" s="146" t="s">
        <v>150</v>
      </c>
      <c r="G76" s="146" t="s">
        <v>150</v>
      </c>
      <c r="H76" s="146" t="s">
        <v>150</v>
      </c>
      <c r="I76" s="146" t="s">
        <v>150</v>
      </c>
      <c r="J76" s="146" t="s">
        <v>150</v>
      </c>
      <c r="K76" s="146" t="s">
        <v>150</v>
      </c>
      <c r="L76" s="146" t="s">
        <v>150</v>
      </c>
      <c r="M76" s="146" t="s">
        <v>150</v>
      </c>
      <c r="N76" s="146" t="s">
        <v>150</v>
      </c>
      <c r="O76" s="146" t="s">
        <v>150</v>
      </c>
      <c r="P76" s="146" t="s">
        <v>150</v>
      </c>
      <c r="Q76" s="146" t="s">
        <v>150</v>
      </c>
      <c r="R76" s="146" t="s">
        <v>150</v>
      </c>
      <c r="S76" s="146" t="s">
        <v>150</v>
      </c>
      <c r="T76" s="146" t="s">
        <v>150</v>
      </c>
      <c r="U76" s="146" t="s">
        <v>150</v>
      </c>
      <c r="V76" s="146" t="s">
        <v>150</v>
      </c>
      <c r="W76" s="146" t="s">
        <v>150</v>
      </c>
    </row>
    <row r="77" spans="1:23" ht="28.2" customHeight="1">
      <c r="A77" s="152" t="s">
        <v>15</v>
      </c>
      <c r="B77" s="153" t="s">
        <v>221</v>
      </c>
      <c r="C77" s="154">
        <v>0</v>
      </c>
      <c r="D77" s="154">
        <v>0</v>
      </c>
      <c r="E77" s="154">
        <v>0</v>
      </c>
      <c r="F77" s="146" t="s">
        <v>150</v>
      </c>
      <c r="G77" s="154">
        <v>0</v>
      </c>
      <c r="H77" s="154">
        <v>0</v>
      </c>
      <c r="I77" s="154">
        <v>0</v>
      </c>
      <c r="J77" s="154">
        <v>0</v>
      </c>
      <c r="K77" s="154">
        <v>0</v>
      </c>
      <c r="L77" s="154">
        <v>0</v>
      </c>
      <c r="M77" s="146" t="s">
        <v>150</v>
      </c>
      <c r="N77" s="154">
        <v>0</v>
      </c>
      <c r="O77" s="154">
        <v>0</v>
      </c>
      <c r="P77" s="154">
        <v>0</v>
      </c>
      <c r="Q77" s="146" t="s">
        <v>150</v>
      </c>
      <c r="R77" s="146" t="s">
        <v>150</v>
      </c>
      <c r="S77" s="146" t="s">
        <v>150</v>
      </c>
      <c r="T77" s="146" t="s">
        <v>150</v>
      </c>
      <c r="U77" s="146" t="s">
        <v>150</v>
      </c>
      <c r="V77" s="146" t="s">
        <v>150</v>
      </c>
      <c r="W77" s="146" t="s">
        <v>150</v>
      </c>
    </row>
    <row r="78" spans="1:23" ht="28.2" customHeight="1">
      <c r="A78" s="152" t="s">
        <v>16</v>
      </c>
      <c r="B78" s="153" t="s">
        <v>222</v>
      </c>
      <c r="C78" s="146" t="s">
        <v>150</v>
      </c>
      <c r="D78" s="146" t="s">
        <v>150</v>
      </c>
      <c r="E78" s="146" t="s">
        <v>150</v>
      </c>
      <c r="F78" s="146" t="s">
        <v>150</v>
      </c>
      <c r="G78" s="146" t="s">
        <v>150</v>
      </c>
      <c r="H78" s="146" t="s">
        <v>150</v>
      </c>
      <c r="I78" s="146" t="s">
        <v>150</v>
      </c>
      <c r="J78" s="154">
        <v>75</v>
      </c>
      <c r="K78" s="154">
        <v>0</v>
      </c>
      <c r="L78" s="154">
        <v>0</v>
      </c>
      <c r="M78" s="146" t="s">
        <v>150</v>
      </c>
      <c r="N78" s="154">
        <v>0</v>
      </c>
      <c r="O78" s="154">
        <v>0</v>
      </c>
      <c r="P78" s="154">
        <v>0</v>
      </c>
      <c r="Q78" s="155"/>
      <c r="R78" s="146" t="s">
        <v>150</v>
      </c>
      <c r="S78" s="154">
        <v>75</v>
      </c>
      <c r="T78" s="146" t="s">
        <v>150</v>
      </c>
      <c r="U78" s="146" t="s">
        <v>150</v>
      </c>
      <c r="V78" s="146" t="s">
        <v>150</v>
      </c>
      <c r="W78" s="146" t="s">
        <v>150</v>
      </c>
    </row>
    <row r="79" spans="1:23" ht="26.4" customHeight="1">
      <c r="A79" s="156" t="s">
        <v>18</v>
      </c>
      <c r="B79" s="157" t="s">
        <v>223</v>
      </c>
      <c r="C79" s="158" t="s">
        <v>150</v>
      </c>
      <c r="D79" s="158" t="s">
        <v>150</v>
      </c>
      <c r="E79" s="158" t="s">
        <v>150</v>
      </c>
      <c r="F79" s="158" t="s">
        <v>150</v>
      </c>
      <c r="G79" s="158" t="s">
        <v>150</v>
      </c>
      <c r="H79" s="158" t="s">
        <v>150</v>
      </c>
      <c r="I79" s="158" t="s">
        <v>150</v>
      </c>
      <c r="J79" s="159">
        <v>14300</v>
      </c>
      <c r="K79" s="159">
        <v>0</v>
      </c>
      <c r="L79" s="159">
        <v>0</v>
      </c>
      <c r="M79" s="158" t="s">
        <v>150</v>
      </c>
      <c r="N79" s="159">
        <v>0</v>
      </c>
      <c r="O79" s="159">
        <v>0</v>
      </c>
      <c r="P79" s="159">
        <v>0</v>
      </c>
      <c r="Q79" s="159">
        <v>14300</v>
      </c>
      <c r="R79" s="158" t="s">
        <v>150</v>
      </c>
      <c r="S79" s="158" t="s">
        <v>150</v>
      </c>
      <c r="T79" s="158" t="s">
        <v>150</v>
      </c>
      <c r="U79" s="158" t="s">
        <v>150</v>
      </c>
      <c r="V79" s="158" t="s">
        <v>150</v>
      </c>
      <c r="W79" s="158" t="s">
        <v>150</v>
      </c>
    </row>
    <row r="81" spans="20:23">
      <c r="T81" s="59"/>
      <c r="U81" s="59"/>
      <c r="V81" s="59"/>
      <c r="W81" s="59"/>
    </row>
    <row r="82" spans="20:23">
      <c r="T82" s="44"/>
      <c r="U82" s="44"/>
      <c r="V82" s="44"/>
      <c r="W82" s="44"/>
    </row>
    <row r="83" spans="20:23">
      <c r="T83" s="58"/>
      <c r="U83" s="63"/>
      <c r="V83" s="63"/>
      <c r="W83" s="63"/>
    </row>
  </sheetData>
  <mergeCells count="26">
    <mergeCell ref="T1:W1"/>
    <mergeCell ref="U4:W4"/>
    <mergeCell ref="Q6:Q7"/>
    <mergeCell ref="R6:R7"/>
    <mergeCell ref="B5:B7"/>
    <mergeCell ref="C5:I5"/>
    <mergeCell ref="J5:S5"/>
    <mergeCell ref="M6:M7"/>
    <mergeCell ref="C6:C7"/>
    <mergeCell ref="D6:D7"/>
    <mergeCell ref="E6:E7"/>
    <mergeCell ref="A2:W2"/>
    <mergeCell ref="F6:F7"/>
    <mergeCell ref="A3:W3"/>
    <mergeCell ref="A5:A7"/>
    <mergeCell ref="T5:W5"/>
    <mergeCell ref="G6:I6"/>
    <mergeCell ref="J6:J7"/>
    <mergeCell ref="K6:K7"/>
    <mergeCell ref="N6:P6"/>
    <mergeCell ref="S6:S7"/>
    <mergeCell ref="T6:T7"/>
    <mergeCell ref="U6:U7"/>
    <mergeCell ref="V6:V7"/>
    <mergeCell ref="W6:W7"/>
    <mergeCell ref="L6:L7"/>
  </mergeCells>
  <pageMargins left="0.27" right="0.16" top="0.45" bottom="0.21" header="0.5" footer="0.2"/>
  <pageSetup paperSize="9" scale="73" orientation="landscape" verticalDpi="0" r:id="rId1"/>
  <headerFooter differentFirst="1">
    <oddHeader>&amp;C&amp;P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AB79"/>
  <sheetViews>
    <sheetView topLeftCell="G1" workbookViewId="0">
      <selection activeCell="Y1" sqref="Y1:AB1"/>
    </sheetView>
  </sheetViews>
  <sheetFormatPr defaultRowHeight="15.6"/>
  <cols>
    <col min="1" max="1" width="5.19921875" style="58" customWidth="1"/>
    <col min="2" max="2" width="18.3984375" style="58" customWidth="1"/>
    <col min="3" max="3" width="9.3984375" style="58" customWidth="1"/>
    <col min="4" max="4" width="8.59765625" style="58" customWidth="1"/>
    <col min="5" max="5" width="9.3984375" style="58" customWidth="1"/>
    <col min="6" max="6" width="7.8984375" style="58" customWidth="1"/>
    <col min="7" max="7" width="9" style="58" customWidth="1"/>
    <col min="8" max="8" width="8.3984375" style="58" customWidth="1"/>
    <col min="9" max="9" width="8" style="58" customWidth="1"/>
    <col min="10" max="10" width="7.3984375" style="58" customWidth="1"/>
    <col min="11" max="13" width="9.3984375" style="58" customWidth="1"/>
    <col min="14" max="14" width="8.19921875" style="58" customWidth="1"/>
    <col min="15" max="15" width="8.3984375" style="58" customWidth="1"/>
    <col min="16" max="16" width="7.59765625" style="58" customWidth="1"/>
    <col min="17" max="17" width="8.09765625" style="58" customWidth="1"/>
    <col min="18" max="18" width="8" style="58" customWidth="1"/>
    <col min="19" max="19" width="8.59765625" style="58" customWidth="1"/>
    <col min="20" max="20" width="8" style="58" customWidth="1"/>
    <col min="21" max="24" width="9.3984375" style="58" customWidth="1"/>
    <col min="25" max="28" width="7" style="58" customWidth="1"/>
    <col min="29" max="16384" width="8.796875" style="58"/>
  </cols>
  <sheetData>
    <row r="1" spans="1:28" ht="36.6" customHeight="1">
      <c r="Y1" s="228" t="s">
        <v>522</v>
      </c>
      <c r="Z1" s="228"/>
      <c r="AA1" s="228"/>
      <c r="AB1" s="228"/>
    </row>
    <row r="2" spans="1:28" ht="20.399999999999999" customHeight="1">
      <c r="A2" s="203" t="s">
        <v>512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row>
    <row r="3" spans="1:28" ht="19.2" customHeight="1">
      <c r="A3" s="204" t="str">
        <f>+'48'!A3:F3</f>
        <v>(Kèm theo Nghị quyết số  09 /NQ-HĐND ngày 30  tháng 3 năm 2026 của HĐND xã Quang Sơn)</v>
      </c>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row>
    <row r="4" spans="1:28">
      <c r="AB4" s="103" t="s">
        <v>0</v>
      </c>
    </row>
    <row r="5" spans="1:28" ht="19.5" customHeight="1">
      <c r="A5" s="201" t="s">
        <v>1</v>
      </c>
      <c r="B5" s="201" t="s">
        <v>90</v>
      </c>
      <c r="C5" s="201" t="s">
        <v>188</v>
      </c>
      <c r="D5" s="199" t="s">
        <v>150</v>
      </c>
      <c r="E5" s="199" t="s">
        <v>150</v>
      </c>
      <c r="F5" s="199" t="s">
        <v>150</v>
      </c>
      <c r="G5" s="199" t="s">
        <v>150</v>
      </c>
      <c r="H5" s="199" t="s">
        <v>150</v>
      </c>
      <c r="I5" s="199" t="s">
        <v>150</v>
      </c>
      <c r="J5" s="199" t="s">
        <v>150</v>
      </c>
      <c r="K5" s="199" t="s">
        <v>150</v>
      </c>
      <c r="L5" s="199" t="s">
        <v>150</v>
      </c>
      <c r="M5" s="201" t="s">
        <v>189</v>
      </c>
      <c r="N5" s="199" t="s">
        <v>150</v>
      </c>
      <c r="O5" s="199" t="s">
        <v>150</v>
      </c>
      <c r="P5" s="199" t="s">
        <v>150</v>
      </c>
      <c r="Q5" s="199" t="s">
        <v>150</v>
      </c>
      <c r="R5" s="199" t="s">
        <v>150</v>
      </c>
      <c r="S5" s="199" t="s">
        <v>150</v>
      </c>
      <c r="T5" s="199" t="s">
        <v>150</v>
      </c>
      <c r="U5" s="199" t="s">
        <v>150</v>
      </c>
      <c r="V5" s="199" t="s">
        <v>150</v>
      </c>
      <c r="W5" s="201" t="s">
        <v>190</v>
      </c>
      <c r="X5" s="198" t="s">
        <v>191</v>
      </c>
      <c r="Y5" s="201" t="s">
        <v>192</v>
      </c>
      <c r="Z5" s="199" t="s">
        <v>150</v>
      </c>
      <c r="AA5" s="199" t="s">
        <v>150</v>
      </c>
      <c r="AB5" s="199" t="s">
        <v>150</v>
      </c>
    </row>
    <row r="6" spans="1:28" ht="19.5" customHeight="1">
      <c r="A6" s="199" t="s">
        <v>150</v>
      </c>
      <c r="B6" s="199" t="s">
        <v>150</v>
      </c>
      <c r="C6" s="198" t="s">
        <v>193</v>
      </c>
      <c r="D6" s="201" t="s">
        <v>21</v>
      </c>
      <c r="E6" s="199" t="s">
        <v>150</v>
      </c>
      <c r="F6" s="199" t="s">
        <v>150</v>
      </c>
      <c r="G6" s="201" t="s">
        <v>22</v>
      </c>
      <c r="H6" s="199" t="s">
        <v>150</v>
      </c>
      <c r="I6" s="199" t="s">
        <v>150</v>
      </c>
      <c r="J6" s="201" t="s">
        <v>97</v>
      </c>
      <c r="K6" s="199" t="s">
        <v>150</v>
      </c>
      <c r="L6" s="199" t="s">
        <v>150</v>
      </c>
      <c r="M6" s="198" t="s">
        <v>194</v>
      </c>
      <c r="N6" s="201" t="s">
        <v>21</v>
      </c>
      <c r="O6" s="199" t="s">
        <v>150</v>
      </c>
      <c r="P6" s="199" t="s">
        <v>150</v>
      </c>
      <c r="Q6" s="201" t="s">
        <v>22</v>
      </c>
      <c r="R6" s="199" t="s">
        <v>150</v>
      </c>
      <c r="S6" s="199" t="s">
        <v>150</v>
      </c>
      <c r="T6" s="201" t="s">
        <v>97</v>
      </c>
      <c r="U6" s="199" t="s">
        <v>150</v>
      </c>
      <c r="V6" s="199" t="s">
        <v>150</v>
      </c>
      <c r="W6" s="199" t="s">
        <v>150</v>
      </c>
      <c r="X6" s="199" t="s">
        <v>150</v>
      </c>
      <c r="Y6" s="198" t="s">
        <v>195</v>
      </c>
      <c r="Z6" s="198" t="s">
        <v>196</v>
      </c>
      <c r="AA6" s="198" t="s">
        <v>197</v>
      </c>
      <c r="AB6" s="198" t="s">
        <v>198</v>
      </c>
    </row>
    <row r="7" spans="1:28">
      <c r="A7" s="199" t="s">
        <v>150</v>
      </c>
      <c r="B7" s="199" t="s">
        <v>150</v>
      </c>
      <c r="C7" s="199" t="s">
        <v>150</v>
      </c>
      <c r="D7" s="201" t="s">
        <v>91</v>
      </c>
      <c r="E7" s="201" t="s">
        <v>95</v>
      </c>
      <c r="F7" s="199" t="s">
        <v>150</v>
      </c>
      <c r="G7" s="201" t="s">
        <v>91</v>
      </c>
      <c r="H7" s="201" t="s">
        <v>95</v>
      </c>
      <c r="I7" s="199" t="s">
        <v>150</v>
      </c>
      <c r="J7" s="201" t="s">
        <v>91</v>
      </c>
      <c r="K7" s="201" t="s">
        <v>95</v>
      </c>
      <c r="L7" s="199" t="s">
        <v>150</v>
      </c>
      <c r="M7" s="199" t="s">
        <v>150</v>
      </c>
      <c r="N7" s="201" t="s">
        <v>91</v>
      </c>
      <c r="O7" s="201" t="s">
        <v>95</v>
      </c>
      <c r="P7" s="199" t="s">
        <v>150</v>
      </c>
      <c r="Q7" s="201" t="s">
        <v>91</v>
      </c>
      <c r="R7" s="201" t="s">
        <v>95</v>
      </c>
      <c r="S7" s="199" t="s">
        <v>150</v>
      </c>
      <c r="T7" s="201" t="s">
        <v>91</v>
      </c>
      <c r="U7" s="201" t="s">
        <v>95</v>
      </c>
      <c r="V7" s="199" t="s">
        <v>150</v>
      </c>
      <c r="W7" s="199" t="s">
        <v>150</v>
      </c>
      <c r="X7" s="199" t="s">
        <v>150</v>
      </c>
      <c r="Y7" s="199" t="s">
        <v>150</v>
      </c>
      <c r="Z7" s="199" t="s">
        <v>150</v>
      </c>
      <c r="AA7" s="199" t="s">
        <v>150</v>
      </c>
      <c r="AB7" s="199" t="s">
        <v>150</v>
      </c>
    </row>
    <row r="8" spans="1:28" ht="77.25" customHeight="1">
      <c r="A8" s="199" t="s">
        <v>150</v>
      </c>
      <c r="B8" s="199" t="s">
        <v>150</v>
      </c>
      <c r="C8" s="199" t="s">
        <v>150</v>
      </c>
      <c r="D8" s="199" t="s">
        <v>150</v>
      </c>
      <c r="E8" s="123" t="s">
        <v>199</v>
      </c>
      <c r="F8" s="123" t="s">
        <v>167</v>
      </c>
      <c r="G8" s="199" t="s">
        <v>150</v>
      </c>
      <c r="H8" s="123" t="s">
        <v>199</v>
      </c>
      <c r="I8" s="123" t="s">
        <v>167</v>
      </c>
      <c r="J8" s="199" t="s">
        <v>150</v>
      </c>
      <c r="K8" s="123" t="s">
        <v>200</v>
      </c>
      <c r="L8" s="123" t="s">
        <v>201</v>
      </c>
      <c r="M8" s="199" t="s">
        <v>150</v>
      </c>
      <c r="N8" s="199" t="s">
        <v>150</v>
      </c>
      <c r="O8" s="123" t="s">
        <v>199</v>
      </c>
      <c r="P8" s="123" t="s">
        <v>167</v>
      </c>
      <c r="Q8" s="199" t="s">
        <v>150</v>
      </c>
      <c r="R8" s="123" t="s">
        <v>199</v>
      </c>
      <c r="S8" s="123" t="s">
        <v>167</v>
      </c>
      <c r="T8" s="199" t="s">
        <v>150</v>
      </c>
      <c r="U8" s="123" t="s">
        <v>200</v>
      </c>
      <c r="V8" s="123" t="s">
        <v>202</v>
      </c>
      <c r="W8" s="199" t="s">
        <v>150</v>
      </c>
      <c r="X8" s="199" t="s">
        <v>150</v>
      </c>
      <c r="Y8" s="199" t="s">
        <v>150</v>
      </c>
      <c r="Z8" s="199" t="s">
        <v>150</v>
      </c>
      <c r="AA8" s="199" t="s">
        <v>150</v>
      </c>
      <c r="AB8" s="199" t="s">
        <v>150</v>
      </c>
    </row>
    <row r="9" spans="1:28">
      <c r="A9" s="124" t="s">
        <v>5</v>
      </c>
      <c r="B9" s="124" t="s">
        <v>6</v>
      </c>
      <c r="C9" s="124" t="s">
        <v>122</v>
      </c>
      <c r="D9" s="124" t="s">
        <v>123</v>
      </c>
      <c r="E9" s="124" t="s">
        <v>124</v>
      </c>
      <c r="F9" s="124" t="s">
        <v>125</v>
      </c>
      <c r="G9" s="124" t="s">
        <v>126</v>
      </c>
      <c r="H9" s="124" t="s">
        <v>127</v>
      </c>
      <c r="I9" s="124" t="s">
        <v>128</v>
      </c>
      <c r="J9" s="124" t="s">
        <v>129</v>
      </c>
      <c r="K9" s="124" t="s">
        <v>130</v>
      </c>
      <c r="L9" s="124" t="s">
        <v>131</v>
      </c>
      <c r="M9" s="124" t="s">
        <v>132</v>
      </c>
      <c r="N9" s="124" t="s">
        <v>133</v>
      </c>
      <c r="O9" s="124" t="s">
        <v>134</v>
      </c>
      <c r="P9" s="124" t="s">
        <v>135</v>
      </c>
      <c r="Q9" s="124" t="s">
        <v>136</v>
      </c>
      <c r="R9" s="124" t="s">
        <v>137</v>
      </c>
      <c r="S9" s="124" t="s">
        <v>138</v>
      </c>
      <c r="T9" s="124" t="s">
        <v>139</v>
      </c>
      <c r="U9" s="124" t="s">
        <v>140</v>
      </c>
      <c r="V9" s="124" t="s">
        <v>141</v>
      </c>
      <c r="W9" s="124" t="s">
        <v>142</v>
      </c>
      <c r="X9" s="124" t="s">
        <v>143</v>
      </c>
      <c r="Y9" s="124" t="s">
        <v>203</v>
      </c>
      <c r="Z9" s="124" t="s">
        <v>204</v>
      </c>
      <c r="AA9" s="124" t="s">
        <v>205</v>
      </c>
      <c r="AB9" s="124" t="s">
        <v>206</v>
      </c>
    </row>
    <row r="10" spans="1:28" ht="18" customHeight="1">
      <c r="A10" s="125" t="s">
        <v>150</v>
      </c>
      <c r="B10" s="123" t="s">
        <v>168</v>
      </c>
      <c r="C10" s="126">
        <v>126945</v>
      </c>
      <c r="D10" s="126">
        <v>5710</v>
      </c>
      <c r="E10" s="126">
        <v>5300</v>
      </c>
      <c r="F10" s="126">
        <v>0</v>
      </c>
      <c r="G10" s="126">
        <v>99447</v>
      </c>
      <c r="H10" s="126">
        <v>57758</v>
      </c>
      <c r="I10" s="126">
        <v>0</v>
      </c>
      <c r="J10" s="126">
        <v>21788</v>
      </c>
      <c r="K10" s="126">
        <v>15543</v>
      </c>
      <c r="L10" s="126">
        <v>6244</v>
      </c>
      <c r="M10" s="126">
        <f>+N10+Q10+W10+X10+T10</f>
        <v>138427</v>
      </c>
      <c r="N10" s="126">
        <v>5686</v>
      </c>
      <c r="O10" s="126">
        <v>5276</v>
      </c>
      <c r="P10" s="126">
        <v>0</v>
      </c>
      <c r="Q10" s="126">
        <v>97225</v>
      </c>
      <c r="R10" s="126">
        <v>57689</v>
      </c>
      <c r="S10" s="126">
        <v>0</v>
      </c>
      <c r="T10" s="126">
        <v>21141</v>
      </c>
      <c r="U10" s="126">
        <v>15440</v>
      </c>
      <c r="V10" s="126">
        <v>5701</v>
      </c>
      <c r="W10" s="126">
        <v>75</v>
      </c>
      <c r="X10" s="126">
        <v>14300</v>
      </c>
      <c r="Y10" s="127">
        <f>+M10/C10</f>
        <v>1.0904486194808776</v>
      </c>
      <c r="Z10" s="128" t="s">
        <v>170</v>
      </c>
      <c r="AA10" s="128" t="s">
        <v>230</v>
      </c>
      <c r="AB10" s="128" t="s">
        <v>231</v>
      </c>
    </row>
    <row r="11" spans="1:28" ht="35.4" customHeight="1">
      <c r="A11" s="160" t="s">
        <v>122</v>
      </c>
      <c r="B11" s="161" t="s">
        <v>232</v>
      </c>
      <c r="C11" s="162">
        <v>7730</v>
      </c>
      <c r="D11" s="162">
        <v>0</v>
      </c>
      <c r="E11" s="162">
        <v>0</v>
      </c>
      <c r="F11" s="162">
        <v>0</v>
      </c>
      <c r="G11" s="162">
        <v>7730</v>
      </c>
      <c r="H11" s="162">
        <v>7730</v>
      </c>
      <c r="I11" s="162">
        <v>0</v>
      </c>
      <c r="J11" s="162">
        <v>0</v>
      </c>
      <c r="K11" s="162">
        <v>0</v>
      </c>
      <c r="L11" s="162">
        <v>0</v>
      </c>
      <c r="M11" s="162">
        <v>7729</v>
      </c>
      <c r="N11" s="162">
        <v>0</v>
      </c>
      <c r="O11" s="162">
        <v>0</v>
      </c>
      <c r="P11" s="162">
        <v>0</v>
      </c>
      <c r="Q11" s="162">
        <v>7729</v>
      </c>
      <c r="R11" s="162">
        <v>7729</v>
      </c>
      <c r="S11" s="162">
        <v>0</v>
      </c>
      <c r="T11" s="162">
        <v>0</v>
      </c>
      <c r="U11" s="162">
        <v>0</v>
      </c>
      <c r="V11" s="162">
        <v>0</v>
      </c>
      <c r="W11" s="162">
        <v>0</v>
      </c>
      <c r="X11" s="162">
        <v>0</v>
      </c>
      <c r="Y11" s="163" t="s">
        <v>220</v>
      </c>
      <c r="Z11" s="140" t="s">
        <v>150</v>
      </c>
      <c r="AA11" s="163" t="s">
        <v>220</v>
      </c>
      <c r="AB11" s="140" t="s">
        <v>150</v>
      </c>
    </row>
    <row r="12" spans="1:28" ht="35.4" customHeight="1">
      <c r="A12" s="143" t="s">
        <v>123</v>
      </c>
      <c r="B12" s="144" t="s">
        <v>233</v>
      </c>
      <c r="C12" s="145">
        <v>7738</v>
      </c>
      <c r="D12" s="145">
        <v>0</v>
      </c>
      <c r="E12" s="145">
        <v>0</v>
      </c>
      <c r="F12" s="145">
        <v>0</v>
      </c>
      <c r="G12" s="145">
        <v>7738</v>
      </c>
      <c r="H12" s="145">
        <v>7738</v>
      </c>
      <c r="I12" s="145">
        <v>0</v>
      </c>
      <c r="J12" s="145">
        <v>0</v>
      </c>
      <c r="K12" s="145">
        <v>0</v>
      </c>
      <c r="L12" s="145">
        <v>0</v>
      </c>
      <c r="M12" s="145">
        <v>7736</v>
      </c>
      <c r="N12" s="145">
        <v>0</v>
      </c>
      <c r="O12" s="145">
        <v>0</v>
      </c>
      <c r="P12" s="145">
        <v>0</v>
      </c>
      <c r="Q12" s="145">
        <v>7736</v>
      </c>
      <c r="R12" s="145">
        <v>7736</v>
      </c>
      <c r="S12" s="145">
        <v>0</v>
      </c>
      <c r="T12" s="145">
        <v>0</v>
      </c>
      <c r="U12" s="145">
        <v>0</v>
      </c>
      <c r="V12" s="145">
        <v>0</v>
      </c>
      <c r="W12" s="145">
        <v>0</v>
      </c>
      <c r="X12" s="145">
        <v>0</v>
      </c>
      <c r="Y12" s="147" t="s">
        <v>234</v>
      </c>
      <c r="Z12" s="146" t="s">
        <v>150</v>
      </c>
      <c r="AA12" s="147" t="s">
        <v>234</v>
      </c>
      <c r="AB12" s="146" t="s">
        <v>150</v>
      </c>
    </row>
    <row r="13" spans="1:28" ht="35.4" customHeight="1">
      <c r="A13" s="143" t="s">
        <v>124</v>
      </c>
      <c r="B13" s="144" t="s">
        <v>235</v>
      </c>
      <c r="C13" s="145">
        <v>5270</v>
      </c>
      <c r="D13" s="145">
        <v>0</v>
      </c>
      <c r="E13" s="145">
        <v>0</v>
      </c>
      <c r="F13" s="145">
        <v>0</v>
      </c>
      <c r="G13" s="145">
        <v>5270</v>
      </c>
      <c r="H13" s="145">
        <v>5270</v>
      </c>
      <c r="I13" s="145">
        <v>0</v>
      </c>
      <c r="J13" s="145">
        <v>0</v>
      </c>
      <c r="K13" s="145">
        <v>0</v>
      </c>
      <c r="L13" s="145">
        <v>0</v>
      </c>
      <c r="M13" s="145">
        <v>5268</v>
      </c>
      <c r="N13" s="145">
        <v>0</v>
      </c>
      <c r="O13" s="145">
        <v>0</v>
      </c>
      <c r="P13" s="145">
        <v>0</v>
      </c>
      <c r="Q13" s="145">
        <v>5268</v>
      </c>
      <c r="R13" s="145">
        <v>5268</v>
      </c>
      <c r="S13" s="145">
        <v>0</v>
      </c>
      <c r="T13" s="145">
        <v>0</v>
      </c>
      <c r="U13" s="145">
        <v>0</v>
      </c>
      <c r="V13" s="145">
        <v>0</v>
      </c>
      <c r="W13" s="145">
        <v>0</v>
      </c>
      <c r="X13" s="145">
        <v>0</v>
      </c>
      <c r="Y13" s="147" t="s">
        <v>236</v>
      </c>
      <c r="Z13" s="146" t="s">
        <v>150</v>
      </c>
      <c r="AA13" s="147" t="s">
        <v>236</v>
      </c>
      <c r="AB13" s="146" t="s">
        <v>150</v>
      </c>
    </row>
    <row r="14" spans="1:28" ht="35.4" customHeight="1">
      <c r="A14" s="143" t="s">
        <v>125</v>
      </c>
      <c r="B14" s="144" t="s">
        <v>237</v>
      </c>
      <c r="C14" s="145">
        <v>9135</v>
      </c>
      <c r="D14" s="145">
        <v>0</v>
      </c>
      <c r="E14" s="145">
        <v>0</v>
      </c>
      <c r="F14" s="145">
        <v>0</v>
      </c>
      <c r="G14" s="145">
        <v>9135</v>
      </c>
      <c r="H14" s="145">
        <v>9135</v>
      </c>
      <c r="I14" s="145">
        <v>0</v>
      </c>
      <c r="J14" s="145">
        <v>0</v>
      </c>
      <c r="K14" s="145">
        <v>0</v>
      </c>
      <c r="L14" s="145">
        <v>0</v>
      </c>
      <c r="M14" s="145">
        <v>9133</v>
      </c>
      <c r="N14" s="145">
        <v>0</v>
      </c>
      <c r="O14" s="145">
        <v>0</v>
      </c>
      <c r="P14" s="145">
        <v>0</v>
      </c>
      <c r="Q14" s="145">
        <v>9133</v>
      </c>
      <c r="R14" s="145">
        <v>9133</v>
      </c>
      <c r="S14" s="145">
        <v>0</v>
      </c>
      <c r="T14" s="145">
        <v>0</v>
      </c>
      <c r="U14" s="145">
        <v>0</v>
      </c>
      <c r="V14" s="145">
        <v>0</v>
      </c>
      <c r="W14" s="145">
        <v>0</v>
      </c>
      <c r="X14" s="145">
        <v>0</v>
      </c>
      <c r="Y14" s="147" t="s">
        <v>238</v>
      </c>
      <c r="Z14" s="146" t="s">
        <v>150</v>
      </c>
      <c r="AA14" s="147" t="s">
        <v>238</v>
      </c>
      <c r="AB14" s="146" t="s">
        <v>150</v>
      </c>
    </row>
    <row r="15" spans="1:28" ht="38.4" customHeight="1">
      <c r="A15" s="143" t="s">
        <v>126</v>
      </c>
      <c r="B15" s="144" t="s">
        <v>239</v>
      </c>
      <c r="C15" s="145">
        <v>10325</v>
      </c>
      <c r="D15" s="145">
        <v>0</v>
      </c>
      <c r="E15" s="145">
        <v>0</v>
      </c>
      <c r="F15" s="145">
        <v>0</v>
      </c>
      <c r="G15" s="145">
        <v>10325</v>
      </c>
      <c r="H15" s="145">
        <v>10325</v>
      </c>
      <c r="I15" s="145">
        <v>0</v>
      </c>
      <c r="J15" s="145">
        <v>0</v>
      </c>
      <c r="K15" s="145">
        <v>0</v>
      </c>
      <c r="L15" s="145">
        <v>0</v>
      </c>
      <c r="M15" s="145">
        <v>10323</v>
      </c>
      <c r="N15" s="145">
        <v>0</v>
      </c>
      <c r="O15" s="145">
        <v>0</v>
      </c>
      <c r="P15" s="145">
        <v>0</v>
      </c>
      <c r="Q15" s="145">
        <v>10323</v>
      </c>
      <c r="R15" s="145">
        <v>10323</v>
      </c>
      <c r="S15" s="145">
        <v>0</v>
      </c>
      <c r="T15" s="145">
        <v>0</v>
      </c>
      <c r="U15" s="145">
        <v>0</v>
      </c>
      <c r="V15" s="145">
        <v>0</v>
      </c>
      <c r="W15" s="145">
        <v>0</v>
      </c>
      <c r="X15" s="145">
        <v>0</v>
      </c>
      <c r="Y15" s="147" t="s">
        <v>238</v>
      </c>
      <c r="Z15" s="146" t="s">
        <v>150</v>
      </c>
      <c r="AA15" s="147" t="s">
        <v>238</v>
      </c>
      <c r="AB15" s="146" t="s">
        <v>150</v>
      </c>
    </row>
    <row r="16" spans="1:28" ht="35.4" customHeight="1">
      <c r="A16" s="143" t="s">
        <v>127</v>
      </c>
      <c r="B16" s="144" t="s">
        <v>240</v>
      </c>
      <c r="C16" s="145">
        <v>11576</v>
      </c>
      <c r="D16" s="145">
        <v>0</v>
      </c>
      <c r="E16" s="145">
        <v>0</v>
      </c>
      <c r="F16" s="145">
        <v>0</v>
      </c>
      <c r="G16" s="145">
        <v>11576</v>
      </c>
      <c r="H16" s="145">
        <v>11576</v>
      </c>
      <c r="I16" s="145">
        <v>0</v>
      </c>
      <c r="J16" s="145">
        <v>0</v>
      </c>
      <c r="K16" s="145">
        <v>0</v>
      </c>
      <c r="L16" s="145">
        <v>0</v>
      </c>
      <c r="M16" s="145">
        <v>11569</v>
      </c>
      <c r="N16" s="145">
        <v>0</v>
      </c>
      <c r="O16" s="145">
        <v>0</v>
      </c>
      <c r="P16" s="145">
        <v>0</v>
      </c>
      <c r="Q16" s="145">
        <v>11569</v>
      </c>
      <c r="R16" s="145">
        <v>11569</v>
      </c>
      <c r="S16" s="145">
        <v>0</v>
      </c>
      <c r="T16" s="145">
        <v>0</v>
      </c>
      <c r="U16" s="145">
        <v>0</v>
      </c>
      <c r="V16" s="145">
        <v>0</v>
      </c>
      <c r="W16" s="145">
        <v>0</v>
      </c>
      <c r="X16" s="145">
        <v>0</v>
      </c>
      <c r="Y16" s="147" t="s">
        <v>241</v>
      </c>
      <c r="Z16" s="146" t="s">
        <v>150</v>
      </c>
      <c r="AA16" s="147" t="s">
        <v>241</v>
      </c>
      <c r="AB16" s="146" t="s">
        <v>150</v>
      </c>
    </row>
    <row r="17" spans="1:28" ht="35.4" customHeight="1">
      <c r="A17" s="143" t="s">
        <v>128</v>
      </c>
      <c r="B17" s="144" t="s">
        <v>242</v>
      </c>
      <c r="C17" s="145">
        <v>5835</v>
      </c>
      <c r="D17" s="145">
        <v>0</v>
      </c>
      <c r="E17" s="145">
        <v>0</v>
      </c>
      <c r="F17" s="145">
        <v>0</v>
      </c>
      <c r="G17" s="145">
        <v>5835</v>
      </c>
      <c r="H17" s="145">
        <v>5835</v>
      </c>
      <c r="I17" s="145">
        <v>0</v>
      </c>
      <c r="J17" s="145">
        <v>0</v>
      </c>
      <c r="K17" s="145">
        <v>0</v>
      </c>
      <c r="L17" s="145">
        <v>0</v>
      </c>
      <c r="M17" s="145">
        <v>5828</v>
      </c>
      <c r="N17" s="145">
        <v>0</v>
      </c>
      <c r="O17" s="145">
        <v>0</v>
      </c>
      <c r="P17" s="145">
        <v>0</v>
      </c>
      <c r="Q17" s="145">
        <v>5828</v>
      </c>
      <c r="R17" s="145">
        <v>5828</v>
      </c>
      <c r="S17" s="145">
        <v>0</v>
      </c>
      <c r="T17" s="145">
        <v>0</v>
      </c>
      <c r="U17" s="145">
        <v>0</v>
      </c>
      <c r="V17" s="145">
        <v>0</v>
      </c>
      <c r="W17" s="145">
        <v>0</v>
      </c>
      <c r="X17" s="145">
        <v>0</v>
      </c>
      <c r="Y17" s="147" t="s">
        <v>243</v>
      </c>
      <c r="Z17" s="146" t="s">
        <v>150</v>
      </c>
      <c r="AA17" s="147" t="s">
        <v>243</v>
      </c>
      <c r="AB17" s="146" t="s">
        <v>150</v>
      </c>
    </row>
    <row r="18" spans="1:28" ht="35.4" customHeight="1">
      <c r="A18" s="143" t="s">
        <v>129</v>
      </c>
      <c r="B18" s="144" t="s">
        <v>226</v>
      </c>
      <c r="C18" s="145">
        <v>6976</v>
      </c>
      <c r="D18" s="145">
        <v>0</v>
      </c>
      <c r="E18" s="145">
        <v>0</v>
      </c>
      <c r="F18" s="145">
        <v>0</v>
      </c>
      <c r="G18" s="145">
        <v>6659</v>
      </c>
      <c r="H18" s="145">
        <v>0</v>
      </c>
      <c r="I18" s="145">
        <v>0</v>
      </c>
      <c r="J18" s="145">
        <v>317</v>
      </c>
      <c r="K18" s="145">
        <v>0</v>
      </c>
      <c r="L18" s="145">
        <v>317</v>
      </c>
      <c r="M18" s="145">
        <v>6332</v>
      </c>
      <c r="N18" s="145">
        <v>0</v>
      </c>
      <c r="O18" s="145">
        <v>0</v>
      </c>
      <c r="P18" s="145">
        <v>0</v>
      </c>
      <c r="Q18" s="145">
        <v>6136</v>
      </c>
      <c r="R18" s="145">
        <v>0</v>
      </c>
      <c r="S18" s="145">
        <v>0</v>
      </c>
      <c r="T18" s="145">
        <v>196</v>
      </c>
      <c r="U18" s="145">
        <v>0</v>
      </c>
      <c r="V18" s="145">
        <v>196</v>
      </c>
      <c r="W18" s="145">
        <v>0</v>
      </c>
      <c r="X18" s="145">
        <v>0</v>
      </c>
      <c r="Y18" s="147" t="s">
        <v>244</v>
      </c>
      <c r="Z18" s="146" t="s">
        <v>150</v>
      </c>
      <c r="AA18" s="147" t="s">
        <v>245</v>
      </c>
      <c r="AB18" s="147" t="s">
        <v>246</v>
      </c>
    </row>
    <row r="19" spans="1:28" ht="39.6" customHeight="1">
      <c r="A19" s="143" t="s">
        <v>130</v>
      </c>
      <c r="B19" s="144" t="s">
        <v>247</v>
      </c>
      <c r="C19" s="145">
        <v>2072</v>
      </c>
      <c r="D19" s="145">
        <v>0</v>
      </c>
      <c r="E19" s="145">
        <v>0</v>
      </c>
      <c r="F19" s="145">
        <v>0</v>
      </c>
      <c r="G19" s="145">
        <v>2072</v>
      </c>
      <c r="H19" s="145">
        <v>0</v>
      </c>
      <c r="I19" s="145">
        <v>0</v>
      </c>
      <c r="J19" s="145">
        <v>0</v>
      </c>
      <c r="K19" s="145">
        <v>0</v>
      </c>
      <c r="L19" s="145">
        <v>0</v>
      </c>
      <c r="M19" s="145">
        <v>2070</v>
      </c>
      <c r="N19" s="145">
        <v>0</v>
      </c>
      <c r="O19" s="145">
        <v>0</v>
      </c>
      <c r="P19" s="145">
        <v>0</v>
      </c>
      <c r="Q19" s="145">
        <v>2070</v>
      </c>
      <c r="R19" s="145">
        <v>0</v>
      </c>
      <c r="S19" s="145">
        <v>0</v>
      </c>
      <c r="T19" s="145">
        <v>0</v>
      </c>
      <c r="U19" s="145">
        <v>0</v>
      </c>
      <c r="V19" s="145">
        <v>0</v>
      </c>
      <c r="W19" s="145">
        <v>0</v>
      </c>
      <c r="X19" s="145">
        <v>0</v>
      </c>
      <c r="Y19" s="147" t="s">
        <v>184</v>
      </c>
      <c r="Z19" s="146" t="s">
        <v>150</v>
      </c>
      <c r="AA19" s="147" t="s">
        <v>184</v>
      </c>
      <c r="AB19" s="146" t="s">
        <v>150</v>
      </c>
    </row>
    <row r="20" spans="1:28" ht="39.6" customHeight="1">
      <c r="A20" s="143" t="s">
        <v>131</v>
      </c>
      <c r="B20" s="144" t="s">
        <v>248</v>
      </c>
      <c r="C20" s="145">
        <v>1422</v>
      </c>
      <c r="D20" s="145">
        <v>0</v>
      </c>
      <c r="E20" s="145">
        <v>0</v>
      </c>
      <c r="F20" s="145">
        <v>0</v>
      </c>
      <c r="G20" s="145">
        <v>1422</v>
      </c>
      <c r="H20" s="145">
        <v>0</v>
      </c>
      <c r="I20" s="145">
        <v>0</v>
      </c>
      <c r="J20" s="145">
        <v>0</v>
      </c>
      <c r="K20" s="145">
        <v>0</v>
      </c>
      <c r="L20" s="145">
        <v>0</v>
      </c>
      <c r="M20" s="145">
        <v>1420</v>
      </c>
      <c r="N20" s="145">
        <v>0</v>
      </c>
      <c r="O20" s="145">
        <v>0</v>
      </c>
      <c r="P20" s="145">
        <v>0</v>
      </c>
      <c r="Q20" s="145">
        <v>1420</v>
      </c>
      <c r="R20" s="145">
        <v>0</v>
      </c>
      <c r="S20" s="145">
        <v>0</v>
      </c>
      <c r="T20" s="145">
        <v>0</v>
      </c>
      <c r="U20" s="145">
        <v>0</v>
      </c>
      <c r="V20" s="145">
        <v>0</v>
      </c>
      <c r="W20" s="145">
        <v>0</v>
      </c>
      <c r="X20" s="145">
        <v>0</v>
      </c>
      <c r="Y20" s="147" t="s">
        <v>249</v>
      </c>
      <c r="Z20" s="146" t="s">
        <v>150</v>
      </c>
      <c r="AA20" s="147" t="s">
        <v>249</v>
      </c>
      <c r="AB20" s="146" t="s">
        <v>150</v>
      </c>
    </row>
    <row r="21" spans="1:28" ht="35.4" customHeight="1">
      <c r="A21" s="143" t="s">
        <v>132</v>
      </c>
      <c r="B21" s="144" t="s">
        <v>250</v>
      </c>
      <c r="C21" s="145">
        <v>4172</v>
      </c>
      <c r="D21" s="145">
        <v>0</v>
      </c>
      <c r="E21" s="145">
        <v>0</v>
      </c>
      <c r="F21" s="145">
        <v>0</v>
      </c>
      <c r="G21" s="145">
        <v>4172</v>
      </c>
      <c r="H21" s="145">
        <v>0</v>
      </c>
      <c r="I21" s="145">
        <v>0</v>
      </c>
      <c r="J21" s="145">
        <v>0</v>
      </c>
      <c r="K21" s="145">
        <v>0</v>
      </c>
      <c r="L21" s="145">
        <v>0</v>
      </c>
      <c r="M21" s="145">
        <v>4152</v>
      </c>
      <c r="N21" s="145">
        <v>0</v>
      </c>
      <c r="O21" s="145">
        <v>0</v>
      </c>
      <c r="P21" s="145">
        <v>0</v>
      </c>
      <c r="Q21" s="145">
        <v>4152</v>
      </c>
      <c r="R21" s="145">
        <v>0</v>
      </c>
      <c r="S21" s="145">
        <v>0</v>
      </c>
      <c r="T21" s="145">
        <v>0</v>
      </c>
      <c r="U21" s="145">
        <v>0</v>
      </c>
      <c r="V21" s="145">
        <v>0</v>
      </c>
      <c r="W21" s="145">
        <v>0</v>
      </c>
      <c r="X21" s="145">
        <v>0</v>
      </c>
      <c r="Y21" s="147" t="s">
        <v>172</v>
      </c>
      <c r="Z21" s="146" t="s">
        <v>150</v>
      </c>
      <c r="AA21" s="147" t="s">
        <v>172</v>
      </c>
      <c r="AB21" s="146" t="s">
        <v>150</v>
      </c>
    </row>
    <row r="22" spans="1:28" ht="35.4" customHeight="1">
      <c r="A22" s="143" t="s">
        <v>133</v>
      </c>
      <c r="B22" s="144" t="s">
        <v>227</v>
      </c>
      <c r="C22" s="145">
        <v>7912</v>
      </c>
      <c r="D22" s="145">
        <v>0</v>
      </c>
      <c r="E22" s="145">
        <v>0</v>
      </c>
      <c r="F22" s="145">
        <v>0</v>
      </c>
      <c r="G22" s="145">
        <v>5660</v>
      </c>
      <c r="H22" s="145">
        <v>147</v>
      </c>
      <c r="I22" s="145">
        <v>0</v>
      </c>
      <c r="J22" s="145">
        <v>2252</v>
      </c>
      <c r="K22" s="145">
        <v>0</v>
      </c>
      <c r="L22" s="145">
        <v>2252</v>
      </c>
      <c r="M22" s="145">
        <v>6554</v>
      </c>
      <c r="N22" s="145">
        <v>0</v>
      </c>
      <c r="O22" s="145">
        <v>0</v>
      </c>
      <c r="P22" s="145">
        <v>0</v>
      </c>
      <c r="Q22" s="145">
        <v>4399</v>
      </c>
      <c r="R22" s="145">
        <v>102</v>
      </c>
      <c r="S22" s="145">
        <v>0</v>
      </c>
      <c r="T22" s="145">
        <v>2155</v>
      </c>
      <c r="U22" s="145">
        <v>0</v>
      </c>
      <c r="V22" s="145">
        <v>2155</v>
      </c>
      <c r="W22" s="145">
        <v>0</v>
      </c>
      <c r="X22" s="145">
        <v>0</v>
      </c>
      <c r="Y22" s="147" t="s">
        <v>251</v>
      </c>
      <c r="Z22" s="146" t="s">
        <v>150</v>
      </c>
      <c r="AA22" s="147" t="s">
        <v>252</v>
      </c>
      <c r="AB22" s="147" t="s">
        <v>253</v>
      </c>
    </row>
    <row r="23" spans="1:28" ht="35.4" customHeight="1">
      <c r="A23" s="143" t="s">
        <v>134</v>
      </c>
      <c r="B23" s="144" t="s">
        <v>254</v>
      </c>
      <c r="C23" s="145">
        <v>19886</v>
      </c>
      <c r="D23" s="145">
        <v>0</v>
      </c>
      <c r="E23" s="145">
        <v>0</v>
      </c>
      <c r="F23" s="145">
        <v>0</v>
      </c>
      <c r="G23" s="145">
        <v>19886</v>
      </c>
      <c r="H23" s="145">
        <v>0</v>
      </c>
      <c r="I23" s="145">
        <v>0</v>
      </c>
      <c r="J23" s="145">
        <v>0</v>
      </c>
      <c r="K23" s="145">
        <v>0</v>
      </c>
      <c r="L23" s="145">
        <v>0</v>
      </c>
      <c r="M23" s="145">
        <v>19751</v>
      </c>
      <c r="N23" s="145">
        <v>0</v>
      </c>
      <c r="O23" s="145">
        <v>0</v>
      </c>
      <c r="P23" s="145">
        <v>0</v>
      </c>
      <c r="Q23" s="145">
        <v>19751</v>
      </c>
      <c r="R23" s="145">
        <v>0</v>
      </c>
      <c r="S23" s="145">
        <v>0</v>
      </c>
      <c r="T23" s="145">
        <v>0</v>
      </c>
      <c r="U23" s="145">
        <v>0</v>
      </c>
      <c r="V23" s="145">
        <v>0</v>
      </c>
      <c r="W23" s="145">
        <v>0</v>
      </c>
      <c r="X23" s="145">
        <v>0</v>
      </c>
      <c r="Y23" s="147" t="s">
        <v>255</v>
      </c>
      <c r="Z23" s="146" t="s">
        <v>150</v>
      </c>
      <c r="AA23" s="147" t="s">
        <v>255</v>
      </c>
      <c r="AB23" s="146" t="s">
        <v>150</v>
      </c>
    </row>
    <row r="24" spans="1:28" ht="30.6" customHeight="1">
      <c r="A24" s="143" t="s">
        <v>135</v>
      </c>
      <c r="B24" s="144" t="s">
        <v>228</v>
      </c>
      <c r="C24" s="145">
        <v>5641</v>
      </c>
      <c r="D24" s="145">
        <v>0</v>
      </c>
      <c r="E24" s="145">
        <v>0</v>
      </c>
      <c r="F24" s="145">
        <v>0</v>
      </c>
      <c r="G24" s="145">
        <v>1966</v>
      </c>
      <c r="H24" s="145">
        <v>0</v>
      </c>
      <c r="I24" s="145">
        <v>0</v>
      </c>
      <c r="J24" s="145">
        <v>3675</v>
      </c>
      <c r="K24" s="145">
        <v>0</v>
      </c>
      <c r="L24" s="145">
        <v>3675</v>
      </c>
      <c r="M24" s="145">
        <v>5062</v>
      </c>
      <c r="N24" s="145">
        <v>0</v>
      </c>
      <c r="O24" s="145">
        <v>0</v>
      </c>
      <c r="P24" s="145">
        <v>0</v>
      </c>
      <c r="Q24" s="145">
        <v>1712</v>
      </c>
      <c r="R24" s="145">
        <v>0</v>
      </c>
      <c r="S24" s="145">
        <v>0</v>
      </c>
      <c r="T24" s="145">
        <v>3350</v>
      </c>
      <c r="U24" s="145">
        <v>0</v>
      </c>
      <c r="V24" s="145">
        <v>3350</v>
      </c>
      <c r="W24" s="145">
        <v>0</v>
      </c>
      <c r="X24" s="145">
        <v>0</v>
      </c>
      <c r="Y24" s="147" t="s">
        <v>256</v>
      </c>
      <c r="Z24" s="146" t="s">
        <v>150</v>
      </c>
      <c r="AA24" s="147" t="s">
        <v>257</v>
      </c>
      <c r="AB24" s="147" t="s">
        <v>258</v>
      </c>
    </row>
    <row r="25" spans="1:28" ht="31.8" customHeight="1">
      <c r="A25" s="143" t="s">
        <v>136</v>
      </c>
      <c r="B25" s="144" t="s">
        <v>259</v>
      </c>
      <c r="C25" s="145">
        <v>0</v>
      </c>
      <c r="D25" s="145">
        <v>0</v>
      </c>
      <c r="E25" s="145">
        <v>0</v>
      </c>
      <c r="F25" s="145">
        <v>0</v>
      </c>
      <c r="G25" s="145">
        <v>0</v>
      </c>
      <c r="H25" s="145">
        <v>0</v>
      </c>
      <c r="I25" s="145">
        <v>0</v>
      </c>
      <c r="J25" s="145">
        <v>0</v>
      </c>
      <c r="K25" s="145">
        <v>0</v>
      </c>
      <c r="L25" s="145">
        <v>0</v>
      </c>
      <c r="M25" s="145">
        <v>75</v>
      </c>
      <c r="N25" s="145">
        <v>0</v>
      </c>
      <c r="O25" s="145">
        <v>0</v>
      </c>
      <c r="P25" s="145">
        <v>0</v>
      </c>
      <c r="Q25" s="145">
        <v>0</v>
      </c>
      <c r="R25" s="145">
        <v>0</v>
      </c>
      <c r="S25" s="145">
        <v>0</v>
      </c>
      <c r="T25" s="145">
        <v>0</v>
      </c>
      <c r="U25" s="145">
        <v>0</v>
      </c>
      <c r="V25" s="145">
        <v>0</v>
      </c>
      <c r="W25" s="145">
        <v>75</v>
      </c>
      <c r="X25" s="145">
        <v>0</v>
      </c>
      <c r="Y25" s="146" t="s">
        <v>150</v>
      </c>
      <c r="Z25" s="146" t="s">
        <v>150</v>
      </c>
      <c r="AA25" s="146" t="s">
        <v>150</v>
      </c>
      <c r="AB25" s="146" t="s">
        <v>150</v>
      </c>
    </row>
    <row r="26" spans="1:28" ht="68.400000000000006" customHeight="1">
      <c r="A26" s="143" t="s">
        <v>137</v>
      </c>
      <c r="B26" s="144" t="s">
        <v>260</v>
      </c>
      <c r="C26" s="145">
        <v>9</v>
      </c>
      <c r="D26" s="145">
        <v>0</v>
      </c>
      <c r="E26" s="145">
        <v>0</v>
      </c>
      <c r="F26" s="145">
        <v>0</v>
      </c>
      <c r="G26" s="145">
        <v>0</v>
      </c>
      <c r="H26" s="145">
        <v>0</v>
      </c>
      <c r="I26" s="145">
        <v>0</v>
      </c>
      <c r="J26" s="145">
        <v>9</v>
      </c>
      <c r="K26" s="145">
        <v>9</v>
      </c>
      <c r="L26" s="145">
        <v>0</v>
      </c>
      <c r="M26" s="145">
        <v>9</v>
      </c>
      <c r="N26" s="145">
        <v>0</v>
      </c>
      <c r="O26" s="145">
        <v>0</v>
      </c>
      <c r="P26" s="145">
        <v>0</v>
      </c>
      <c r="Q26" s="145">
        <v>0</v>
      </c>
      <c r="R26" s="145">
        <v>0</v>
      </c>
      <c r="S26" s="145">
        <v>0</v>
      </c>
      <c r="T26" s="145">
        <v>9</v>
      </c>
      <c r="U26" s="145">
        <v>9</v>
      </c>
      <c r="V26" s="145">
        <v>0</v>
      </c>
      <c r="W26" s="145">
        <v>0</v>
      </c>
      <c r="X26" s="145">
        <v>0</v>
      </c>
      <c r="Y26" s="147" t="s">
        <v>169</v>
      </c>
      <c r="Z26" s="146" t="s">
        <v>150</v>
      </c>
      <c r="AA26" s="146" t="s">
        <v>150</v>
      </c>
      <c r="AB26" s="147" t="s">
        <v>169</v>
      </c>
    </row>
    <row r="27" spans="1:28" ht="67.2" customHeight="1">
      <c r="A27" s="143" t="s">
        <v>138</v>
      </c>
      <c r="B27" s="144" t="s">
        <v>261</v>
      </c>
      <c r="C27" s="145">
        <v>13</v>
      </c>
      <c r="D27" s="145">
        <v>0</v>
      </c>
      <c r="E27" s="145">
        <v>0</v>
      </c>
      <c r="F27" s="145">
        <v>0</v>
      </c>
      <c r="G27" s="145">
        <v>0</v>
      </c>
      <c r="H27" s="145">
        <v>0</v>
      </c>
      <c r="I27" s="145">
        <v>0</v>
      </c>
      <c r="J27" s="145">
        <v>13</v>
      </c>
      <c r="K27" s="145">
        <v>13</v>
      </c>
      <c r="L27" s="145">
        <v>0</v>
      </c>
      <c r="M27" s="145">
        <v>13</v>
      </c>
      <c r="N27" s="145">
        <v>0</v>
      </c>
      <c r="O27" s="145">
        <v>0</v>
      </c>
      <c r="P27" s="145">
        <v>0</v>
      </c>
      <c r="Q27" s="145">
        <v>0</v>
      </c>
      <c r="R27" s="145">
        <v>0</v>
      </c>
      <c r="S27" s="145">
        <v>0</v>
      </c>
      <c r="T27" s="145">
        <v>13</v>
      </c>
      <c r="U27" s="145">
        <v>13</v>
      </c>
      <c r="V27" s="145">
        <v>0</v>
      </c>
      <c r="W27" s="145">
        <v>0</v>
      </c>
      <c r="X27" s="145">
        <v>0</v>
      </c>
      <c r="Y27" s="147" t="s">
        <v>169</v>
      </c>
      <c r="Z27" s="146" t="s">
        <v>150</v>
      </c>
      <c r="AA27" s="146" t="s">
        <v>150</v>
      </c>
      <c r="AB27" s="147" t="s">
        <v>169</v>
      </c>
    </row>
    <row r="28" spans="1:28" ht="42.6" customHeight="1">
      <c r="A28" s="143" t="s">
        <v>139</v>
      </c>
      <c r="B28" s="144" t="s">
        <v>262</v>
      </c>
      <c r="C28" s="145">
        <v>46</v>
      </c>
      <c r="D28" s="145">
        <v>0</v>
      </c>
      <c r="E28" s="145">
        <v>0</v>
      </c>
      <c r="F28" s="145">
        <v>0</v>
      </c>
      <c r="G28" s="145">
        <v>0</v>
      </c>
      <c r="H28" s="145">
        <v>0</v>
      </c>
      <c r="I28" s="145">
        <v>0</v>
      </c>
      <c r="J28" s="145">
        <v>46</v>
      </c>
      <c r="K28" s="145">
        <v>46</v>
      </c>
      <c r="L28" s="145">
        <v>0</v>
      </c>
      <c r="M28" s="145">
        <v>46</v>
      </c>
      <c r="N28" s="145">
        <v>0</v>
      </c>
      <c r="O28" s="145">
        <v>0</v>
      </c>
      <c r="P28" s="145">
        <v>0</v>
      </c>
      <c r="Q28" s="145">
        <v>0</v>
      </c>
      <c r="R28" s="145">
        <v>0</v>
      </c>
      <c r="S28" s="145">
        <v>0</v>
      </c>
      <c r="T28" s="145">
        <v>46</v>
      </c>
      <c r="U28" s="145">
        <v>46</v>
      </c>
      <c r="V28" s="145">
        <v>0</v>
      </c>
      <c r="W28" s="145">
        <v>0</v>
      </c>
      <c r="X28" s="145">
        <v>0</v>
      </c>
      <c r="Y28" s="147" t="s">
        <v>169</v>
      </c>
      <c r="Z28" s="146" t="s">
        <v>150</v>
      </c>
      <c r="AA28" s="146" t="s">
        <v>150</v>
      </c>
      <c r="AB28" s="147" t="s">
        <v>169</v>
      </c>
    </row>
    <row r="29" spans="1:28" ht="42.6" customHeight="1">
      <c r="A29" s="143" t="s">
        <v>140</v>
      </c>
      <c r="B29" s="144" t="s">
        <v>165</v>
      </c>
      <c r="C29" s="145">
        <v>4</v>
      </c>
      <c r="D29" s="145">
        <v>0</v>
      </c>
      <c r="E29" s="145">
        <v>0</v>
      </c>
      <c r="F29" s="145">
        <v>0</v>
      </c>
      <c r="G29" s="145">
        <v>0</v>
      </c>
      <c r="H29" s="145">
        <v>0</v>
      </c>
      <c r="I29" s="145">
        <v>0</v>
      </c>
      <c r="J29" s="145">
        <v>4</v>
      </c>
      <c r="K29" s="145">
        <v>4</v>
      </c>
      <c r="L29" s="145">
        <v>0</v>
      </c>
      <c r="M29" s="145">
        <v>4</v>
      </c>
      <c r="N29" s="145">
        <v>0</v>
      </c>
      <c r="O29" s="145">
        <v>0</v>
      </c>
      <c r="P29" s="145">
        <v>0</v>
      </c>
      <c r="Q29" s="145">
        <v>0</v>
      </c>
      <c r="R29" s="145">
        <v>0</v>
      </c>
      <c r="S29" s="145">
        <v>0</v>
      </c>
      <c r="T29" s="145">
        <v>4</v>
      </c>
      <c r="U29" s="145">
        <v>4</v>
      </c>
      <c r="V29" s="145">
        <v>0</v>
      </c>
      <c r="W29" s="145">
        <v>0</v>
      </c>
      <c r="X29" s="145">
        <v>0</v>
      </c>
      <c r="Y29" s="147" t="s">
        <v>169</v>
      </c>
      <c r="Z29" s="146" t="s">
        <v>150</v>
      </c>
      <c r="AA29" s="146" t="s">
        <v>150</v>
      </c>
      <c r="AB29" s="147" t="s">
        <v>169</v>
      </c>
    </row>
    <row r="30" spans="1:28" ht="64.8" customHeight="1">
      <c r="A30" s="143" t="s">
        <v>141</v>
      </c>
      <c r="B30" s="144" t="s">
        <v>263</v>
      </c>
      <c r="C30" s="145">
        <v>24</v>
      </c>
      <c r="D30" s="145">
        <v>0</v>
      </c>
      <c r="E30" s="145">
        <v>0</v>
      </c>
      <c r="F30" s="145">
        <v>0</v>
      </c>
      <c r="G30" s="145">
        <v>0</v>
      </c>
      <c r="H30" s="145">
        <v>0</v>
      </c>
      <c r="I30" s="145">
        <v>0</v>
      </c>
      <c r="J30" s="145">
        <v>24</v>
      </c>
      <c r="K30" s="145">
        <v>24</v>
      </c>
      <c r="L30" s="145">
        <v>0</v>
      </c>
      <c r="M30" s="145">
        <v>24</v>
      </c>
      <c r="N30" s="145">
        <v>0</v>
      </c>
      <c r="O30" s="145">
        <v>0</v>
      </c>
      <c r="P30" s="145">
        <v>0</v>
      </c>
      <c r="Q30" s="145">
        <v>0</v>
      </c>
      <c r="R30" s="145">
        <v>0</v>
      </c>
      <c r="S30" s="145">
        <v>0</v>
      </c>
      <c r="T30" s="145">
        <v>24</v>
      </c>
      <c r="U30" s="145">
        <v>24</v>
      </c>
      <c r="V30" s="145">
        <v>0</v>
      </c>
      <c r="W30" s="145">
        <v>0</v>
      </c>
      <c r="X30" s="145">
        <v>0</v>
      </c>
      <c r="Y30" s="147" t="s">
        <v>169</v>
      </c>
      <c r="Z30" s="146" t="s">
        <v>150</v>
      </c>
      <c r="AA30" s="146" t="s">
        <v>150</v>
      </c>
      <c r="AB30" s="147" t="s">
        <v>169</v>
      </c>
    </row>
    <row r="31" spans="1:28" ht="64.8" customHeight="1">
      <c r="A31" s="143" t="s">
        <v>142</v>
      </c>
      <c r="B31" s="144" t="s">
        <v>264</v>
      </c>
      <c r="C31" s="145">
        <v>19</v>
      </c>
      <c r="D31" s="145">
        <v>0</v>
      </c>
      <c r="E31" s="145">
        <v>0</v>
      </c>
      <c r="F31" s="145">
        <v>0</v>
      </c>
      <c r="G31" s="145">
        <v>0</v>
      </c>
      <c r="H31" s="145">
        <v>0</v>
      </c>
      <c r="I31" s="145">
        <v>0</v>
      </c>
      <c r="J31" s="145">
        <v>19</v>
      </c>
      <c r="K31" s="145">
        <v>19</v>
      </c>
      <c r="L31" s="145">
        <v>0</v>
      </c>
      <c r="M31" s="145">
        <v>19</v>
      </c>
      <c r="N31" s="145">
        <v>0</v>
      </c>
      <c r="O31" s="145">
        <v>0</v>
      </c>
      <c r="P31" s="145">
        <v>0</v>
      </c>
      <c r="Q31" s="145">
        <v>0</v>
      </c>
      <c r="R31" s="145">
        <v>0</v>
      </c>
      <c r="S31" s="145">
        <v>0</v>
      </c>
      <c r="T31" s="145">
        <v>19</v>
      </c>
      <c r="U31" s="145">
        <v>19</v>
      </c>
      <c r="V31" s="145">
        <v>0</v>
      </c>
      <c r="W31" s="145">
        <v>0</v>
      </c>
      <c r="X31" s="145">
        <v>0</v>
      </c>
      <c r="Y31" s="147" t="s">
        <v>169</v>
      </c>
      <c r="Z31" s="146" t="s">
        <v>150</v>
      </c>
      <c r="AA31" s="146" t="s">
        <v>150</v>
      </c>
      <c r="AB31" s="147" t="s">
        <v>169</v>
      </c>
    </row>
    <row r="32" spans="1:28" ht="61.2" customHeight="1">
      <c r="A32" s="143" t="s">
        <v>143</v>
      </c>
      <c r="B32" s="144" t="s">
        <v>265</v>
      </c>
      <c r="C32" s="145">
        <v>24</v>
      </c>
      <c r="D32" s="145">
        <v>0</v>
      </c>
      <c r="E32" s="145">
        <v>0</v>
      </c>
      <c r="F32" s="145">
        <v>0</v>
      </c>
      <c r="G32" s="145">
        <v>0</v>
      </c>
      <c r="H32" s="145">
        <v>0</v>
      </c>
      <c r="I32" s="145">
        <v>0</v>
      </c>
      <c r="J32" s="145">
        <v>24</v>
      </c>
      <c r="K32" s="145">
        <v>24</v>
      </c>
      <c r="L32" s="145">
        <v>0</v>
      </c>
      <c r="M32" s="145">
        <v>24</v>
      </c>
      <c r="N32" s="145">
        <v>0</v>
      </c>
      <c r="O32" s="145">
        <v>0</v>
      </c>
      <c r="P32" s="145">
        <v>0</v>
      </c>
      <c r="Q32" s="145">
        <v>0</v>
      </c>
      <c r="R32" s="145">
        <v>0</v>
      </c>
      <c r="S32" s="145">
        <v>0</v>
      </c>
      <c r="T32" s="145">
        <v>24</v>
      </c>
      <c r="U32" s="145">
        <v>24</v>
      </c>
      <c r="V32" s="145">
        <v>0</v>
      </c>
      <c r="W32" s="145">
        <v>0</v>
      </c>
      <c r="X32" s="145">
        <v>0</v>
      </c>
      <c r="Y32" s="147" t="s">
        <v>169</v>
      </c>
      <c r="Z32" s="146" t="s">
        <v>150</v>
      </c>
      <c r="AA32" s="146" t="s">
        <v>150</v>
      </c>
      <c r="AB32" s="147" t="s">
        <v>169</v>
      </c>
    </row>
    <row r="33" spans="1:28" ht="65.400000000000006" customHeight="1">
      <c r="A33" s="143" t="s">
        <v>144</v>
      </c>
      <c r="B33" s="144" t="s">
        <v>266</v>
      </c>
      <c r="C33" s="145">
        <v>32</v>
      </c>
      <c r="D33" s="145">
        <v>0</v>
      </c>
      <c r="E33" s="145">
        <v>0</v>
      </c>
      <c r="F33" s="145">
        <v>0</v>
      </c>
      <c r="G33" s="145">
        <v>0</v>
      </c>
      <c r="H33" s="145">
        <v>0</v>
      </c>
      <c r="I33" s="145">
        <v>0</v>
      </c>
      <c r="J33" s="145">
        <v>32</v>
      </c>
      <c r="K33" s="145">
        <v>32</v>
      </c>
      <c r="L33" s="145">
        <v>0</v>
      </c>
      <c r="M33" s="145">
        <v>32</v>
      </c>
      <c r="N33" s="145">
        <v>0</v>
      </c>
      <c r="O33" s="145">
        <v>0</v>
      </c>
      <c r="P33" s="145">
        <v>0</v>
      </c>
      <c r="Q33" s="145">
        <v>0</v>
      </c>
      <c r="R33" s="145">
        <v>0</v>
      </c>
      <c r="S33" s="145">
        <v>0</v>
      </c>
      <c r="T33" s="145">
        <v>32</v>
      </c>
      <c r="U33" s="145">
        <v>32</v>
      </c>
      <c r="V33" s="145">
        <v>0</v>
      </c>
      <c r="W33" s="145">
        <v>0</v>
      </c>
      <c r="X33" s="145">
        <v>0</v>
      </c>
      <c r="Y33" s="147" t="s">
        <v>169</v>
      </c>
      <c r="Z33" s="146" t="s">
        <v>150</v>
      </c>
      <c r="AA33" s="146" t="s">
        <v>150</v>
      </c>
      <c r="AB33" s="147" t="s">
        <v>169</v>
      </c>
    </row>
    <row r="34" spans="1:28" ht="66.599999999999994" customHeight="1">
      <c r="A34" s="143" t="s">
        <v>145</v>
      </c>
      <c r="B34" s="144" t="s">
        <v>267</v>
      </c>
      <c r="C34" s="145">
        <v>1104</v>
      </c>
      <c r="D34" s="145">
        <v>0</v>
      </c>
      <c r="E34" s="145">
        <v>0</v>
      </c>
      <c r="F34" s="145">
        <v>0</v>
      </c>
      <c r="G34" s="145">
        <v>0</v>
      </c>
      <c r="H34" s="145">
        <v>0</v>
      </c>
      <c r="I34" s="145">
        <v>0</v>
      </c>
      <c r="J34" s="145">
        <v>1104</v>
      </c>
      <c r="K34" s="145">
        <v>1104</v>
      </c>
      <c r="L34" s="145">
        <v>0</v>
      </c>
      <c r="M34" s="145">
        <v>1104</v>
      </c>
      <c r="N34" s="145">
        <v>0</v>
      </c>
      <c r="O34" s="145">
        <v>0</v>
      </c>
      <c r="P34" s="145">
        <v>0</v>
      </c>
      <c r="Q34" s="145">
        <v>0</v>
      </c>
      <c r="R34" s="145">
        <v>0</v>
      </c>
      <c r="S34" s="145">
        <v>0</v>
      </c>
      <c r="T34" s="145">
        <v>1104</v>
      </c>
      <c r="U34" s="145">
        <v>1104</v>
      </c>
      <c r="V34" s="145">
        <v>0</v>
      </c>
      <c r="W34" s="145">
        <v>0</v>
      </c>
      <c r="X34" s="145">
        <v>0</v>
      </c>
      <c r="Y34" s="147" t="s">
        <v>169</v>
      </c>
      <c r="Z34" s="146" t="s">
        <v>150</v>
      </c>
      <c r="AA34" s="146" t="s">
        <v>150</v>
      </c>
      <c r="AB34" s="147" t="s">
        <v>169</v>
      </c>
    </row>
    <row r="35" spans="1:28" ht="60">
      <c r="A35" s="143" t="s">
        <v>146</v>
      </c>
      <c r="B35" s="144" t="s">
        <v>268</v>
      </c>
      <c r="C35" s="145">
        <v>66</v>
      </c>
      <c r="D35" s="145">
        <v>0</v>
      </c>
      <c r="E35" s="145">
        <v>0</v>
      </c>
      <c r="F35" s="145">
        <v>0</v>
      </c>
      <c r="G35" s="145">
        <v>0</v>
      </c>
      <c r="H35" s="145">
        <v>0</v>
      </c>
      <c r="I35" s="145">
        <v>0</v>
      </c>
      <c r="J35" s="145">
        <v>66</v>
      </c>
      <c r="K35" s="145">
        <v>66</v>
      </c>
      <c r="L35" s="145">
        <v>0</v>
      </c>
      <c r="M35" s="145">
        <v>66</v>
      </c>
      <c r="N35" s="145">
        <v>0</v>
      </c>
      <c r="O35" s="145">
        <v>0</v>
      </c>
      <c r="P35" s="145">
        <v>0</v>
      </c>
      <c r="Q35" s="145">
        <v>0</v>
      </c>
      <c r="R35" s="145">
        <v>0</v>
      </c>
      <c r="S35" s="145">
        <v>0</v>
      </c>
      <c r="T35" s="145">
        <v>66</v>
      </c>
      <c r="U35" s="145">
        <v>66</v>
      </c>
      <c r="V35" s="145">
        <v>0</v>
      </c>
      <c r="W35" s="145">
        <v>0</v>
      </c>
      <c r="X35" s="145">
        <v>0</v>
      </c>
      <c r="Y35" s="147" t="s">
        <v>169</v>
      </c>
      <c r="Z35" s="146" t="s">
        <v>150</v>
      </c>
      <c r="AA35" s="146" t="s">
        <v>150</v>
      </c>
      <c r="AB35" s="147" t="s">
        <v>169</v>
      </c>
    </row>
    <row r="36" spans="1:28" ht="40.200000000000003" customHeight="1">
      <c r="A36" s="143" t="s">
        <v>147</v>
      </c>
      <c r="B36" s="144" t="s">
        <v>269</v>
      </c>
      <c r="C36" s="145">
        <v>35</v>
      </c>
      <c r="D36" s="145">
        <v>0</v>
      </c>
      <c r="E36" s="145">
        <v>0</v>
      </c>
      <c r="F36" s="145">
        <v>0</v>
      </c>
      <c r="G36" s="145">
        <v>0</v>
      </c>
      <c r="H36" s="145">
        <v>0</v>
      </c>
      <c r="I36" s="145">
        <v>0</v>
      </c>
      <c r="J36" s="145">
        <v>35</v>
      </c>
      <c r="K36" s="145">
        <v>35</v>
      </c>
      <c r="L36" s="145">
        <v>0</v>
      </c>
      <c r="M36" s="145">
        <v>35</v>
      </c>
      <c r="N36" s="145">
        <v>0</v>
      </c>
      <c r="O36" s="145">
        <v>0</v>
      </c>
      <c r="P36" s="145">
        <v>0</v>
      </c>
      <c r="Q36" s="145">
        <v>0</v>
      </c>
      <c r="R36" s="145">
        <v>0</v>
      </c>
      <c r="S36" s="145">
        <v>0</v>
      </c>
      <c r="T36" s="145">
        <v>35</v>
      </c>
      <c r="U36" s="145">
        <v>35</v>
      </c>
      <c r="V36" s="145">
        <v>0</v>
      </c>
      <c r="W36" s="145">
        <v>0</v>
      </c>
      <c r="X36" s="145">
        <v>0</v>
      </c>
      <c r="Y36" s="147" t="s">
        <v>169</v>
      </c>
      <c r="Z36" s="146" t="s">
        <v>150</v>
      </c>
      <c r="AA36" s="146" t="s">
        <v>150</v>
      </c>
      <c r="AB36" s="147" t="s">
        <v>169</v>
      </c>
    </row>
    <row r="37" spans="1:28" ht="40.799999999999997" customHeight="1">
      <c r="A37" s="143" t="s">
        <v>148</v>
      </c>
      <c r="B37" s="144" t="s">
        <v>270</v>
      </c>
      <c r="C37" s="145">
        <v>10</v>
      </c>
      <c r="D37" s="145">
        <v>0</v>
      </c>
      <c r="E37" s="145">
        <v>0</v>
      </c>
      <c r="F37" s="145">
        <v>0</v>
      </c>
      <c r="G37" s="145">
        <v>0</v>
      </c>
      <c r="H37" s="145">
        <v>0</v>
      </c>
      <c r="I37" s="145">
        <v>0</v>
      </c>
      <c r="J37" s="145">
        <v>10</v>
      </c>
      <c r="K37" s="145">
        <v>10</v>
      </c>
      <c r="L37" s="145">
        <v>0</v>
      </c>
      <c r="M37" s="145">
        <v>10</v>
      </c>
      <c r="N37" s="145">
        <v>0</v>
      </c>
      <c r="O37" s="145">
        <v>0</v>
      </c>
      <c r="P37" s="145">
        <v>0</v>
      </c>
      <c r="Q37" s="145">
        <v>0</v>
      </c>
      <c r="R37" s="145">
        <v>0</v>
      </c>
      <c r="S37" s="145">
        <v>0</v>
      </c>
      <c r="T37" s="145">
        <v>10</v>
      </c>
      <c r="U37" s="145">
        <v>10</v>
      </c>
      <c r="V37" s="145">
        <v>0</v>
      </c>
      <c r="W37" s="145">
        <v>0</v>
      </c>
      <c r="X37" s="145">
        <v>0</v>
      </c>
      <c r="Y37" s="147" t="s">
        <v>169</v>
      </c>
      <c r="Z37" s="146" t="s">
        <v>150</v>
      </c>
      <c r="AA37" s="146" t="s">
        <v>150</v>
      </c>
      <c r="AB37" s="147" t="s">
        <v>169</v>
      </c>
    </row>
    <row r="38" spans="1:28" ht="60">
      <c r="A38" s="143" t="s">
        <v>149</v>
      </c>
      <c r="B38" s="144" t="s">
        <v>162</v>
      </c>
      <c r="C38" s="145">
        <v>14</v>
      </c>
      <c r="D38" s="145">
        <v>0</v>
      </c>
      <c r="E38" s="145">
        <v>0</v>
      </c>
      <c r="F38" s="145">
        <v>0</v>
      </c>
      <c r="G38" s="145">
        <v>0</v>
      </c>
      <c r="H38" s="145">
        <v>0</v>
      </c>
      <c r="I38" s="145">
        <v>0</v>
      </c>
      <c r="J38" s="145">
        <v>14</v>
      </c>
      <c r="K38" s="145">
        <v>14</v>
      </c>
      <c r="L38" s="145">
        <v>0</v>
      </c>
      <c r="M38" s="145">
        <v>14</v>
      </c>
      <c r="N38" s="145">
        <v>0</v>
      </c>
      <c r="O38" s="145">
        <v>0</v>
      </c>
      <c r="P38" s="145">
        <v>0</v>
      </c>
      <c r="Q38" s="145">
        <v>0</v>
      </c>
      <c r="R38" s="145">
        <v>0</v>
      </c>
      <c r="S38" s="145">
        <v>0</v>
      </c>
      <c r="T38" s="145">
        <v>14</v>
      </c>
      <c r="U38" s="145">
        <v>14</v>
      </c>
      <c r="V38" s="145">
        <v>0</v>
      </c>
      <c r="W38" s="145">
        <v>0</v>
      </c>
      <c r="X38" s="145">
        <v>0</v>
      </c>
      <c r="Y38" s="147" t="s">
        <v>169</v>
      </c>
      <c r="Z38" s="146" t="s">
        <v>150</v>
      </c>
      <c r="AA38" s="146" t="s">
        <v>150</v>
      </c>
      <c r="AB38" s="147" t="s">
        <v>169</v>
      </c>
    </row>
    <row r="39" spans="1:28" ht="64.2" customHeight="1">
      <c r="A39" s="143" t="s">
        <v>271</v>
      </c>
      <c r="B39" s="144" t="s">
        <v>163</v>
      </c>
      <c r="C39" s="145">
        <v>15</v>
      </c>
      <c r="D39" s="145">
        <v>0</v>
      </c>
      <c r="E39" s="145">
        <v>0</v>
      </c>
      <c r="F39" s="145">
        <v>0</v>
      </c>
      <c r="G39" s="145">
        <v>0</v>
      </c>
      <c r="H39" s="145">
        <v>0</v>
      </c>
      <c r="I39" s="145">
        <v>0</v>
      </c>
      <c r="J39" s="145">
        <v>15</v>
      </c>
      <c r="K39" s="145">
        <v>15</v>
      </c>
      <c r="L39" s="145">
        <v>0</v>
      </c>
      <c r="M39" s="145">
        <v>15</v>
      </c>
      <c r="N39" s="145">
        <v>0</v>
      </c>
      <c r="O39" s="145">
        <v>0</v>
      </c>
      <c r="P39" s="145">
        <v>0</v>
      </c>
      <c r="Q39" s="145">
        <v>0</v>
      </c>
      <c r="R39" s="145">
        <v>0</v>
      </c>
      <c r="S39" s="145">
        <v>0</v>
      </c>
      <c r="T39" s="145">
        <v>15</v>
      </c>
      <c r="U39" s="145">
        <v>15</v>
      </c>
      <c r="V39" s="145">
        <v>0</v>
      </c>
      <c r="W39" s="145">
        <v>0</v>
      </c>
      <c r="X39" s="145">
        <v>0</v>
      </c>
      <c r="Y39" s="147" t="s">
        <v>169</v>
      </c>
      <c r="Z39" s="146" t="s">
        <v>150</v>
      </c>
      <c r="AA39" s="146" t="s">
        <v>150</v>
      </c>
      <c r="AB39" s="147" t="s">
        <v>169</v>
      </c>
    </row>
    <row r="40" spans="1:28" ht="39" customHeight="1">
      <c r="A40" s="143" t="s">
        <v>272</v>
      </c>
      <c r="B40" s="144" t="s">
        <v>273</v>
      </c>
      <c r="C40" s="145">
        <v>12</v>
      </c>
      <c r="D40" s="145">
        <v>0</v>
      </c>
      <c r="E40" s="145">
        <v>0</v>
      </c>
      <c r="F40" s="145">
        <v>0</v>
      </c>
      <c r="G40" s="145">
        <v>0</v>
      </c>
      <c r="H40" s="145">
        <v>0</v>
      </c>
      <c r="I40" s="145">
        <v>0</v>
      </c>
      <c r="J40" s="145">
        <v>12</v>
      </c>
      <c r="K40" s="145">
        <v>12</v>
      </c>
      <c r="L40" s="145">
        <v>0</v>
      </c>
      <c r="M40" s="145">
        <v>12</v>
      </c>
      <c r="N40" s="145">
        <v>0</v>
      </c>
      <c r="O40" s="145">
        <v>0</v>
      </c>
      <c r="P40" s="145">
        <v>0</v>
      </c>
      <c r="Q40" s="145">
        <v>0</v>
      </c>
      <c r="R40" s="145">
        <v>0</v>
      </c>
      <c r="S40" s="145">
        <v>0</v>
      </c>
      <c r="T40" s="145">
        <v>12</v>
      </c>
      <c r="U40" s="145">
        <v>12</v>
      </c>
      <c r="V40" s="145">
        <v>0</v>
      </c>
      <c r="W40" s="145">
        <v>0</v>
      </c>
      <c r="X40" s="145">
        <v>0</v>
      </c>
      <c r="Y40" s="147" t="s">
        <v>169</v>
      </c>
      <c r="Z40" s="146" t="s">
        <v>150</v>
      </c>
      <c r="AA40" s="146" t="s">
        <v>150</v>
      </c>
      <c r="AB40" s="147" t="s">
        <v>169</v>
      </c>
    </row>
    <row r="41" spans="1:28" ht="36">
      <c r="A41" s="143" t="s">
        <v>274</v>
      </c>
      <c r="B41" s="144" t="s">
        <v>275</v>
      </c>
      <c r="C41" s="145">
        <v>25</v>
      </c>
      <c r="D41" s="145">
        <v>0</v>
      </c>
      <c r="E41" s="145">
        <v>0</v>
      </c>
      <c r="F41" s="145">
        <v>0</v>
      </c>
      <c r="G41" s="145">
        <v>0</v>
      </c>
      <c r="H41" s="145">
        <v>0</v>
      </c>
      <c r="I41" s="145">
        <v>0</v>
      </c>
      <c r="J41" s="145">
        <v>25</v>
      </c>
      <c r="K41" s="145">
        <v>25</v>
      </c>
      <c r="L41" s="145">
        <v>0</v>
      </c>
      <c r="M41" s="145">
        <v>25</v>
      </c>
      <c r="N41" s="145">
        <v>0</v>
      </c>
      <c r="O41" s="145">
        <v>0</v>
      </c>
      <c r="P41" s="145">
        <v>0</v>
      </c>
      <c r="Q41" s="145">
        <v>0</v>
      </c>
      <c r="R41" s="145">
        <v>0</v>
      </c>
      <c r="S41" s="145">
        <v>0</v>
      </c>
      <c r="T41" s="145">
        <v>25</v>
      </c>
      <c r="U41" s="145">
        <v>25</v>
      </c>
      <c r="V41" s="145">
        <v>0</v>
      </c>
      <c r="W41" s="145">
        <v>0</v>
      </c>
      <c r="X41" s="145">
        <v>0</v>
      </c>
      <c r="Y41" s="147" t="s">
        <v>169</v>
      </c>
      <c r="Z41" s="146" t="s">
        <v>150</v>
      </c>
      <c r="AA41" s="146" t="s">
        <v>150</v>
      </c>
      <c r="AB41" s="147" t="s">
        <v>169</v>
      </c>
    </row>
    <row r="42" spans="1:28" ht="36">
      <c r="A42" s="143" t="s">
        <v>276</v>
      </c>
      <c r="B42" s="144" t="s">
        <v>277</v>
      </c>
      <c r="C42" s="145">
        <v>14</v>
      </c>
      <c r="D42" s="145">
        <v>0</v>
      </c>
      <c r="E42" s="145">
        <v>0</v>
      </c>
      <c r="F42" s="145">
        <v>0</v>
      </c>
      <c r="G42" s="145">
        <v>0</v>
      </c>
      <c r="H42" s="145">
        <v>0</v>
      </c>
      <c r="I42" s="145">
        <v>0</v>
      </c>
      <c r="J42" s="145">
        <v>14</v>
      </c>
      <c r="K42" s="145">
        <v>14</v>
      </c>
      <c r="L42" s="145">
        <v>0</v>
      </c>
      <c r="M42" s="145">
        <v>14</v>
      </c>
      <c r="N42" s="145">
        <v>0</v>
      </c>
      <c r="O42" s="145">
        <v>0</v>
      </c>
      <c r="P42" s="145">
        <v>0</v>
      </c>
      <c r="Q42" s="145">
        <v>0</v>
      </c>
      <c r="R42" s="145">
        <v>0</v>
      </c>
      <c r="S42" s="145">
        <v>0</v>
      </c>
      <c r="T42" s="145">
        <v>14</v>
      </c>
      <c r="U42" s="145">
        <v>14</v>
      </c>
      <c r="V42" s="145">
        <v>0</v>
      </c>
      <c r="W42" s="145">
        <v>0</v>
      </c>
      <c r="X42" s="145">
        <v>0</v>
      </c>
      <c r="Y42" s="147" t="s">
        <v>169</v>
      </c>
      <c r="Z42" s="146" t="s">
        <v>150</v>
      </c>
      <c r="AA42" s="146" t="s">
        <v>150</v>
      </c>
      <c r="AB42" s="147" t="s">
        <v>169</v>
      </c>
    </row>
    <row r="43" spans="1:28" ht="36">
      <c r="A43" s="143" t="s">
        <v>278</v>
      </c>
      <c r="B43" s="144" t="s">
        <v>279</v>
      </c>
      <c r="C43" s="145">
        <v>27</v>
      </c>
      <c r="D43" s="145">
        <v>0</v>
      </c>
      <c r="E43" s="145">
        <v>0</v>
      </c>
      <c r="F43" s="145">
        <v>0</v>
      </c>
      <c r="G43" s="145">
        <v>0</v>
      </c>
      <c r="H43" s="145">
        <v>0</v>
      </c>
      <c r="I43" s="145">
        <v>0</v>
      </c>
      <c r="J43" s="145">
        <v>27</v>
      </c>
      <c r="K43" s="145">
        <v>27</v>
      </c>
      <c r="L43" s="145">
        <v>0</v>
      </c>
      <c r="M43" s="145">
        <v>27</v>
      </c>
      <c r="N43" s="145">
        <v>0</v>
      </c>
      <c r="O43" s="145">
        <v>0</v>
      </c>
      <c r="P43" s="145">
        <v>0</v>
      </c>
      <c r="Q43" s="145">
        <v>0</v>
      </c>
      <c r="R43" s="145">
        <v>0</v>
      </c>
      <c r="S43" s="145">
        <v>0</v>
      </c>
      <c r="T43" s="145">
        <v>27</v>
      </c>
      <c r="U43" s="145">
        <v>27</v>
      </c>
      <c r="V43" s="145">
        <v>0</v>
      </c>
      <c r="W43" s="145">
        <v>0</v>
      </c>
      <c r="X43" s="145">
        <v>0</v>
      </c>
      <c r="Y43" s="147" t="s">
        <v>169</v>
      </c>
      <c r="Z43" s="146" t="s">
        <v>150</v>
      </c>
      <c r="AA43" s="146" t="s">
        <v>150</v>
      </c>
      <c r="AB43" s="147" t="s">
        <v>169</v>
      </c>
    </row>
    <row r="44" spans="1:28" ht="36">
      <c r="A44" s="143" t="s">
        <v>280</v>
      </c>
      <c r="B44" s="144" t="s">
        <v>281</v>
      </c>
      <c r="C44" s="145">
        <v>20</v>
      </c>
      <c r="D44" s="145">
        <v>0</v>
      </c>
      <c r="E44" s="145">
        <v>0</v>
      </c>
      <c r="F44" s="145">
        <v>0</v>
      </c>
      <c r="G44" s="145">
        <v>0</v>
      </c>
      <c r="H44" s="145">
        <v>0</v>
      </c>
      <c r="I44" s="145">
        <v>0</v>
      </c>
      <c r="J44" s="145">
        <v>20</v>
      </c>
      <c r="K44" s="145">
        <v>20</v>
      </c>
      <c r="L44" s="145">
        <v>0</v>
      </c>
      <c r="M44" s="145">
        <v>20</v>
      </c>
      <c r="N44" s="145">
        <v>0</v>
      </c>
      <c r="O44" s="145">
        <v>0</v>
      </c>
      <c r="P44" s="145">
        <v>0</v>
      </c>
      <c r="Q44" s="145">
        <v>0</v>
      </c>
      <c r="R44" s="145">
        <v>0</v>
      </c>
      <c r="S44" s="145">
        <v>0</v>
      </c>
      <c r="T44" s="145">
        <v>20</v>
      </c>
      <c r="U44" s="145">
        <v>20</v>
      </c>
      <c r="V44" s="145">
        <v>0</v>
      </c>
      <c r="W44" s="145">
        <v>0</v>
      </c>
      <c r="X44" s="145">
        <v>0</v>
      </c>
      <c r="Y44" s="147" t="s">
        <v>169</v>
      </c>
      <c r="Z44" s="146" t="s">
        <v>150</v>
      </c>
      <c r="AA44" s="146" t="s">
        <v>150</v>
      </c>
      <c r="AB44" s="147" t="s">
        <v>169</v>
      </c>
    </row>
    <row r="45" spans="1:28" ht="60">
      <c r="A45" s="143" t="s">
        <v>282</v>
      </c>
      <c r="B45" s="144" t="s">
        <v>224</v>
      </c>
      <c r="C45" s="145">
        <v>34</v>
      </c>
      <c r="D45" s="145">
        <v>0</v>
      </c>
      <c r="E45" s="145">
        <v>0</v>
      </c>
      <c r="F45" s="145">
        <v>0</v>
      </c>
      <c r="G45" s="145">
        <v>0</v>
      </c>
      <c r="H45" s="145">
        <v>0</v>
      </c>
      <c r="I45" s="145">
        <v>0</v>
      </c>
      <c r="J45" s="145">
        <v>34</v>
      </c>
      <c r="K45" s="145">
        <v>34</v>
      </c>
      <c r="L45" s="145">
        <v>0</v>
      </c>
      <c r="M45" s="145">
        <v>34</v>
      </c>
      <c r="N45" s="145">
        <v>0</v>
      </c>
      <c r="O45" s="145">
        <v>0</v>
      </c>
      <c r="P45" s="145">
        <v>0</v>
      </c>
      <c r="Q45" s="145">
        <v>0</v>
      </c>
      <c r="R45" s="145">
        <v>0</v>
      </c>
      <c r="S45" s="145">
        <v>0</v>
      </c>
      <c r="T45" s="145">
        <v>34</v>
      </c>
      <c r="U45" s="145">
        <v>34</v>
      </c>
      <c r="V45" s="145">
        <v>0</v>
      </c>
      <c r="W45" s="145">
        <v>0</v>
      </c>
      <c r="X45" s="145">
        <v>0</v>
      </c>
      <c r="Y45" s="147" t="s">
        <v>169</v>
      </c>
      <c r="Z45" s="146" t="s">
        <v>150</v>
      </c>
      <c r="AA45" s="146" t="s">
        <v>150</v>
      </c>
      <c r="AB45" s="147" t="s">
        <v>169</v>
      </c>
    </row>
    <row r="46" spans="1:28" ht="48">
      <c r="A46" s="143" t="s">
        <v>283</v>
      </c>
      <c r="B46" s="144" t="s">
        <v>284</v>
      </c>
      <c r="C46" s="145">
        <v>112</v>
      </c>
      <c r="D46" s="145">
        <v>0</v>
      </c>
      <c r="E46" s="145">
        <v>0</v>
      </c>
      <c r="F46" s="145">
        <v>0</v>
      </c>
      <c r="G46" s="145">
        <v>0</v>
      </c>
      <c r="H46" s="145">
        <v>0</v>
      </c>
      <c r="I46" s="145">
        <v>0</v>
      </c>
      <c r="J46" s="145">
        <v>112</v>
      </c>
      <c r="K46" s="145">
        <v>112</v>
      </c>
      <c r="L46" s="145">
        <v>0</v>
      </c>
      <c r="M46" s="145">
        <v>112</v>
      </c>
      <c r="N46" s="145">
        <v>0</v>
      </c>
      <c r="O46" s="145">
        <v>0</v>
      </c>
      <c r="P46" s="145">
        <v>0</v>
      </c>
      <c r="Q46" s="145">
        <v>0</v>
      </c>
      <c r="R46" s="145">
        <v>0</v>
      </c>
      <c r="S46" s="145">
        <v>0</v>
      </c>
      <c r="T46" s="145">
        <v>112</v>
      </c>
      <c r="U46" s="145">
        <v>112</v>
      </c>
      <c r="V46" s="145">
        <v>0</v>
      </c>
      <c r="W46" s="145">
        <v>0</v>
      </c>
      <c r="X46" s="145">
        <v>0</v>
      </c>
      <c r="Y46" s="147" t="s">
        <v>169</v>
      </c>
      <c r="Z46" s="146" t="s">
        <v>150</v>
      </c>
      <c r="AA46" s="146" t="s">
        <v>150</v>
      </c>
      <c r="AB46" s="147" t="s">
        <v>169</v>
      </c>
    </row>
    <row r="47" spans="1:28" ht="48">
      <c r="A47" s="143" t="s">
        <v>285</v>
      </c>
      <c r="B47" s="144" t="s">
        <v>286</v>
      </c>
      <c r="C47" s="145">
        <v>6495</v>
      </c>
      <c r="D47" s="145">
        <v>1993</v>
      </c>
      <c r="E47" s="145">
        <v>1993</v>
      </c>
      <c r="F47" s="145">
        <v>0</v>
      </c>
      <c r="G47" s="145">
        <v>0</v>
      </c>
      <c r="H47" s="145">
        <v>0</v>
      </c>
      <c r="I47" s="145">
        <v>0</v>
      </c>
      <c r="J47" s="145">
        <v>4502</v>
      </c>
      <c r="K47" s="145">
        <v>4502</v>
      </c>
      <c r="L47" s="145">
        <v>0</v>
      </c>
      <c r="M47" s="145">
        <v>6472</v>
      </c>
      <c r="N47" s="145">
        <v>1970</v>
      </c>
      <c r="O47" s="145">
        <v>1970</v>
      </c>
      <c r="P47" s="145">
        <v>0</v>
      </c>
      <c r="Q47" s="145">
        <v>0</v>
      </c>
      <c r="R47" s="145">
        <v>0</v>
      </c>
      <c r="S47" s="145">
        <v>0</v>
      </c>
      <c r="T47" s="145">
        <v>4502</v>
      </c>
      <c r="U47" s="145">
        <v>4502</v>
      </c>
      <c r="V47" s="145">
        <v>0</v>
      </c>
      <c r="W47" s="145">
        <v>0</v>
      </c>
      <c r="X47" s="145">
        <v>0</v>
      </c>
      <c r="Y47" s="147" t="s">
        <v>171</v>
      </c>
      <c r="Z47" s="147" t="s">
        <v>183</v>
      </c>
      <c r="AA47" s="146" t="s">
        <v>150</v>
      </c>
      <c r="AB47" s="147" t="s">
        <v>169</v>
      </c>
    </row>
    <row r="48" spans="1:28" ht="72">
      <c r="A48" s="143" t="s">
        <v>287</v>
      </c>
      <c r="B48" s="144" t="s">
        <v>288</v>
      </c>
      <c r="C48" s="145">
        <v>3306</v>
      </c>
      <c r="D48" s="145">
        <v>3306</v>
      </c>
      <c r="E48" s="145">
        <v>3306</v>
      </c>
      <c r="F48" s="145">
        <v>0</v>
      </c>
      <c r="G48" s="145">
        <v>0</v>
      </c>
      <c r="H48" s="145">
        <v>0</v>
      </c>
      <c r="I48" s="145">
        <v>0</v>
      </c>
      <c r="J48" s="145">
        <v>0</v>
      </c>
      <c r="K48" s="145">
        <v>0</v>
      </c>
      <c r="L48" s="145">
        <v>0</v>
      </c>
      <c r="M48" s="145">
        <v>3306</v>
      </c>
      <c r="N48" s="145">
        <v>3306</v>
      </c>
      <c r="O48" s="145">
        <v>3306</v>
      </c>
      <c r="P48" s="145">
        <v>0</v>
      </c>
      <c r="Q48" s="145">
        <v>0</v>
      </c>
      <c r="R48" s="145">
        <v>0</v>
      </c>
      <c r="S48" s="145">
        <v>0</v>
      </c>
      <c r="T48" s="145">
        <v>0</v>
      </c>
      <c r="U48" s="145">
        <v>0</v>
      </c>
      <c r="V48" s="145">
        <v>0</v>
      </c>
      <c r="W48" s="145">
        <v>0</v>
      </c>
      <c r="X48" s="145">
        <v>0</v>
      </c>
      <c r="Y48" s="147" t="s">
        <v>169</v>
      </c>
      <c r="Z48" s="147" t="s">
        <v>169</v>
      </c>
      <c r="AA48" s="146" t="s">
        <v>150</v>
      </c>
      <c r="AB48" s="146" t="s">
        <v>150</v>
      </c>
    </row>
    <row r="49" spans="1:28" ht="36">
      <c r="A49" s="143" t="s">
        <v>289</v>
      </c>
      <c r="B49" s="144" t="s">
        <v>290</v>
      </c>
      <c r="C49" s="145">
        <v>37</v>
      </c>
      <c r="D49" s="145">
        <v>0</v>
      </c>
      <c r="E49" s="145">
        <v>0</v>
      </c>
      <c r="F49" s="145">
        <v>0</v>
      </c>
      <c r="G49" s="145">
        <v>0</v>
      </c>
      <c r="H49" s="145">
        <v>0</v>
      </c>
      <c r="I49" s="145">
        <v>0</v>
      </c>
      <c r="J49" s="145">
        <v>37</v>
      </c>
      <c r="K49" s="145">
        <v>37</v>
      </c>
      <c r="L49" s="145">
        <v>0</v>
      </c>
      <c r="M49" s="145">
        <v>37</v>
      </c>
      <c r="N49" s="145">
        <v>0</v>
      </c>
      <c r="O49" s="145">
        <v>0</v>
      </c>
      <c r="P49" s="145">
        <v>0</v>
      </c>
      <c r="Q49" s="145">
        <v>0</v>
      </c>
      <c r="R49" s="145">
        <v>0</v>
      </c>
      <c r="S49" s="145">
        <v>0</v>
      </c>
      <c r="T49" s="145">
        <v>37</v>
      </c>
      <c r="U49" s="145">
        <v>37</v>
      </c>
      <c r="V49" s="145">
        <v>0</v>
      </c>
      <c r="W49" s="145">
        <v>0</v>
      </c>
      <c r="X49" s="145">
        <v>0</v>
      </c>
      <c r="Y49" s="147" t="s">
        <v>169</v>
      </c>
      <c r="Z49" s="146" t="s">
        <v>150</v>
      </c>
      <c r="AA49" s="146" t="s">
        <v>150</v>
      </c>
      <c r="AB49" s="147" t="s">
        <v>169</v>
      </c>
    </row>
    <row r="50" spans="1:28" ht="36">
      <c r="A50" s="143" t="s">
        <v>291</v>
      </c>
      <c r="B50" s="144" t="s">
        <v>292</v>
      </c>
      <c r="C50" s="145">
        <v>74</v>
      </c>
      <c r="D50" s="145">
        <v>0</v>
      </c>
      <c r="E50" s="145">
        <v>0</v>
      </c>
      <c r="F50" s="145">
        <v>0</v>
      </c>
      <c r="G50" s="145">
        <v>0</v>
      </c>
      <c r="H50" s="145">
        <v>0</v>
      </c>
      <c r="I50" s="145">
        <v>0</v>
      </c>
      <c r="J50" s="145">
        <v>74</v>
      </c>
      <c r="K50" s="145">
        <v>74</v>
      </c>
      <c r="L50" s="145">
        <v>0</v>
      </c>
      <c r="M50" s="145">
        <v>74</v>
      </c>
      <c r="N50" s="145">
        <v>0</v>
      </c>
      <c r="O50" s="145">
        <v>0</v>
      </c>
      <c r="P50" s="145">
        <v>0</v>
      </c>
      <c r="Q50" s="145">
        <v>0</v>
      </c>
      <c r="R50" s="145">
        <v>0</v>
      </c>
      <c r="S50" s="145">
        <v>0</v>
      </c>
      <c r="T50" s="145">
        <v>74</v>
      </c>
      <c r="U50" s="145">
        <v>74</v>
      </c>
      <c r="V50" s="145">
        <v>0</v>
      </c>
      <c r="W50" s="145">
        <v>0</v>
      </c>
      <c r="X50" s="145">
        <v>0</v>
      </c>
      <c r="Y50" s="147" t="s">
        <v>169</v>
      </c>
      <c r="Z50" s="146" t="s">
        <v>150</v>
      </c>
      <c r="AA50" s="146" t="s">
        <v>150</v>
      </c>
      <c r="AB50" s="147" t="s">
        <v>169</v>
      </c>
    </row>
    <row r="51" spans="1:28" ht="24">
      <c r="A51" s="143" t="s">
        <v>293</v>
      </c>
      <c r="B51" s="144" t="s">
        <v>294</v>
      </c>
      <c r="C51" s="145">
        <v>125</v>
      </c>
      <c r="D51" s="145">
        <v>0</v>
      </c>
      <c r="E51" s="145">
        <v>0</v>
      </c>
      <c r="F51" s="145">
        <v>0</v>
      </c>
      <c r="G51" s="145">
        <v>0</v>
      </c>
      <c r="H51" s="145">
        <v>0</v>
      </c>
      <c r="I51" s="145">
        <v>0</v>
      </c>
      <c r="J51" s="145">
        <v>125</v>
      </c>
      <c r="K51" s="145">
        <v>125</v>
      </c>
      <c r="L51" s="145">
        <v>0</v>
      </c>
      <c r="M51" s="145">
        <v>125</v>
      </c>
      <c r="N51" s="145">
        <v>0</v>
      </c>
      <c r="O51" s="145">
        <v>0</v>
      </c>
      <c r="P51" s="145">
        <v>0</v>
      </c>
      <c r="Q51" s="145">
        <v>0</v>
      </c>
      <c r="R51" s="145">
        <v>0</v>
      </c>
      <c r="S51" s="145">
        <v>0</v>
      </c>
      <c r="T51" s="145">
        <v>125</v>
      </c>
      <c r="U51" s="145">
        <v>125</v>
      </c>
      <c r="V51" s="145">
        <v>0</v>
      </c>
      <c r="W51" s="145">
        <v>0</v>
      </c>
      <c r="X51" s="145">
        <v>0</v>
      </c>
      <c r="Y51" s="147" t="s">
        <v>169</v>
      </c>
      <c r="Z51" s="146" t="s">
        <v>150</v>
      </c>
      <c r="AA51" s="146" t="s">
        <v>150</v>
      </c>
      <c r="AB51" s="147" t="s">
        <v>169</v>
      </c>
    </row>
    <row r="52" spans="1:28" ht="24">
      <c r="A52" s="143" t="s">
        <v>295</v>
      </c>
      <c r="B52" s="144" t="s">
        <v>296</v>
      </c>
      <c r="C52" s="145">
        <v>129</v>
      </c>
      <c r="D52" s="145">
        <v>0</v>
      </c>
      <c r="E52" s="145">
        <v>0</v>
      </c>
      <c r="F52" s="145">
        <v>0</v>
      </c>
      <c r="G52" s="145">
        <v>0</v>
      </c>
      <c r="H52" s="145">
        <v>0</v>
      </c>
      <c r="I52" s="145">
        <v>0</v>
      </c>
      <c r="J52" s="145">
        <v>129</v>
      </c>
      <c r="K52" s="145">
        <v>129</v>
      </c>
      <c r="L52" s="145">
        <v>0</v>
      </c>
      <c r="M52" s="145">
        <v>129</v>
      </c>
      <c r="N52" s="145">
        <v>0</v>
      </c>
      <c r="O52" s="145">
        <v>0</v>
      </c>
      <c r="P52" s="145">
        <v>0</v>
      </c>
      <c r="Q52" s="145">
        <v>0</v>
      </c>
      <c r="R52" s="145">
        <v>0</v>
      </c>
      <c r="S52" s="145">
        <v>0</v>
      </c>
      <c r="T52" s="145">
        <v>129</v>
      </c>
      <c r="U52" s="145">
        <v>129</v>
      </c>
      <c r="V52" s="145">
        <v>0</v>
      </c>
      <c r="W52" s="145">
        <v>0</v>
      </c>
      <c r="X52" s="145">
        <v>0</v>
      </c>
      <c r="Y52" s="147" t="s">
        <v>169</v>
      </c>
      <c r="Z52" s="146" t="s">
        <v>150</v>
      </c>
      <c r="AA52" s="146" t="s">
        <v>150</v>
      </c>
      <c r="AB52" s="147" t="s">
        <v>169</v>
      </c>
    </row>
    <row r="53" spans="1:28" ht="24">
      <c r="A53" s="143" t="s">
        <v>297</v>
      </c>
      <c r="B53" s="144" t="s">
        <v>298</v>
      </c>
      <c r="C53" s="145">
        <v>175</v>
      </c>
      <c r="D53" s="145">
        <v>0</v>
      </c>
      <c r="E53" s="145">
        <v>0</v>
      </c>
      <c r="F53" s="145">
        <v>0</v>
      </c>
      <c r="G53" s="145">
        <v>0</v>
      </c>
      <c r="H53" s="145">
        <v>0</v>
      </c>
      <c r="I53" s="145">
        <v>0</v>
      </c>
      <c r="J53" s="145">
        <v>175</v>
      </c>
      <c r="K53" s="145">
        <v>175</v>
      </c>
      <c r="L53" s="145">
        <v>0</v>
      </c>
      <c r="M53" s="145">
        <v>175</v>
      </c>
      <c r="N53" s="145">
        <v>0</v>
      </c>
      <c r="O53" s="145">
        <v>0</v>
      </c>
      <c r="P53" s="145">
        <v>0</v>
      </c>
      <c r="Q53" s="145">
        <v>0</v>
      </c>
      <c r="R53" s="145">
        <v>0</v>
      </c>
      <c r="S53" s="145">
        <v>0</v>
      </c>
      <c r="T53" s="145">
        <v>175</v>
      </c>
      <c r="U53" s="145">
        <v>175</v>
      </c>
      <c r="V53" s="145">
        <v>0</v>
      </c>
      <c r="W53" s="145">
        <v>0</v>
      </c>
      <c r="X53" s="145">
        <v>0</v>
      </c>
      <c r="Y53" s="147" t="s">
        <v>169</v>
      </c>
      <c r="Z53" s="146" t="s">
        <v>150</v>
      </c>
      <c r="AA53" s="146" t="s">
        <v>150</v>
      </c>
      <c r="AB53" s="147" t="s">
        <v>169</v>
      </c>
    </row>
    <row r="54" spans="1:28" ht="48">
      <c r="A54" s="143" t="s">
        <v>299</v>
      </c>
      <c r="B54" s="144" t="s">
        <v>300</v>
      </c>
      <c r="C54" s="145">
        <v>69</v>
      </c>
      <c r="D54" s="145">
        <v>69</v>
      </c>
      <c r="E54" s="145">
        <v>0</v>
      </c>
      <c r="F54" s="145">
        <v>0</v>
      </c>
      <c r="G54" s="145">
        <v>0</v>
      </c>
      <c r="H54" s="145">
        <v>0</v>
      </c>
      <c r="I54" s="145">
        <v>0</v>
      </c>
      <c r="J54" s="145">
        <v>0</v>
      </c>
      <c r="K54" s="145">
        <v>0</v>
      </c>
      <c r="L54" s="145">
        <v>0</v>
      </c>
      <c r="M54" s="145">
        <v>69</v>
      </c>
      <c r="N54" s="145">
        <v>69</v>
      </c>
      <c r="O54" s="145">
        <v>0</v>
      </c>
      <c r="P54" s="145">
        <v>0</v>
      </c>
      <c r="Q54" s="145">
        <v>0</v>
      </c>
      <c r="R54" s="145">
        <v>0</v>
      </c>
      <c r="S54" s="145">
        <v>0</v>
      </c>
      <c r="T54" s="145">
        <v>0</v>
      </c>
      <c r="U54" s="145">
        <v>0</v>
      </c>
      <c r="V54" s="145">
        <v>0</v>
      </c>
      <c r="W54" s="145">
        <v>0</v>
      </c>
      <c r="X54" s="145">
        <v>0</v>
      </c>
      <c r="Y54" s="147" t="s">
        <v>169</v>
      </c>
      <c r="Z54" s="147" t="s">
        <v>169</v>
      </c>
      <c r="AA54" s="146" t="s">
        <v>150</v>
      </c>
      <c r="AB54" s="146" t="s">
        <v>150</v>
      </c>
    </row>
    <row r="55" spans="1:28" ht="48">
      <c r="A55" s="143" t="s">
        <v>301</v>
      </c>
      <c r="B55" s="144" t="s">
        <v>302</v>
      </c>
      <c r="C55" s="145">
        <v>342</v>
      </c>
      <c r="D55" s="145">
        <v>342</v>
      </c>
      <c r="E55" s="145">
        <v>0</v>
      </c>
      <c r="F55" s="145">
        <v>0</v>
      </c>
      <c r="G55" s="145">
        <v>0</v>
      </c>
      <c r="H55" s="145">
        <v>0</v>
      </c>
      <c r="I55" s="145">
        <v>0</v>
      </c>
      <c r="J55" s="145">
        <v>0</v>
      </c>
      <c r="K55" s="145">
        <v>0</v>
      </c>
      <c r="L55" s="145">
        <v>0</v>
      </c>
      <c r="M55" s="145">
        <v>341</v>
      </c>
      <c r="N55" s="145">
        <v>341</v>
      </c>
      <c r="O55" s="145">
        <v>0</v>
      </c>
      <c r="P55" s="145">
        <v>0</v>
      </c>
      <c r="Q55" s="145">
        <v>0</v>
      </c>
      <c r="R55" s="145">
        <v>0</v>
      </c>
      <c r="S55" s="145">
        <v>0</v>
      </c>
      <c r="T55" s="145">
        <v>0</v>
      </c>
      <c r="U55" s="145">
        <v>0</v>
      </c>
      <c r="V55" s="145">
        <v>0</v>
      </c>
      <c r="W55" s="145">
        <v>0</v>
      </c>
      <c r="X55" s="145">
        <v>0</v>
      </c>
      <c r="Y55" s="147" t="s">
        <v>174</v>
      </c>
      <c r="Z55" s="147" t="s">
        <v>174</v>
      </c>
      <c r="AA55" s="146" t="s">
        <v>150</v>
      </c>
      <c r="AB55" s="146" t="s">
        <v>150</v>
      </c>
    </row>
    <row r="56" spans="1:28" ht="36">
      <c r="A56" s="143" t="s">
        <v>303</v>
      </c>
      <c r="B56" s="144" t="s">
        <v>304</v>
      </c>
      <c r="C56" s="145">
        <v>438</v>
      </c>
      <c r="D56" s="145">
        <v>0</v>
      </c>
      <c r="E56" s="145">
        <v>0</v>
      </c>
      <c r="F56" s="145">
        <v>0</v>
      </c>
      <c r="G56" s="145">
        <v>0</v>
      </c>
      <c r="H56" s="145">
        <v>0</v>
      </c>
      <c r="I56" s="145">
        <v>0</v>
      </c>
      <c r="J56" s="145">
        <v>438</v>
      </c>
      <c r="K56" s="145">
        <v>438</v>
      </c>
      <c r="L56" s="145">
        <v>0</v>
      </c>
      <c r="M56" s="145">
        <v>438</v>
      </c>
      <c r="N56" s="145">
        <v>0</v>
      </c>
      <c r="O56" s="145">
        <v>0</v>
      </c>
      <c r="P56" s="145">
        <v>0</v>
      </c>
      <c r="Q56" s="145">
        <v>0</v>
      </c>
      <c r="R56" s="145">
        <v>0</v>
      </c>
      <c r="S56" s="145">
        <v>0</v>
      </c>
      <c r="T56" s="145">
        <v>438</v>
      </c>
      <c r="U56" s="145">
        <v>438</v>
      </c>
      <c r="V56" s="145">
        <v>0</v>
      </c>
      <c r="W56" s="145">
        <v>0</v>
      </c>
      <c r="X56" s="145">
        <v>0</v>
      </c>
      <c r="Y56" s="147" t="s">
        <v>169</v>
      </c>
      <c r="Z56" s="146" t="s">
        <v>150</v>
      </c>
      <c r="AA56" s="146" t="s">
        <v>150</v>
      </c>
      <c r="AB56" s="147" t="s">
        <v>169</v>
      </c>
    </row>
    <row r="57" spans="1:28" ht="60">
      <c r="A57" s="143" t="s">
        <v>305</v>
      </c>
      <c r="B57" s="144" t="s">
        <v>306</v>
      </c>
      <c r="C57" s="145">
        <v>748</v>
      </c>
      <c r="D57" s="145">
        <v>0</v>
      </c>
      <c r="E57" s="145">
        <v>0</v>
      </c>
      <c r="F57" s="145">
        <v>0</v>
      </c>
      <c r="G57" s="145">
        <v>0</v>
      </c>
      <c r="H57" s="145">
        <v>0</v>
      </c>
      <c r="I57" s="145">
        <v>0</v>
      </c>
      <c r="J57" s="145">
        <v>748</v>
      </c>
      <c r="K57" s="145">
        <v>748</v>
      </c>
      <c r="L57" s="145">
        <v>0</v>
      </c>
      <c r="M57" s="145">
        <v>748</v>
      </c>
      <c r="N57" s="145">
        <v>0</v>
      </c>
      <c r="O57" s="145">
        <v>0</v>
      </c>
      <c r="P57" s="145">
        <v>0</v>
      </c>
      <c r="Q57" s="145">
        <v>0</v>
      </c>
      <c r="R57" s="145">
        <v>0</v>
      </c>
      <c r="S57" s="145">
        <v>0</v>
      </c>
      <c r="T57" s="145">
        <v>748</v>
      </c>
      <c r="U57" s="145">
        <v>748</v>
      </c>
      <c r="V57" s="145">
        <v>0</v>
      </c>
      <c r="W57" s="145">
        <v>0</v>
      </c>
      <c r="X57" s="145">
        <v>0</v>
      </c>
      <c r="Y57" s="147" t="s">
        <v>169</v>
      </c>
      <c r="Z57" s="146" t="s">
        <v>150</v>
      </c>
      <c r="AA57" s="146" t="s">
        <v>150</v>
      </c>
      <c r="AB57" s="147" t="s">
        <v>169</v>
      </c>
    </row>
    <row r="58" spans="1:28" ht="60">
      <c r="A58" s="143" t="s">
        <v>307</v>
      </c>
      <c r="B58" s="144" t="s">
        <v>308</v>
      </c>
      <c r="C58" s="145">
        <v>727</v>
      </c>
      <c r="D58" s="145">
        <v>0</v>
      </c>
      <c r="E58" s="145">
        <v>0</v>
      </c>
      <c r="F58" s="145">
        <v>0</v>
      </c>
      <c r="G58" s="145">
        <v>0</v>
      </c>
      <c r="H58" s="145">
        <v>0</v>
      </c>
      <c r="I58" s="145">
        <v>0</v>
      </c>
      <c r="J58" s="145">
        <v>727</v>
      </c>
      <c r="K58" s="145">
        <v>727</v>
      </c>
      <c r="L58" s="145">
        <v>0</v>
      </c>
      <c r="M58" s="145">
        <v>726</v>
      </c>
      <c r="N58" s="145">
        <v>0</v>
      </c>
      <c r="O58" s="145">
        <v>0</v>
      </c>
      <c r="P58" s="145">
        <v>0</v>
      </c>
      <c r="Q58" s="145">
        <v>0</v>
      </c>
      <c r="R58" s="145">
        <v>0</v>
      </c>
      <c r="S58" s="145">
        <v>0</v>
      </c>
      <c r="T58" s="145">
        <v>726</v>
      </c>
      <c r="U58" s="145">
        <v>726</v>
      </c>
      <c r="V58" s="145">
        <v>0</v>
      </c>
      <c r="W58" s="145">
        <v>0</v>
      </c>
      <c r="X58" s="145">
        <v>0</v>
      </c>
      <c r="Y58" s="147" t="s">
        <v>249</v>
      </c>
      <c r="Z58" s="146" t="s">
        <v>150</v>
      </c>
      <c r="AA58" s="146" t="s">
        <v>150</v>
      </c>
      <c r="AB58" s="147" t="s">
        <v>249</v>
      </c>
    </row>
    <row r="59" spans="1:28" ht="36">
      <c r="A59" s="143" t="s">
        <v>309</v>
      </c>
      <c r="B59" s="144" t="s">
        <v>310</v>
      </c>
      <c r="C59" s="145">
        <v>443</v>
      </c>
      <c r="D59" s="145">
        <v>0</v>
      </c>
      <c r="E59" s="145">
        <v>0</v>
      </c>
      <c r="F59" s="145">
        <v>0</v>
      </c>
      <c r="G59" s="145">
        <v>0</v>
      </c>
      <c r="H59" s="145">
        <v>0</v>
      </c>
      <c r="I59" s="145">
        <v>0</v>
      </c>
      <c r="J59" s="145">
        <v>443</v>
      </c>
      <c r="K59" s="145">
        <v>443</v>
      </c>
      <c r="L59" s="145">
        <v>0</v>
      </c>
      <c r="M59" s="145">
        <v>443</v>
      </c>
      <c r="N59" s="145">
        <v>0</v>
      </c>
      <c r="O59" s="145">
        <v>0</v>
      </c>
      <c r="P59" s="145">
        <v>0</v>
      </c>
      <c r="Q59" s="145">
        <v>0</v>
      </c>
      <c r="R59" s="145">
        <v>0</v>
      </c>
      <c r="S59" s="145">
        <v>0</v>
      </c>
      <c r="T59" s="145">
        <v>443</v>
      </c>
      <c r="U59" s="145">
        <v>443</v>
      </c>
      <c r="V59" s="145">
        <v>0</v>
      </c>
      <c r="W59" s="145">
        <v>0</v>
      </c>
      <c r="X59" s="145">
        <v>0</v>
      </c>
      <c r="Y59" s="147" t="s">
        <v>169</v>
      </c>
      <c r="Z59" s="146" t="s">
        <v>150</v>
      </c>
      <c r="AA59" s="146" t="s">
        <v>150</v>
      </c>
      <c r="AB59" s="147" t="s">
        <v>169</v>
      </c>
    </row>
    <row r="60" spans="1:28" ht="52.8" customHeight="1">
      <c r="A60" s="143" t="s">
        <v>311</v>
      </c>
      <c r="B60" s="144" t="s">
        <v>312</v>
      </c>
      <c r="C60" s="145">
        <v>171</v>
      </c>
      <c r="D60" s="145">
        <v>0</v>
      </c>
      <c r="E60" s="145">
        <v>0</v>
      </c>
      <c r="F60" s="145">
        <v>0</v>
      </c>
      <c r="G60" s="145">
        <v>0</v>
      </c>
      <c r="H60" s="145">
        <v>0</v>
      </c>
      <c r="I60" s="145">
        <v>0</v>
      </c>
      <c r="J60" s="145">
        <v>171</v>
      </c>
      <c r="K60" s="145">
        <v>171</v>
      </c>
      <c r="L60" s="145">
        <v>0</v>
      </c>
      <c r="M60" s="145">
        <v>170</v>
      </c>
      <c r="N60" s="145">
        <v>0</v>
      </c>
      <c r="O60" s="145">
        <v>0</v>
      </c>
      <c r="P60" s="145">
        <v>0</v>
      </c>
      <c r="Q60" s="145">
        <v>0</v>
      </c>
      <c r="R60" s="145">
        <v>0</v>
      </c>
      <c r="S60" s="145">
        <v>0</v>
      </c>
      <c r="T60" s="145">
        <v>170</v>
      </c>
      <c r="U60" s="145">
        <v>170</v>
      </c>
      <c r="V60" s="145">
        <v>0</v>
      </c>
      <c r="W60" s="145">
        <v>0</v>
      </c>
      <c r="X60" s="145">
        <v>0</v>
      </c>
      <c r="Y60" s="147" t="s">
        <v>313</v>
      </c>
      <c r="Z60" s="146" t="s">
        <v>150</v>
      </c>
      <c r="AA60" s="146" t="s">
        <v>150</v>
      </c>
      <c r="AB60" s="147" t="s">
        <v>313</v>
      </c>
    </row>
    <row r="61" spans="1:28" ht="40.200000000000003" customHeight="1">
      <c r="A61" s="143" t="s">
        <v>314</v>
      </c>
      <c r="B61" s="144" t="s">
        <v>315</v>
      </c>
      <c r="C61" s="145">
        <v>397</v>
      </c>
      <c r="D61" s="145">
        <v>0</v>
      </c>
      <c r="E61" s="145">
        <v>0</v>
      </c>
      <c r="F61" s="145">
        <v>0</v>
      </c>
      <c r="G61" s="145">
        <v>0</v>
      </c>
      <c r="H61" s="145">
        <v>0</v>
      </c>
      <c r="I61" s="145">
        <v>0</v>
      </c>
      <c r="J61" s="145">
        <v>397</v>
      </c>
      <c r="K61" s="145">
        <v>397</v>
      </c>
      <c r="L61" s="145">
        <v>0</v>
      </c>
      <c r="M61" s="145">
        <v>397</v>
      </c>
      <c r="N61" s="145">
        <v>0</v>
      </c>
      <c r="O61" s="145">
        <v>0</v>
      </c>
      <c r="P61" s="145">
        <v>0</v>
      </c>
      <c r="Q61" s="145">
        <v>0</v>
      </c>
      <c r="R61" s="145">
        <v>0</v>
      </c>
      <c r="S61" s="145">
        <v>0</v>
      </c>
      <c r="T61" s="145">
        <v>397</v>
      </c>
      <c r="U61" s="145">
        <v>397</v>
      </c>
      <c r="V61" s="145">
        <v>0</v>
      </c>
      <c r="W61" s="145">
        <v>0</v>
      </c>
      <c r="X61" s="145">
        <v>0</v>
      </c>
      <c r="Y61" s="147" t="s">
        <v>169</v>
      </c>
      <c r="Z61" s="146" t="s">
        <v>150</v>
      </c>
      <c r="AA61" s="146" t="s">
        <v>150</v>
      </c>
      <c r="AB61" s="147" t="s">
        <v>169</v>
      </c>
    </row>
    <row r="62" spans="1:28" ht="40.200000000000003" customHeight="1">
      <c r="A62" s="143" t="s">
        <v>316</v>
      </c>
      <c r="B62" s="144" t="s">
        <v>317</v>
      </c>
      <c r="C62" s="145">
        <v>100</v>
      </c>
      <c r="D62" s="145">
        <v>0</v>
      </c>
      <c r="E62" s="145">
        <v>0</v>
      </c>
      <c r="F62" s="145">
        <v>0</v>
      </c>
      <c r="G62" s="145">
        <v>0</v>
      </c>
      <c r="H62" s="145">
        <v>0</v>
      </c>
      <c r="I62" s="145">
        <v>0</v>
      </c>
      <c r="J62" s="145">
        <v>100</v>
      </c>
      <c r="K62" s="145">
        <v>100</v>
      </c>
      <c r="L62" s="145">
        <v>0</v>
      </c>
      <c r="M62" s="145">
        <v>100</v>
      </c>
      <c r="N62" s="145">
        <v>0</v>
      </c>
      <c r="O62" s="145">
        <v>0</v>
      </c>
      <c r="P62" s="145">
        <v>0</v>
      </c>
      <c r="Q62" s="145">
        <v>0</v>
      </c>
      <c r="R62" s="145">
        <v>0</v>
      </c>
      <c r="S62" s="145">
        <v>0</v>
      </c>
      <c r="T62" s="145">
        <v>100</v>
      </c>
      <c r="U62" s="145">
        <v>100</v>
      </c>
      <c r="V62" s="145">
        <v>0</v>
      </c>
      <c r="W62" s="145">
        <v>0</v>
      </c>
      <c r="X62" s="145">
        <v>0</v>
      </c>
      <c r="Y62" s="147" t="s">
        <v>169</v>
      </c>
      <c r="Z62" s="146" t="s">
        <v>150</v>
      </c>
      <c r="AA62" s="146" t="s">
        <v>150</v>
      </c>
      <c r="AB62" s="147" t="s">
        <v>169</v>
      </c>
    </row>
    <row r="63" spans="1:28" ht="40.200000000000003" customHeight="1">
      <c r="A63" s="143" t="s">
        <v>318</v>
      </c>
      <c r="B63" s="144" t="s">
        <v>319</v>
      </c>
      <c r="C63" s="145">
        <v>67</v>
      </c>
      <c r="D63" s="145">
        <v>0</v>
      </c>
      <c r="E63" s="145">
        <v>0</v>
      </c>
      <c r="F63" s="145">
        <v>0</v>
      </c>
      <c r="G63" s="145">
        <v>0</v>
      </c>
      <c r="H63" s="145">
        <v>0</v>
      </c>
      <c r="I63" s="145">
        <v>0</v>
      </c>
      <c r="J63" s="145">
        <v>67</v>
      </c>
      <c r="K63" s="145">
        <v>67</v>
      </c>
      <c r="L63" s="145">
        <v>0</v>
      </c>
      <c r="M63" s="145">
        <v>67</v>
      </c>
      <c r="N63" s="145">
        <v>0</v>
      </c>
      <c r="O63" s="145">
        <v>0</v>
      </c>
      <c r="P63" s="145">
        <v>0</v>
      </c>
      <c r="Q63" s="145">
        <v>0</v>
      </c>
      <c r="R63" s="145">
        <v>0</v>
      </c>
      <c r="S63" s="145">
        <v>0</v>
      </c>
      <c r="T63" s="145">
        <v>67</v>
      </c>
      <c r="U63" s="145">
        <v>67</v>
      </c>
      <c r="V63" s="145">
        <v>0</v>
      </c>
      <c r="W63" s="145">
        <v>0</v>
      </c>
      <c r="X63" s="145">
        <v>0</v>
      </c>
      <c r="Y63" s="147" t="s">
        <v>169</v>
      </c>
      <c r="Z63" s="146" t="s">
        <v>150</v>
      </c>
      <c r="AA63" s="146" t="s">
        <v>150</v>
      </c>
      <c r="AB63" s="147" t="s">
        <v>169</v>
      </c>
    </row>
    <row r="64" spans="1:28" ht="41.4" customHeight="1">
      <c r="A64" s="143" t="s">
        <v>320</v>
      </c>
      <c r="B64" s="144" t="s">
        <v>321</v>
      </c>
      <c r="C64" s="145">
        <v>241</v>
      </c>
      <c r="D64" s="145">
        <v>0</v>
      </c>
      <c r="E64" s="145">
        <v>0</v>
      </c>
      <c r="F64" s="145">
        <v>0</v>
      </c>
      <c r="G64" s="145">
        <v>0</v>
      </c>
      <c r="H64" s="145">
        <v>0</v>
      </c>
      <c r="I64" s="145">
        <v>0</v>
      </c>
      <c r="J64" s="145">
        <v>241</v>
      </c>
      <c r="K64" s="145">
        <v>241</v>
      </c>
      <c r="L64" s="145">
        <v>0</v>
      </c>
      <c r="M64" s="145">
        <v>241</v>
      </c>
      <c r="N64" s="145">
        <v>0</v>
      </c>
      <c r="O64" s="145">
        <v>0</v>
      </c>
      <c r="P64" s="145">
        <v>0</v>
      </c>
      <c r="Q64" s="145">
        <v>0</v>
      </c>
      <c r="R64" s="145">
        <v>0</v>
      </c>
      <c r="S64" s="145">
        <v>0</v>
      </c>
      <c r="T64" s="145">
        <v>241</v>
      </c>
      <c r="U64" s="145">
        <v>241</v>
      </c>
      <c r="V64" s="145">
        <v>0</v>
      </c>
      <c r="W64" s="145">
        <v>0</v>
      </c>
      <c r="X64" s="145">
        <v>0</v>
      </c>
      <c r="Y64" s="147" t="s">
        <v>169</v>
      </c>
      <c r="Z64" s="146" t="s">
        <v>150</v>
      </c>
      <c r="AA64" s="146" t="s">
        <v>150</v>
      </c>
      <c r="AB64" s="147" t="s">
        <v>169</v>
      </c>
    </row>
    <row r="65" spans="1:28" ht="41.4" customHeight="1">
      <c r="A65" s="143" t="s">
        <v>322</v>
      </c>
      <c r="B65" s="144" t="s">
        <v>323</v>
      </c>
      <c r="C65" s="145">
        <v>108</v>
      </c>
      <c r="D65" s="145">
        <v>0</v>
      </c>
      <c r="E65" s="145">
        <v>0</v>
      </c>
      <c r="F65" s="145">
        <v>0</v>
      </c>
      <c r="G65" s="145">
        <v>0</v>
      </c>
      <c r="H65" s="145">
        <v>0</v>
      </c>
      <c r="I65" s="145">
        <v>0</v>
      </c>
      <c r="J65" s="145">
        <v>108</v>
      </c>
      <c r="K65" s="145">
        <v>108</v>
      </c>
      <c r="L65" s="145">
        <v>0</v>
      </c>
      <c r="M65" s="145">
        <v>108</v>
      </c>
      <c r="N65" s="145">
        <v>0</v>
      </c>
      <c r="O65" s="145">
        <v>0</v>
      </c>
      <c r="P65" s="145">
        <v>0</v>
      </c>
      <c r="Q65" s="145">
        <v>0</v>
      </c>
      <c r="R65" s="145">
        <v>0</v>
      </c>
      <c r="S65" s="145">
        <v>0</v>
      </c>
      <c r="T65" s="145">
        <v>108</v>
      </c>
      <c r="U65" s="145">
        <v>108</v>
      </c>
      <c r="V65" s="145">
        <v>0</v>
      </c>
      <c r="W65" s="145">
        <v>0</v>
      </c>
      <c r="X65" s="145">
        <v>0</v>
      </c>
      <c r="Y65" s="147" t="s">
        <v>169</v>
      </c>
      <c r="Z65" s="146" t="s">
        <v>150</v>
      </c>
      <c r="AA65" s="146" t="s">
        <v>150</v>
      </c>
      <c r="AB65" s="147" t="s">
        <v>169</v>
      </c>
    </row>
    <row r="66" spans="1:28" ht="54.6" customHeight="1">
      <c r="A66" s="143" t="s">
        <v>324</v>
      </c>
      <c r="B66" s="144" t="s">
        <v>325</v>
      </c>
      <c r="C66" s="145">
        <v>497</v>
      </c>
      <c r="D66" s="145">
        <v>0</v>
      </c>
      <c r="E66" s="145">
        <v>0</v>
      </c>
      <c r="F66" s="145">
        <v>0</v>
      </c>
      <c r="G66" s="145">
        <v>0</v>
      </c>
      <c r="H66" s="145">
        <v>0</v>
      </c>
      <c r="I66" s="145">
        <v>0</v>
      </c>
      <c r="J66" s="145">
        <v>497</v>
      </c>
      <c r="K66" s="145">
        <v>497</v>
      </c>
      <c r="L66" s="145">
        <v>0</v>
      </c>
      <c r="M66" s="145">
        <v>497</v>
      </c>
      <c r="N66" s="145">
        <v>0</v>
      </c>
      <c r="O66" s="145">
        <v>0</v>
      </c>
      <c r="P66" s="145">
        <v>0</v>
      </c>
      <c r="Q66" s="145">
        <v>0</v>
      </c>
      <c r="R66" s="145">
        <v>0</v>
      </c>
      <c r="S66" s="145">
        <v>0</v>
      </c>
      <c r="T66" s="145">
        <v>497</v>
      </c>
      <c r="U66" s="145">
        <v>497</v>
      </c>
      <c r="V66" s="145">
        <v>0</v>
      </c>
      <c r="W66" s="145">
        <v>0</v>
      </c>
      <c r="X66" s="145">
        <v>0</v>
      </c>
      <c r="Y66" s="147" t="s">
        <v>169</v>
      </c>
      <c r="Z66" s="146" t="s">
        <v>150</v>
      </c>
      <c r="AA66" s="146" t="s">
        <v>150</v>
      </c>
      <c r="AB66" s="147" t="s">
        <v>169</v>
      </c>
    </row>
    <row r="67" spans="1:28" ht="54.6" customHeight="1">
      <c r="A67" s="143" t="s">
        <v>326</v>
      </c>
      <c r="B67" s="144" t="s">
        <v>327</v>
      </c>
      <c r="C67" s="145">
        <v>1126</v>
      </c>
      <c r="D67" s="145">
        <v>0</v>
      </c>
      <c r="E67" s="145">
        <v>0</v>
      </c>
      <c r="F67" s="145">
        <v>0</v>
      </c>
      <c r="G67" s="145">
        <v>0</v>
      </c>
      <c r="H67" s="145">
        <v>0</v>
      </c>
      <c r="I67" s="145">
        <v>0</v>
      </c>
      <c r="J67" s="145">
        <v>1126</v>
      </c>
      <c r="K67" s="145">
        <v>1126</v>
      </c>
      <c r="L67" s="145">
        <v>0</v>
      </c>
      <c r="M67" s="145">
        <v>1101</v>
      </c>
      <c r="N67" s="145">
        <v>0</v>
      </c>
      <c r="O67" s="145">
        <v>0</v>
      </c>
      <c r="P67" s="145">
        <v>0</v>
      </c>
      <c r="Q67" s="145">
        <v>0</v>
      </c>
      <c r="R67" s="145">
        <v>0</v>
      </c>
      <c r="S67" s="145">
        <v>0</v>
      </c>
      <c r="T67" s="145">
        <v>1101</v>
      </c>
      <c r="U67" s="145">
        <v>1101</v>
      </c>
      <c r="V67" s="145">
        <v>0</v>
      </c>
      <c r="W67" s="145">
        <v>0</v>
      </c>
      <c r="X67" s="145">
        <v>0</v>
      </c>
      <c r="Y67" s="147" t="s">
        <v>229</v>
      </c>
      <c r="Z67" s="146" t="s">
        <v>150</v>
      </c>
      <c r="AA67" s="146" t="s">
        <v>150</v>
      </c>
      <c r="AB67" s="147" t="s">
        <v>229</v>
      </c>
    </row>
    <row r="68" spans="1:28" ht="48" customHeight="1">
      <c r="A68" s="143" t="s">
        <v>328</v>
      </c>
      <c r="B68" s="144" t="s">
        <v>329</v>
      </c>
      <c r="C68" s="145">
        <v>996</v>
      </c>
      <c r="D68" s="145">
        <v>0</v>
      </c>
      <c r="E68" s="145">
        <v>0</v>
      </c>
      <c r="F68" s="145">
        <v>0</v>
      </c>
      <c r="G68" s="145">
        <v>0</v>
      </c>
      <c r="H68" s="145">
        <v>0</v>
      </c>
      <c r="I68" s="145">
        <v>0</v>
      </c>
      <c r="J68" s="145">
        <v>996</v>
      </c>
      <c r="K68" s="145">
        <v>996</v>
      </c>
      <c r="L68" s="145">
        <v>0</v>
      </c>
      <c r="M68" s="145">
        <v>985</v>
      </c>
      <c r="N68" s="145">
        <v>0</v>
      </c>
      <c r="O68" s="145">
        <v>0</v>
      </c>
      <c r="P68" s="145">
        <v>0</v>
      </c>
      <c r="Q68" s="145">
        <v>0</v>
      </c>
      <c r="R68" s="145">
        <v>0</v>
      </c>
      <c r="S68" s="145">
        <v>0</v>
      </c>
      <c r="T68" s="145">
        <v>985</v>
      </c>
      <c r="U68" s="145">
        <v>985</v>
      </c>
      <c r="V68" s="145">
        <v>0</v>
      </c>
      <c r="W68" s="145">
        <v>0</v>
      </c>
      <c r="X68" s="145">
        <v>0</v>
      </c>
      <c r="Y68" s="147" t="s">
        <v>178</v>
      </c>
      <c r="Z68" s="146" t="s">
        <v>150</v>
      </c>
      <c r="AA68" s="146" t="s">
        <v>150</v>
      </c>
      <c r="AB68" s="147" t="s">
        <v>178</v>
      </c>
    </row>
    <row r="69" spans="1:28" ht="54.6" customHeight="1">
      <c r="A69" s="143" t="s">
        <v>330</v>
      </c>
      <c r="B69" s="144" t="s">
        <v>331</v>
      </c>
      <c r="C69" s="145">
        <v>518</v>
      </c>
      <c r="D69" s="145">
        <v>0</v>
      </c>
      <c r="E69" s="145">
        <v>0</v>
      </c>
      <c r="F69" s="145">
        <v>0</v>
      </c>
      <c r="G69" s="145">
        <v>0</v>
      </c>
      <c r="H69" s="145">
        <v>0</v>
      </c>
      <c r="I69" s="145">
        <v>0</v>
      </c>
      <c r="J69" s="145">
        <v>518</v>
      </c>
      <c r="K69" s="145">
        <v>518</v>
      </c>
      <c r="L69" s="145">
        <v>0</v>
      </c>
      <c r="M69" s="145">
        <v>490</v>
      </c>
      <c r="N69" s="145">
        <v>0</v>
      </c>
      <c r="O69" s="145">
        <v>0</v>
      </c>
      <c r="P69" s="145">
        <v>0</v>
      </c>
      <c r="Q69" s="145">
        <v>0</v>
      </c>
      <c r="R69" s="145">
        <v>0</v>
      </c>
      <c r="S69" s="145">
        <v>0</v>
      </c>
      <c r="T69" s="145">
        <v>490</v>
      </c>
      <c r="U69" s="145">
        <v>490</v>
      </c>
      <c r="V69" s="145">
        <v>0</v>
      </c>
      <c r="W69" s="145">
        <v>0</v>
      </c>
      <c r="X69" s="145">
        <v>0</v>
      </c>
      <c r="Y69" s="147" t="s">
        <v>332</v>
      </c>
      <c r="Z69" s="146" t="s">
        <v>150</v>
      </c>
      <c r="AA69" s="146" t="s">
        <v>150</v>
      </c>
      <c r="AB69" s="147" t="s">
        <v>332</v>
      </c>
    </row>
    <row r="70" spans="1:28" ht="51.6" customHeight="1">
      <c r="A70" s="143" t="s">
        <v>333</v>
      </c>
      <c r="B70" s="144" t="s">
        <v>334</v>
      </c>
      <c r="C70" s="145">
        <v>1422</v>
      </c>
      <c r="D70" s="145">
        <v>0</v>
      </c>
      <c r="E70" s="145">
        <v>0</v>
      </c>
      <c r="F70" s="145">
        <v>0</v>
      </c>
      <c r="G70" s="145">
        <v>0</v>
      </c>
      <c r="H70" s="145">
        <v>0</v>
      </c>
      <c r="I70" s="145">
        <v>0</v>
      </c>
      <c r="J70" s="145">
        <v>1422</v>
      </c>
      <c r="K70" s="145">
        <v>1422</v>
      </c>
      <c r="L70" s="145">
        <v>0</v>
      </c>
      <c r="M70" s="145">
        <v>1386</v>
      </c>
      <c r="N70" s="145">
        <v>0</v>
      </c>
      <c r="O70" s="145">
        <v>0</v>
      </c>
      <c r="P70" s="145">
        <v>0</v>
      </c>
      <c r="Q70" s="145">
        <v>0</v>
      </c>
      <c r="R70" s="145">
        <v>0</v>
      </c>
      <c r="S70" s="145">
        <v>0</v>
      </c>
      <c r="T70" s="145">
        <v>1386</v>
      </c>
      <c r="U70" s="145">
        <v>1386</v>
      </c>
      <c r="V70" s="145">
        <v>0</v>
      </c>
      <c r="W70" s="145">
        <v>0</v>
      </c>
      <c r="X70" s="145">
        <v>0</v>
      </c>
      <c r="Y70" s="147" t="s">
        <v>335</v>
      </c>
      <c r="Z70" s="146" t="s">
        <v>150</v>
      </c>
      <c r="AA70" s="146" t="s">
        <v>150</v>
      </c>
      <c r="AB70" s="147" t="s">
        <v>335</v>
      </c>
    </row>
    <row r="71" spans="1:28" ht="45" customHeight="1">
      <c r="A71" s="143" t="s">
        <v>336</v>
      </c>
      <c r="B71" s="164" t="s">
        <v>342</v>
      </c>
      <c r="C71" s="145">
        <v>508</v>
      </c>
      <c r="D71" s="145">
        <v>0</v>
      </c>
      <c r="E71" s="145">
        <v>0</v>
      </c>
      <c r="F71" s="145">
        <v>0</v>
      </c>
      <c r="G71" s="145">
        <v>0</v>
      </c>
      <c r="H71" s="145">
        <v>0</v>
      </c>
      <c r="I71" s="145">
        <v>0</v>
      </c>
      <c r="J71" s="145">
        <v>508</v>
      </c>
      <c r="K71" s="145">
        <v>508</v>
      </c>
      <c r="L71" s="145">
        <v>0</v>
      </c>
      <c r="M71" s="145">
        <v>505</v>
      </c>
      <c r="N71" s="145">
        <v>0</v>
      </c>
      <c r="O71" s="145">
        <v>0</v>
      </c>
      <c r="P71" s="145">
        <v>0</v>
      </c>
      <c r="Q71" s="145">
        <v>0</v>
      </c>
      <c r="R71" s="145">
        <v>0</v>
      </c>
      <c r="S71" s="145">
        <v>0</v>
      </c>
      <c r="T71" s="145">
        <v>505</v>
      </c>
      <c r="U71" s="145">
        <v>505</v>
      </c>
      <c r="V71" s="145">
        <v>0</v>
      </c>
      <c r="W71" s="145">
        <v>0</v>
      </c>
      <c r="X71" s="145">
        <v>0</v>
      </c>
      <c r="Y71" s="147" t="s">
        <v>337</v>
      </c>
      <c r="Z71" s="146" t="s">
        <v>150</v>
      </c>
      <c r="AA71" s="146" t="s">
        <v>150</v>
      </c>
      <c r="AB71" s="147" t="s">
        <v>337</v>
      </c>
    </row>
    <row r="72" spans="1:28" ht="45" customHeight="1">
      <c r="A72" s="143" t="s">
        <v>338</v>
      </c>
      <c r="B72" s="164" t="s">
        <v>343</v>
      </c>
      <c r="C72" s="145">
        <v>145</v>
      </c>
      <c r="D72" s="145">
        <v>0</v>
      </c>
      <c r="E72" s="145">
        <v>0</v>
      </c>
      <c r="F72" s="145">
        <v>0</v>
      </c>
      <c r="G72" s="145">
        <v>0</v>
      </c>
      <c r="H72" s="145">
        <v>0</v>
      </c>
      <c r="I72" s="145">
        <v>0</v>
      </c>
      <c r="J72" s="145">
        <v>145</v>
      </c>
      <c r="K72" s="145">
        <v>145</v>
      </c>
      <c r="L72" s="145">
        <v>0</v>
      </c>
      <c r="M72" s="145">
        <v>145</v>
      </c>
      <c r="N72" s="145">
        <v>0</v>
      </c>
      <c r="O72" s="145">
        <v>0</v>
      </c>
      <c r="P72" s="145">
        <v>0</v>
      </c>
      <c r="Q72" s="145">
        <v>0</v>
      </c>
      <c r="R72" s="145">
        <v>0</v>
      </c>
      <c r="S72" s="145">
        <v>0</v>
      </c>
      <c r="T72" s="145">
        <v>145</v>
      </c>
      <c r="U72" s="145">
        <v>145</v>
      </c>
      <c r="V72" s="145">
        <v>0</v>
      </c>
      <c r="W72" s="145">
        <v>0</v>
      </c>
      <c r="X72" s="145">
        <v>0</v>
      </c>
      <c r="Y72" s="147" t="s">
        <v>169</v>
      </c>
      <c r="Z72" s="146" t="s">
        <v>150</v>
      </c>
      <c r="AA72" s="146" t="s">
        <v>150</v>
      </c>
      <c r="AB72" s="147" t="s">
        <v>169</v>
      </c>
    </row>
    <row r="73" spans="1:28" ht="45" customHeight="1">
      <c r="A73" s="143" t="s">
        <v>339</v>
      </c>
      <c r="B73" s="164" t="s">
        <v>344</v>
      </c>
      <c r="C73" s="145">
        <v>120</v>
      </c>
      <c r="D73" s="145">
        <v>0</v>
      </c>
      <c r="E73" s="145">
        <v>0</v>
      </c>
      <c r="F73" s="145">
        <v>0</v>
      </c>
      <c r="G73" s="145">
        <v>0</v>
      </c>
      <c r="H73" s="145">
        <v>0</v>
      </c>
      <c r="I73" s="145">
        <v>0</v>
      </c>
      <c r="J73" s="145">
        <v>120</v>
      </c>
      <c r="K73" s="145">
        <v>120</v>
      </c>
      <c r="L73" s="145">
        <v>0</v>
      </c>
      <c r="M73" s="145">
        <v>120</v>
      </c>
      <c r="N73" s="145">
        <v>0</v>
      </c>
      <c r="O73" s="145">
        <v>0</v>
      </c>
      <c r="P73" s="145">
        <v>0</v>
      </c>
      <c r="Q73" s="145">
        <v>0</v>
      </c>
      <c r="R73" s="145">
        <v>0</v>
      </c>
      <c r="S73" s="145">
        <v>0</v>
      </c>
      <c r="T73" s="145">
        <v>120</v>
      </c>
      <c r="U73" s="145">
        <v>120</v>
      </c>
      <c r="V73" s="145">
        <v>0</v>
      </c>
      <c r="W73" s="145">
        <v>0</v>
      </c>
      <c r="X73" s="145">
        <v>0</v>
      </c>
      <c r="Y73" s="147" t="s">
        <v>169</v>
      </c>
      <c r="Z73" s="146" t="s">
        <v>150</v>
      </c>
      <c r="AA73" s="146" t="s">
        <v>150</v>
      </c>
      <c r="AB73" s="147" t="s">
        <v>169</v>
      </c>
    </row>
    <row r="74" spans="1:28" ht="46.2" customHeight="1">
      <c r="A74" s="143" t="s">
        <v>340</v>
      </c>
      <c r="B74" s="164" t="s">
        <v>345</v>
      </c>
      <c r="C74" s="145">
        <v>25</v>
      </c>
      <c r="D74" s="145">
        <v>0</v>
      </c>
      <c r="E74" s="145">
        <v>0</v>
      </c>
      <c r="F74" s="145">
        <v>0</v>
      </c>
      <c r="G74" s="145">
        <v>0</v>
      </c>
      <c r="H74" s="145">
        <v>0</v>
      </c>
      <c r="I74" s="145">
        <v>0</v>
      </c>
      <c r="J74" s="145">
        <v>25</v>
      </c>
      <c r="K74" s="145">
        <v>25</v>
      </c>
      <c r="L74" s="145">
        <v>0</v>
      </c>
      <c r="M74" s="145">
        <v>25</v>
      </c>
      <c r="N74" s="145">
        <v>0</v>
      </c>
      <c r="O74" s="145">
        <v>0</v>
      </c>
      <c r="P74" s="145">
        <v>0</v>
      </c>
      <c r="Q74" s="145">
        <v>0</v>
      </c>
      <c r="R74" s="145">
        <v>0</v>
      </c>
      <c r="S74" s="145">
        <v>0</v>
      </c>
      <c r="T74" s="145">
        <v>25</v>
      </c>
      <c r="U74" s="145">
        <v>25</v>
      </c>
      <c r="V74" s="145">
        <v>0</v>
      </c>
      <c r="W74" s="145">
        <v>0</v>
      </c>
      <c r="X74" s="145">
        <v>0</v>
      </c>
      <c r="Y74" s="147" t="s">
        <v>169</v>
      </c>
      <c r="Z74" s="146" t="s">
        <v>150</v>
      </c>
      <c r="AA74" s="146" t="s">
        <v>150</v>
      </c>
      <c r="AB74" s="147" t="s">
        <v>169</v>
      </c>
    </row>
    <row r="75" spans="1:28" ht="79.2" customHeight="1">
      <c r="A75" s="165" t="s">
        <v>341</v>
      </c>
      <c r="B75" s="166" t="s">
        <v>346</v>
      </c>
      <c r="C75" s="167">
        <v>46</v>
      </c>
      <c r="D75" s="167">
        <v>0</v>
      </c>
      <c r="E75" s="167">
        <v>0</v>
      </c>
      <c r="F75" s="167">
        <v>0</v>
      </c>
      <c r="G75" s="167">
        <v>0</v>
      </c>
      <c r="H75" s="167">
        <v>0</v>
      </c>
      <c r="I75" s="167">
        <v>0</v>
      </c>
      <c r="J75" s="167">
        <v>46</v>
      </c>
      <c r="K75" s="167">
        <v>46</v>
      </c>
      <c r="L75" s="167">
        <v>0</v>
      </c>
      <c r="M75" s="167">
        <v>46</v>
      </c>
      <c r="N75" s="167">
        <v>0</v>
      </c>
      <c r="O75" s="167">
        <v>0</v>
      </c>
      <c r="P75" s="167">
        <v>0</v>
      </c>
      <c r="Q75" s="167">
        <v>0</v>
      </c>
      <c r="R75" s="167">
        <v>0</v>
      </c>
      <c r="S75" s="167">
        <v>0</v>
      </c>
      <c r="T75" s="167">
        <v>46</v>
      </c>
      <c r="U75" s="167">
        <v>46</v>
      </c>
      <c r="V75" s="167">
        <v>0</v>
      </c>
      <c r="W75" s="167">
        <v>0</v>
      </c>
      <c r="X75" s="167">
        <v>0</v>
      </c>
      <c r="Y75" s="168" t="s">
        <v>169</v>
      </c>
      <c r="Z75" s="158" t="s">
        <v>150</v>
      </c>
      <c r="AA75" s="158" t="s">
        <v>150</v>
      </c>
      <c r="AB75" s="168" t="s">
        <v>169</v>
      </c>
    </row>
    <row r="77" spans="1:28">
      <c r="X77" s="46"/>
      <c r="Y77" s="46"/>
      <c r="Z77" s="46"/>
      <c r="AA77" s="46"/>
      <c r="AB77" s="46"/>
    </row>
    <row r="78" spans="1:28">
      <c r="X78" s="44"/>
      <c r="Y78" s="44"/>
      <c r="Z78" s="44"/>
      <c r="AA78" s="44"/>
      <c r="AB78" s="44"/>
    </row>
    <row r="79" spans="1:28">
      <c r="X79" s="63"/>
      <c r="Y79" s="63"/>
      <c r="Z79" s="63"/>
      <c r="AA79" s="63"/>
      <c r="AB79" s="63"/>
    </row>
  </sheetData>
  <mergeCells count="34">
    <mergeCell ref="Y1:AB1"/>
    <mergeCell ref="AB6:AB8"/>
    <mergeCell ref="Q6:S6"/>
    <mergeCell ref="A2:AB2"/>
    <mergeCell ref="A3:AB3"/>
    <mergeCell ref="A5:A8"/>
    <mergeCell ref="B5:B8"/>
    <mergeCell ref="C5:L5"/>
    <mergeCell ref="M5:V5"/>
    <mergeCell ref="W5:W8"/>
    <mergeCell ref="X5:X8"/>
    <mergeCell ref="Y5:AB5"/>
    <mergeCell ref="C6:C8"/>
    <mergeCell ref="D6:F6"/>
    <mergeCell ref="G6:I6"/>
    <mergeCell ref="J6:L6"/>
    <mergeCell ref="Z6:Z8"/>
    <mergeCell ref="AA6:AA8"/>
    <mergeCell ref="T7:T8"/>
    <mergeCell ref="U7:V7"/>
    <mergeCell ref="T6:V6"/>
    <mergeCell ref="Y6:Y8"/>
    <mergeCell ref="D7:D8"/>
    <mergeCell ref="E7:F7"/>
    <mergeCell ref="G7:G8"/>
    <mergeCell ref="H7:I7"/>
    <mergeCell ref="J7:J8"/>
    <mergeCell ref="K7:L7"/>
    <mergeCell ref="N7:N8"/>
    <mergeCell ref="O7:P7"/>
    <mergeCell ref="Q7:Q8"/>
    <mergeCell ref="R7:S7"/>
    <mergeCell ref="M6:M8"/>
    <mergeCell ref="N6:P6"/>
  </mergeCells>
  <pageMargins left="0.25" right="0.16" top="0.4" bottom="0.24" header="0.47" footer="0.2"/>
  <pageSetup paperSize="9" scale="55" orientation="landscape" verticalDpi="300" r:id="rId1"/>
  <headerFooter differentFirst="1">
    <oddHeader>&amp;C&amp;P</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AA16"/>
  <sheetViews>
    <sheetView workbookViewId="0">
      <pane xSplit="2" ySplit="9" topLeftCell="H10" activePane="bottomRight" state="frozen"/>
      <selection pane="topRight" activeCell="C1" sqref="C1"/>
      <selection pane="bottomLeft" activeCell="A10" sqref="A10"/>
      <selection pane="bottomRight" activeCell="W1" sqref="W1:Z1"/>
    </sheetView>
  </sheetViews>
  <sheetFormatPr defaultRowHeight="15.6"/>
  <cols>
    <col min="1" max="1" width="5" style="58" customWidth="1"/>
    <col min="2" max="2" width="10.69921875" style="58" customWidth="1"/>
    <col min="3" max="3" width="7.5" style="58" customWidth="1"/>
    <col min="4" max="4" width="7.59765625" style="58" customWidth="1"/>
    <col min="5" max="5" width="8.8984375" style="58" customWidth="1"/>
    <col min="6" max="6" width="7.8984375" style="58" customWidth="1"/>
    <col min="7" max="7" width="7.5" style="58" customWidth="1"/>
    <col min="8" max="8" width="9.69921875" style="58" customWidth="1"/>
    <col min="9" max="9" width="8.8984375" style="58" bestFit="1" customWidth="1"/>
    <col min="10" max="10" width="7.8984375" style="58" customWidth="1"/>
    <col min="11" max="11" width="9.3984375" style="58" customWidth="1"/>
    <col min="12" max="12" width="8.09765625" style="58" customWidth="1"/>
    <col min="13" max="13" width="10.09765625" style="58" customWidth="1"/>
    <col min="14" max="14" width="7.5" style="58" customWidth="1"/>
    <col min="15" max="15" width="9.19921875" style="58" customWidth="1"/>
    <col min="16" max="16" width="8.59765625" style="58" customWidth="1"/>
    <col min="17" max="17" width="9.3984375" style="58" customWidth="1"/>
    <col min="18" max="18" width="8.19921875" style="58" customWidth="1"/>
    <col min="19" max="19" width="7.69921875" style="58" customWidth="1"/>
    <col min="20" max="20" width="8.09765625" style="58" customWidth="1"/>
    <col min="21" max="21" width="8.3984375" style="58" customWidth="1"/>
    <col min="22" max="22" width="7.5" style="58" customWidth="1"/>
    <col min="23" max="26" width="8.8984375" style="58" bestFit="1" customWidth="1"/>
    <col min="27" max="16384" width="8.796875" style="58"/>
  </cols>
  <sheetData>
    <row r="1" spans="1:27" ht="39" customHeight="1">
      <c r="W1" s="228" t="s">
        <v>523</v>
      </c>
      <c r="X1" s="228"/>
      <c r="Y1" s="228"/>
      <c r="Z1" s="228"/>
      <c r="AA1" s="229"/>
    </row>
    <row r="2" spans="1:27" ht="18.600000000000001" customHeight="1">
      <c r="A2" s="176" t="s">
        <v>508</v>
      </c>
      <c r="B2" s="176"/>
      <c r="C2" s="176"/>
      <c r="D2" s="176"/>
      <c r="E2" s="176"/>
      <c r="F2" s="176"/>
      <c r="G2" s="176"/>
      <c r="H2" s="176"/>
      <c r="I2" s="176"/>
      <c r="J2" s="176"/>
      <c r="K2" s="176"/>
      <c r="L2" s="176"/>
      <c r="M2" s="176"/>
      <c r="N2" s="176"/>
      <c r="O2" s="176"/>
      <c r="P2" s="176"/>
      <c r="Q2" s="176"/>
      <c r="R2" s="176"/>
      <c r="S2" s="176"/>
      <c r="T2" s="176"/>
      <c r="U2" s="176"/>
      <c r="V2" s="176"/>
      <c r="W2" s="176"/>
      <c r="X2" s="176"/>
      <c r="Y2" s="176"/>
      <c r="Z2" s="176"/>
    </row>
    <row r="3" spans="1:27" s="18" customFormat="1" ht="19.2" customHeight="1">
      <c r="A3" s="189" t="str">
        <f>+'48'!A3:F3</f>
        <v>(Kèm theo Nghị quyết số  09 /NQ-HĐND ngày 30  tháng 3 năm 2026 của HĐND xã Quang Sơn)</v>
      </c>
      <c r="B3" s="189"/>
      <c r="C3" s="189"/>
      <c r="D3" s="189"/>
      <c r="E3" s="189"/>
      <c r="F3" s="189"/>
      <c r="G3" s="189"/>
      <c r="H3" s="189"/>
      <c r="I3" s="189"/>
      <c r="J3" s="189"/>
      <c r="K3" s="189"/>
      <c r="L3" s="189"/>
      <c r="M3" s="189"/>
      <c r="N3" s="189"/>
      <c r="O3" s="189"/>
      <c r="P3" s="189"/>
      <c r="Q3" s="189"/>
      <c r="R3" s="189"/>
      <c r="S3" s="189"/>
      <c r="T3" s="189"/>
      <c r="U3" s="189"/>
      <c r="V3" s="189"/>
      <c r="W3" s="189"/>
      <c r="X3" s="189"/>
      <c r="Y3" s="189"/>
      <c r="Z3" s="189"/>
    </row>
    <row r="4" spans="1:27">
      <c r="K4" s="102"/>
      <c r="Z4" s="103" t="s">
        <v>0</v>
      </c>
    </row>
    <row r="5" spans="1:27" ht="20.25" customHeight="1">
      <c r="A5" s="205" t="s">
        <v>1</v>
      </c>
      <c r="B5" s="205" t="s">
        <v>96</v>
      </c>
      <c r="C5" s="205" t="s">
        <v>3</v>
      </c>
      <c r="D5" s="205"/>
      <c r="E5" s="205"/>
      <c r="F5" s="205"/>
      <c r="G5" s="205"/>
      <c r="H5" s="205"/>
      <c r="I5" s="205"/>
      <c r="J5" s="205"/>
      <c r="K5" s="205" t="s">
        <v>4</v>
      </c>
      <c r="L5" s="205"/>
      <c r="M5" s="205"/>
      <c r="N5" s="205"/>
      <c r="O5" s="205"/>
      <c r="P5" s="205"/>
      <c r="Q5" s="205"/>
      <c r="R5" s="205"/>
      <c r="S5" s="205" t="s">
        <v>99</v>
      </c>
      <c r="T5" s="205"/>
      <c r="U5" s="205"/>
      <c r="V5" s="205"/>
      <c r="W5" s="205"/>
      <c r="X5" s="205"/>
      <c r="Y5" s="205"/>
      <c r="Z5" s="205"/>
    </row>
    <row r="6" spans="1:27" ht="20.25" customHeight="1">
      <c r="A6" s="205"/>
      <c r="B6" s="205"/>
      <c r="C6" s="205" t="s">
        <v>91</v>
      </c>
      <c r="D6" s="205" t="s">
        <v>45</v>
      </c>
      <c r="E6" s="205" t="s">
        <v>46</v>
      </c>
      <c r="F6" s="205"/>
      <c r="G6" s="205"/>
      <c r="H6" s="205"/>
      <c r="I6" s="205"/>
      <c r="J6" s="205"/>
      <c r="K6" s="205" t="s">
        <v>91</v>
      </c>
      <c r="L6" s="205" t="s">
        <v>45</v>
      </c>
      <c r="M6" s="205" t="s">
        <v>46</v>
      </c>
      <c r="N6" s="205"/>
      <c r="O6" s="205"/>
      <c r="P6" s="205"/>
      <c r="Q6" s="205"/>
      <c r="R6" s="205"/>
      <c r="S6" s="205" t="s">
        <v>91</v>
      </c>
      <c r="T6" s="205" t="s">
        <v>45</v>
      </c>
      <c r="U6" s="205" t="s">
        <v>46</v>
      </c>
      <c r="V6" s="205"/>
      <c r="W6" s="205"/>
      <c r="X6" s="205"/>
      <c r="Y6" s="205"/>
      <c r="Z6" s="205"/>
    </row>
    <row r="7" spans="1:27" ht="35.25" customHeight="1">
      <c r="A7" s="205"/>
      <c r="B7" s="205"/>
      <c r="C7" s="205"/>
      <c r="D7" s="205"/>
      <c r="E7" s="205" t="s">
        <v>91</v>
      </c>
      <c r="F7" s="205" t="s">
        <v>100</v>
      </c>
      <c r="G7" s="205"/>
      <c r="H7" s="205" t="s">
        <v>101</v>
      </c>
      <c r="I7" s="205" t="s">
        <v>102</v>
      </c>
      <c r="J7" s="205" t="s">
        <v>103</v>
      </c>
      <c r="K7" s="205"/>
      <c r="L7" s="205"/>
      <c r="M7" s="205" t="s">
        <v>91</v>
      </c>
      <c r="N7" s="205" t="s">
        <v>100</v>
      </c>
      <c r="O7" s="205"/>
      <c r="P7" s="205" t="s">
        <v>101</v>
      </c>
      <c r="Q7" s="205" t="s">
        <v>102</v>
      </c>
      <c r="R7" s="205" t="s">
        <v>103</v>
      </c>
      <c r="S7" s="205"/>
      <c r="T7" s="205"/>
      <c r="U7" s="205" t="s">
        <v>91</v>
      </c>
      <c r="V7" s="205" t="s">
        <v>100</v>
      </c>
      <c r="W7" s="205"/>
      <c r="X7" s="205" t="s">
        <v>101</v>
      </c>
      <c r="Y7" s="205" t="s">
        <v>102</v>
      </c>
      <c r="Z7" s="205" t="s">
        <v>103</v>
      </c>
    </row>
    <row r="8" spans="1:27" ht="51.6" customHeight="1">
      <c r="A8" s="205"/>
      <c r="B8" s="205"/>
      <c r="C8" s="205"/>
      <c r="D8" s="205"/>
      <c r="E8" s="205"/>
      <c r="F8" s="60" t="s">
        <v>104</v>
      </c>
      <c r="G8" s="60" t="s">
        <v>105</v>
      </c>
      <c r="H8" s="205"/>
      <c r="I8" s="205"/>
      <c r="J8" s="205"/>
      <c r="K8" s="205"/>
      <c r="L8" s="205"/>
      <c r="M8" s="205"/>
      <c r="N8" s="60" t="s">
        <v>104</v>
      </c>
      <c r="O8" s="60" t="s">
        <v>105</v>
      </c>
      <c r="P8" s="205"/>
      <c r="Q8" s="205"/>
      <c r="R8" s="205"/>
      <c r="S8" s="205"/>
      <c r="T8" s="205"/>
      <c r="U8" s="205"/>
      <c r="V8" s="60" t="s">
        <v>104</v>
      </c>
      <c r="W8" s="60" t="s">
        <v>105</v>
      </c>
      <c r="X8" s="205"/>
      <c r="Y8" s="205"/>
      <c r="Z8" s="205"/>
    </row>
    <row r="9" spans="1:27" ht="23.25" customHeight="1">
      <c r="A9" s="101" t="s">
        <v>5</v>
      </c>
      <c r="B9" s="101" t="s">
        <v>6</v>
      </c>
      <c r="C9" s="101">
        <v>1</v>
      </c>
      <c r="D9" s="101">
        <v>2</v>
      </c>
      <c r="E9" s="101" t="s">
        <v>106</v>
      </c>
      <c r="F9" s="101">
        <v>4</v>
      </c>
      <c r="G9" s="101">
        <v>5</v>
      </c>
      <c r="H9" s="101">
        <v>6</v>
      </c>
      <c r="I9" s="101">
        <v>7</v>
      </c>
      <c r="J9" s="101">
        <v>8</v>
      </c>
      <c r="K9" s="101">
        <v>9</v>
      </c>
      <c r="L9" s="101">
        <v>10</v>
      </c>
      <c r="M9" s="101" t="s">
        <v>107</v>
      </c>
      <c r="N9" s="101">
        <v>12</v>
      </c>
      <c r="O9" s="101">
        <v>13</v>
      </c>
      <c r="P9" s="101">
        <v>14</v>
      </c>
      <c r="Q9" s="101">
        <v>15</v>
      </c>
      <c r="R9" s="101">
        <v>16</v>
      </c>
      <c r="S9" s="101" t="s">
        <v>108</v>
      </c>
      <c r="T9" s="101" t="s">
        <v>109</v>
      </c>
      <c r="U9" s="101" t="s">
        <v>110</v>
      </c>
      <c r="V9" s="101" t="s">
        <v>111</v>
      </c>
      <c r="W9" s="101" t="s">
        <v>112</v>
      </c>
      <c r="X9" s="101" t="s">
        <v>113</v>
      </c>
      <c r="Y9" s="101" t="s">
        <v>114</v>
      </c>
      <c r="Z9" s="101" t="s">
        <v>115</v>
      </c>
    </row>
    <row r="10" spans="1:27" ht="23.25" customHeight="1">
      <c r="A10" s="104"/>
      <c r="B10" s="105" t="s">
        <v>93</v>
      </c>
      <c r="C10" s="106">
        <f>+D10+E10</f>
        <v>110863</v>
      </c>
      <c r="D10" s="106">
        <f>+SUM(D11:D11)</f>
        <v>14866</v>
      </c>
      <c r="E10" s="107">
        <f>+F10+G10</f>
        <v>95997</v>
      </c>
      <c r="F10" s="108">
        <f>+SUM(F11:F11)</f>
        <v>0</v>
      </c>
      <c r="G10" s="109">
        <f>+SUM(G11:G11)</f>
        <v>95997</v>
      </c>
      <c r="H10" s="107">
        <f>+SUM(H11:H11)</f>
        <v>476</v>
      </c>
      <c r="I10" s="107">
        <f>+SUM(I11:I11)</f>
        <v>78218</v>
      </c>
      <c r="J10" s="107">
        <f>+SUM(J11:J11)</f>
        <v>17303</v>
      </c>
      <c r="K10" s="110">
        <f>+L10+M10</f>
        <v>142247.009682</v>
      </c>
      <c r="L10" s="110">
        <f>+SUM(L11:L11)</f>
        <v>14866</v>
      </c>
      <c r="M10" s="110">
        <f>+N10+O10</f>
        <v>127381.009682</v>
      </c>
      <c r="N10" s="110">
        <f>+SUM(N11:N11)</f>
        <v>0</v>
      </c>
      <c r="O10" s="110">
        <f>+SUM(O11:O11)</f>
        <v>127381.009682</v>
      </c>
      <c r="P10" s="110">
        <f>+SUM(P11:P11)</f>
        <v>7892.701</v>
      </c>
      <c r="Q10" s="110">
        <f>+SUM(Q11:Q11)</f>
        <v>100386.308682</v>
      </c>
      <c r="R10" s="110">
        <f>+SUM(R11:R11)</f>
        <v>19102</v>
      </c>
      <c r="S10" s="111">
        <f t="shared" ref="S10:Z11" si="0">+K10/C10</f>
        <v>1.2830882231402723</v>
      </c>
      <c r="T10" s="111">
        <f t="shared" si="0"/>
        <v>1</v>
      </c>
      <c r="U10" s="111">
        <f t="shared" si="0"/>
        <v>1.3269269839890829</v>
      </c>
      <c r="V10" s="111"/>
      <c r="W10" s="111">
        <f t="shared" si="0"/>
        <v>1.3269269839890829</v>
      </c>
      <c r="X10" s="111">
        <f t="shared" si="0"/>
        <v>16.581304621848741</v>
      </c>
      <c r="Y10" s="111">
        <f t="shared" si="0"/>
        <v>1.283416971566647</v>
      </c>
      <c r="Z10" s="111">
        <f t="shared" si="0"/>
        <v>1.1039704097555336</v>
      </c>
    </row>
    <row r="11" spans="1:27" ht="23.25" customHeight="1">
      <c r="A11" s="104"/>
      <c r="B11" s="104" t="s">
        <v>98</v>
      </c>
      <c r="C11" s="112">
        <f>+D11+E11</f>
        <v>110863</v>
      </c>
      <c r="D11" s="112">
        <v>14866</v>
      </c>
      <c r="E11" s="113">
        <f>+F11+G11</f>
        <v>95997</v>
      </c>
      <c r="F11" s="104"/>
      <c r="G11" s="114">
        <f>+H11+I11+J11</f>
        <v>95997</v>
      </c>
      <c r="H11" s="115">
        <v>476</v>
      </c>
      <c r="I11" s="114">
        <f>95997-H11-J11</f>
        <v>78218</v>
      </c>
      <c r="J11" s="113">
        <f>17303</f>
        <v>17303</v>
      </c>
      <c r="K11" s="116">
        <f>+L11+M11</f>
        <v>142247.009682</v>
      </c>
      <c r="L11" s="116">
        <v>14866</v>
      </c>
      <c r="M11" s="116">
        <f>+N11+O11</f>
        <v>127381.009682</v>
      </c>
      <c r="N11" s="116"/>
      <c r="O11" s="116">
        <f>+P11+Q11+R11</f>
        <v>127381.009682</v>
      </c>
      <c r="P11" s="117">
        <v>7892.701</v>
      </c>
      <c r="Q11" s="116">
        <f>127381.009682-R11-P11</f>
        <v>100386.308682</v>
      </c>
      <c r="R11" s="116">
        <f>17303+1799</f>
        <v>19102</v>
      </c>
      <c r="S11" s="118">
        <f>+K11/C11</f>
        <v>1.2830882231402723</v>
      </c>
      <c r="T11" s="118">
        <f>+L11/D11</f>
        <v>1</v>
      </c>
      <c r="U11" s="118">
        <f>+M11/E11</f>
        <v>1.3269269839890829</v>
      </c>
      <c r="V11" s="118"/>
      <c r="W11" s="118">
        <f>+O11/G11</f>
        <v>1.3269269839890829</v>
      </c>
      <c r="X11" s="118">
        <f t="shared" si="0"/>
        <v>16.581304621848741</v>
      </c>
      <c r="Y11" s="118">
        <f>+Q11/I11</f>
        <v>1.283416971566647</v>
      </c>
      <c r="Z11" s="118">
        <f>+R11/J11</f>
        <v>1.1039704097555336</v>
      </c>
    </row>
    <row r="12" spans="1:27">
      <c r="A12" s="61"/>
      <c r="B12" s="62"/>
      <c r="C12" s="62"/>
      <c r="D12" s="62"/>
      <c r="E12" s="62"/>
      <c r="F12" s="62"/>
      <c r="G12" s="62"/>
      <c r="H12" s="62"/>
      <c r="I12" s="62"/>
      <c r="J12" s="62"/>
      <c r="K12" s="62"/>
      <c r="L12" s="62"/>
      <c r="M12" s="62"/>
      <c r="N12" s="62"/>
      <c r="O12" s="119"/>
      <c r="P12" s="62">
        <v>0</v>
      </c>
      <c r="Q12" s="62"/>
      <c r="R12" s="62"/>
      <c r="S12" s="120"/>
      <c r="T12" s="120"/>
      <c r="U12" s="120"/>
      <c r="V12" s="120"/>
      <c r="W12" s="120"/>
      <c r="X12" s="120"/>
      <c r="Y12" s="120"/>
      <c r="Z12" s="120"/>
    </row>
    <row r="13" spans="1:27">
      <c r="A13" s="121"/>
    </row>
    <row r="14" spans="1:27">
      <c r="A14" s="122"/>
      <c r="Q14" s="102"/>
      <c r="V14" s="46"/>
      <c r="W14" s="46"/>
      <c r="X14" s="46"/>
      <c r="Y14" s="46"/>
      <c r="Z14" s="46"/>
    </row>
    <row r="15" spans="1:27">
      <c r="V15" s="44"/>
      <c r="W15" s="44"/>
      <c r="X15" s="44"/>
      <c r="Y15" s="44"/>
      <c r="Z15" s="44"/>
    </row>
    <row r="16" spans="1:27">
      <c r="H16" s="102"/>
      <c r="V16" s="46"/>
      <c r="W16" s="46"/>
      <c r="X16" s="46"/>
      <c r="Y16" s="46"/>
      <c r="Z16" s="46"/>
    </row>
  </sheetData>
  <mergeCells count="32">
    <mergeCell ref="W1:Z1"/>
    <mergeCell ref="A2:Z2"/>
    <mergeCell ref="A3:Z3"/>
    <mergeCell ref="N7:O7"/>
    <mergeCell ref="P7:P8"/>
    <mergeCell ref="Q7:Q8"/>
    <mergeCell ref="R7:R8"/>
    <mergeCell ref="U7:U8"/>
    <mergeCell ref="V7:W7"/>
    <mergeCell ref="M6:R6"/>
    <mergeCell ref="S6:S8"/>
    <mergeCell ref="T6:T8"/>
    <mergeCell ref="U6:Z6"/>
    <mergeCell ref="E7:E8"/>
    <mergeCell ref="A5:A8"/>
    <mergeCell ref="B5:B8"/>
    <mergeCell ref="C5:J5"/>
    <mergeCell ref="C6:C8"/>
    <mergeCell ref="D6:D8"/>
    <mergeCell ref="E6:J6"/>
    <mergeCell ref="K6:K8"/>
    <mergeCell ref="L6:L8"/>
    <mergeCell ref="F7:G7"/>
    <mergeCell ref="H7:H8"/>
    <mergeCell ref="I7:I8"/>
    <mergeCell ref="J7:J8"/>
    <mergeCell ref="K5:R5"/>
    <mergeCell ref="S5:Z5"/>
    <mergeCell ref="M7:M8"/>
    <mergeCell ref="X7:X8"/>
    <mergeCell ref="Y7:Y8"/>
    <mergeCell ref="Z7:Z8"/>
  </mergeCells>
  <pageMargins left="0.38" right="0.16" top="0.75" bottom="0.75" header="0.3" footer="0.3"/>
  <pageSetup paperSize="9" scale="6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Q24"/>
  <sheetViews>
    <sheetView tabSelected="1" workbookViewId="0">
      <selection activeCell="N1" sqref="N1:Q1"/>
    </sheetView>
  </sheetViews>
  <sheetFormatPr defaultColWidth="8.69921875" defaultRowHeight="15.6"/>
  <cols>
    <col min="1" max="1" width="4.8984375" style="8" customWidth="1"/>
    <col min="2" max="2" width="21" style="8" customWidth="1"/>
    <col min="3" max="3" width="7.59765625" style="8" customWidth="1"/>
    <col min="4" max="4" width="8" style="8" customWidth="1"/>
    <col min="5" max="5" width="8.5" style="8" customWidth="1"/>
    <col min="6" max="6" width="4.59765625" style="8" customWidth="1"/>
    <col min="7" max="7" width="7.59765625" style="8" customWidth="1"/>
    <col min="8" max="8" width="7.8984375" style="8" customWidth="1"/>
    <col min="9" max="9" width="8.5" style="8" customWidth="1"/>
    <col min="10" max="11" width="7.59765625" style="8" customWidth="1"/>
    <col min="12" max="12" width="7.69921875" style="8" customWidth="1"/>
    <col min="13" max="13" width="7.09765625" style="8" customWidth="1"/>
    <col min="14" max="14" width="7.19921875" style="8" customWidth="1"/>
    <col min="15" max="16" width="7.59765625" style="8" customWidth="1"/>
    <col min="17" max="17" width="5.5" style="8" customWidth="1"/>
    <col min="18" max="249" width="8.69921875" style="8"/>
    <col min="250" max="250" width="4.8984375" style="8" customWidth="1"/>
    <col min="251" max="251" width="21" style="8" customWidth="1"/>
    <col min="252" max="252" width="7.59765625" style="8" customWidth="1"/>
    <col min="253" max="253" width="8" style="8" customWidth="1"/>
    <col min="254" max="254" width="8.5" style="8" customWidth="1"/>
    <col min="255" max="255" width="4.59765625" style="8" customWidth="1"/>
    <col min="256" max="256" width="7.59765625" style="8" customWidth="1"/>
    <col min="257" max="257" width="7.8984375" style="8" customWidth="1"/>
    <col min="258" max="258" width="8.5" style="8" customWidth="1"/>
    <col min="259" max="260" width="7.59765625" style="8" customWidth="1"/>
    <col min="261" max="261" width="7.69921875" style="8" customWidth="1"/>
    <col min="262" max="262" width="7.09765625" style="8" customWidth="1"/>
    <col min="263" max="263" width="7.19921875" style="8" customWidth="1"/>
    <col min="264" max="265" width="7.59765625" style="8" customWidth="1"/>
    <col min="266" max="266" width="5.5" style="8" customWidth="1"/>
    <col min="267" max="269" width="8.69921875" style="8"/>
    <col min="270" max="270" width="7.69921875" style="8" customWidth="1"/>
    <col min="271" max="505" width="8.69921875" style="8"/>
    <col min="506" max="506" width="4.8984375" style="8" customWidth="1"/>
    <col min="507" max="507" width="21" style="8" customWidth="1"/>
    <col min="508" max="508" width="7.59765625" style="8" customWidth="1"/>
    <col min="509" max="509" width="8" style="8" customWidth="1"/>
    <col min="510" max="510" width="8.5" style="8" customWidth="1"/>
    <col min="511" max="511" width="4.59765625" style="8" customWidth="1"/>
    <col min="512" max="512" width="7.59765625" style="8" customWidth="1"/>
    <col min="513" max="513" width="7.8984375" style="8" customWidth="1"/>
    <col min="514" max="514" width="8.5" style="8" customWidth="1"/>
    <col min="515" max="516" width="7.59765625" style="8" customWidth="1"/>
    <col min="517" max="517" width="7.69921875" style="8" customWidth="1"/>
    <col min="518" max="518" width="7.09765625" style="8" customWidth="1"/>
    <col min="519" max="519" width="7.19921875" style="8" customWidth="1"/>
    <col min="520" max="521" width="7.59765625" style="8" customWidth="1"/>
    <col min="522" max="522" width="5.5" style="8" customWidth="1"/>
    <col min="523" max="525" width="8.69921875" style="8"/>
    <col min="526" max="526" width="7.69921875" style="8" customWidth="1"/>
    <col min="527" max="761" width="8.69921875" style="8"/>
    <col min="762" max="762" width="4.8984375" style="8" customWidth="1"/>
    <col min="763" max="763" width="21" style="8" customWidth="1"/>
    <col min="764" max="764" width="7.59765625" style="8" customWidth="1"/>
    <col min="765" max="765" width="8" style="8" customWidth="1"/>
    <col min="766" max="766" width="8.5" style="8" customWidth="1"/>
    <col min="767" max="767" width="4.59765625" style="8" customWidth="1"/>
    <col min="768" max="768" width="7.59765625" style="8" customWidth="1"/>
    <col min="769" max="769" width="7.8984375" style="8" customWidth="1"/>
    <col min="770" max="770" width="8.5" style="8" customWidth="1"/>
    <col min="771" max="772" width="7.59765625" style="8" customWidth="1"/>
    <col min="773" max="773" width="7.69921875" style="8" customWidth="1"/>
    <col min="774" max="774" width="7.09765625" style="8" customWidth="1"/>
    <col min="775" max="775" width="7.19921875" style="8" customWidth="1"/>
    <col min="776" max="777" width="7.59765625" style="8" customWidth="1"/>
    <col min="778" max="778" width="5.5" style="8" customWidth="1"/>
    <col min="779" max="781" width="8.69921875" style="8"/>
    <col min="782" max="782" width="7.69921875" style="8" customWidth="1"/>
    <col min="783" max="1017" width="8.69921875" style="8"/>
    <col min="1018" max="1018" width="4.8984375" style="8" customWidth="1"/>
    <col min="1019" max="1019" width="21" style="8" customWidth="1"/>
    <col min="1020" max="1020" width="7.59765625" style="8" customWidth="1"/>
    <col min="1021" max="1021" width="8" style="8" customWidth="1"/>
    <col min="1022" max="1022" width="8.5" style="8" customWidth="1"/>
    <col min="1023" max="1023" width="4.59765625" style="8" customWidth="1"/>
    <col min="1024" max="1024" width="7.59765625" style="8" customWidth="1"/>
    <col min="1025" max="1025" width="7.8984375" style="8" customWidth="1"/>
    <col min="1026" max="1026" width="8.5" style="8" customWidth="1"/>
    <col min="1027" max="1028" width="7.59765625" style="8" customWidth="1"/>
    <col min="1029" max="1029" width="7.69921875" style="8" customWidth="1"/>
    <col min="1030" max="1030" width="7.09765625" style="8" customWidth="1"/>
    <col min="1031" max="1031" width="7.19921875" style="8" customWidth="1"/>
    <col min="1032" max="1033" width="7.59765625" style="8" customWidth="1"/>
    <col min="1034" max="1034" width="5.5" style="8" customWidth="1"/>
    <col min="1035" max="1037" width="8.69921875" style="8"/>
    <col min="1038" max="1038" width="7.69921875" style="8" customWidth="1"/>
    <col min="1039" max="1273" width="8.69921875" style="8"/>
    <col min="1274" max="1274" width="4.8984375" style="8" customWidth="1"/>
    <col min="1275" max="1275" width="21" style="8" customWidth="1"/>
    <col min="1276" max="1276" width="7.59765625" style="8" customWidth="1"/>
    <col min="1277" max="1277" width="8" style="8" customWidth="1"/>
    <col min="1278" max="1278" width="8.5" style="8" customWidth="1"/>
    <col min="1279" max="1279" width="4.59765625" style="8" customWidth="1"/>
    <col min="1280" max="1280" width="7.59765625" style="8" customWidth="1"/>
    <col min="1281" max="1281" width="7.8984375" style="8" customWidth="1"/>
    <col min="1282" max="1282" width="8.5" style="8" customWidth="1"/>
    <col min="1283" max="1284" width="7.59765625" style="8" customWidth="1"/>
    <col min="1285" max="1285" width="7.69921875" style="8" customWidth="1"/>
    <col min="1286" max="1286" width="7.09765625" style="8" customWidth="1"/>
    <col min="1287" max="1287" width="7.19921875" style="8" customWidth="1"/>
    <col min="1288" max="1289" width="7.59765625" style="8" customWidth="1"/>
    <col min="1290" max="1290" width="5.5" style="8" customWidth="1"/>
    <col min="1291" max="1293" width="8.69921875" style="8"/>
    <col min="1294" max="1294" width="7.69921875" style="8" customWidth="1"/>
    <col min="1295" max="1529" width="8.69921875" style="8"/>
    <col min="1530" max="1530" width="4.8984375" style="8" customWidth="1"/>
    <col min="1531" max="1531" width="21" style="8" customWidth="1"/>
    <col min="1532" max="1532" width="7.59765625" style="8" customWidth="1"/>
    <col min="1533" max="1533" width="8" style="8" customWidth="1"/>
    <col min="1534" max="1534" width="8.5" style="8" customWidth="1"/>
    <col min="1535" max="1535" width="4.59765625" style="8" customWidth="1"/>
    <col min="1536" max="1536" width="7.59765625" style="8" customWidth="1"/>
    <col min="1537" max="1537" width="7.8984375" style="8" customWidth="1"/>
    <col min="1538" max="1538" width="8.5" style="8" customWidth="1"/>
    <col min="1539" max="1540" width="7.59765625" style="8" customWidth="1"/>
    <col min="1541" max="1541" width="7.69921875" style="8" customWidth="1"/>
    <col min="1542" max="1542" width="7.09765625" style="8" customWidth="1"/>
    <col min="1543" max="1543" width="7.19921875" style="8" customWidth="1"/>
    <col min="1544" max="1545" width="7.59765625" style="8" customWidth="1"/>
    <col min="1546" max="1546" width="5.5" style="8" customWidth="1"/>
    <col min="1547" max="1549" width="8.69921875" style="8"/>
    <col min="1550" max="1550" width="7.69921875" style="8" customWidth="1"/>
    <col min="1551" max="1785" width="8.69921875" style="8"/>
    <col min="1786" max="1786" width="4.8984375" style="8" customWidth="1"/>
    <col min="1787" max="1787" width="21" style="8" customWidth="1"/>
    <col min="1788" max="1788" width="7.59765625" style="8" customWidth="1"/>
    <col min="1789" max="1789" width="8" style="8" customWidth="1"/>
    <col min="1790" max="1790" width="8.5" style="8" customWidth="1"/>
    <col min="1791" max="1791" width="4.59765625" style="8" customWidth="1"/>
    <col min="1792" max="1792" width="7.59765625" style="8" customWidth="1"/>
    <col min="1793" max="1793" width="7.8984375" style="8" customWidth="1"/>
    <col min="1794" max="1794" width="8.5" style="8" customWidth="1"/>
    <col min="1795" max="1796" width="7.59765625" style="8" customWidth="1"/>
    <col min="1797" max="1797" width="7.69921875" style="8" customWidth="1"/>
    <col min="1798" max="1798" width="7.09765625" style="8" customWidth="1"/>
    <col min="1799" max="1799" width="7.19921875" style="8" customWidth="1"/>
    <col min="1800" max="1801" width="7.59765625" style="8" customWidth="1"/>
    <col min="1802" max="1802" width="5.5" style="8" customWidth="1"/>
    <col min="1803" max="1805" width="8.69921875" style="8"/>
    <col min="1806" max="1806" width="7.69921875" style="8" customWidth="1"/>
    <col min="1807" max="2041" width="8.69921875" style="8"/>
    <col min="2042" max="2042" width="4.8984375" style="8" customWidth="1"/>
    <col min="2043" max="2043" width="21" style="8" customWidth="1"/>
    <col min="2044" max="2044" width="7.59765625" style="8" customWidth="1"/>
    <col min="2045" max="2045" width="8" style="8" customWidth="1"/>
    <col min="2046" max="2046" width="8.5" style="8" customWidth="1"/>
    <col min="2047" max="2047" width="4.59765625" style="8" customWidth="1"/>
    <col min="2048" max="2048" width="7.59765625" style="8" customWidth="1"/>
    <col min="2049" max="2049" width="7.8984375" style="8" customWidth="1"/>
    <col min="2050" max="2050" width="8.5" style="8" customWidth="1"/>
    <col min="2051" max="2052" width="7.59765625" style="8" customWidth="1"/>
    <col min="2053" max="2053" width="7.69921875" style="8" customWidth="1"/>
    <col min="2054" max="2054" width="7.09765625" style="8" customWidth="1"/>
    <col min="2055" max="2055" width="7.19921875" style="8" customWidth="1"/>
    <col min="2056" max="2057" width="7.59765625" style="8" customWidth="1"/>
    <col min="2058" max="2058" width="5.5" style="8" customWidth="1"/>
    <col min="2059" max="2061" width="8.69921875" style="8"/>
    <col min="2062" max="2062" width="7.69921875" style="8" customWidth="1"/>
    <col min="2063" max="2297" width="8.69921875" style="8"/>
    <col min="2298" max="2298" width="4.8984375" style="8" customWidth="1"/>
    <col min="2299" max="2299" width="21" style="8" customWidth="1"/>
    <col min="2300" max="2300" width="7.59765625" style="8" customWidth="1"/>
    <col min="2301" max="2301" width="8" style="8" customWidth="1"/>
    <col min="2302" max="2302" width="8.5" style="8" customWidth="1"/>
    <col min="2303" max="2303" width="4.59765625" style="8" customWidth="1"/>
    <col min="2304" max="2304" width="7.59765625" style="8" customWidth="1"/>
    <col min="2305" max="2305" width="7.8984375" style="8" customWidth="1"/>
    <col min="2306" max="2306" width="8.5" style="8" customWidth="1"/>
    <col min="2307" max="2308" width="7.59765625" style="8" customWidth="1"/>
    <col min="2309" max="2309" width="7.69921875" style="8" customWidth="1"/>
    <col min="2310" max="2310" width="7.09765625" style="8" customWidth="1"/>
    <col min="2311" max="2311" width="7.19921875" style="8" customWidth="1"/>
    <col min="2312" max="2313" width="7.59765625" style="8" customWidth="1"/>
    <col min="2314" max="2314" width="5.5" style="8" customWidth="1"/>
    <col min="2315" max="2317" width="8.69921875" style="8"/>
    <col min="2318" max="2318" width="7.69921875" style="8" customWidth="1"/>
    <col min="2319" max="2553" width="8.69921875" style="8"/>
    <col min="2554" max="2554" width="4.8984375" style="8" customWidth="1"/>
    <col min="2555" max="2555" width="21" style="8" customWidth="1"/>
    <col min="2556" max="2556" width="7.59765625" style="8" customWidth="1"/>
    <col min="2557" max="2557" width="8" style="8" customWidth="1"/>
    <col min="2558" max="2558" width="8.5" style="8" customWidth="1"/>
    <col min="2559" max="2559" width="4.59765625" style="8" customWidth="1"/>
    <col min="2560" max="2560" width="7.59765625" style="8" customWidth="1"/>
    <col min="2561" max="2561" width="7.8984375" style="8" customWidth="1"/>
    <col min="2562" max="2562" width="8.5" style="8" customWidth="1"/>
    <col min="2563" max="2564" width="7.59765625" style="8" customWidth="1"/>
    <col min="2565" max="2565" width="7.69921875" style="8" customWidth="1"/>
    <col min="2566" max="2566" width="7.09765625" style="8" customWidth="1"/>
    <col min="2567" max="2567" width="7.19921875" style="8" customWidth="1"/>
    <col min="2568" max="2569" width="7.59765625" style="8" customWidth="1"/>
    <col min="2570" max="2570" width="5.5" style="8" customWidth="1"/>
    <col min="2571" max="2573" width="8.69921875" style="8"/>
    <col min="2574" max="2574" width="7.69921875" style="8" customWidth="1"/>
    <col min="2575" max="2809" width="8.69921875" style="8"/>
    <col min="2810" max="2810" width="4.8984375" style="8" customWidth="1"/>
    <col min="2811" max="2811" width="21" style="8" customWidth="1"/>
    <col min="2812" max="2812" width="7.59765625" style="8" customWidth="1"/>
    <col min="2813" max="2813" width="8" style="8" customWidth="1"/>
    <col min="2814" max="2814" width="8.5" style="8" customWidth="1"/>
    <col min="2815" max="2815" width="4.59765625" style="8" customWidth="1"/>
    <col min="2816" max="2816" width="7.59765625" style="8" customWidth="1"/>
    <col min="2817" max="2817" width="7.8984375" style="8" customWidth="1"/>
    <col min="2818" max="2818" width="8.5" style="8" customWidth="1"/>
    <col min="2819" max="2820" width="7.59765625" style="8" customWidth="1"/>
    <col min="2821" max="2821" width="7.69921875" style="8" customWidth="1"/>
    <col min="2822" max="2822" width="7.09765625" style="8" customWidth="1"/>
    <col min="2823" max="2823" width="7.19921875" style="8" customWidth="1"/>
    <col min="2824" max="2825" width="7.59765625" style="8" customWidth="1"/>
    <col min="2826" max="2826" width="5.5" style="8" customWidth="1"/>
    <col min="2827" max="2829" width="8.69921875" style="8"/>
    <col min="2830" max="2830" width="7.69921875" style="8" customWidth="1"/>
    <col min="2831" max="3065" width="8.69921875" style="8"/>
    <col min="3066" max="3066" width="4.8984375" style="8" customWidth="1"/>
    <col min="3067" max="3067" width="21" style="8" customWidth="1"/>
    <col min="3068" max="3068" width="7.59765625" style="8" customWidth="1"/>
    <col min="3069" max="3069" width="8" style="8" customWidth="1"/>
    <col min="3070" max="3070" width="8.5" style="8" customWidth="1"/>
    <col min="3071" max="3071" width="4.59765625" style="8" customWidth="1"/>
    <col min="3072" max="3072" width="7.59765625" style="8" customWidth="1"/>
    <col min="3073" max="3073" width="7.8984375" style="8" customWidth="1"/>
    <col min="3074" max="3074" width="8.5" style="8" customWidth="1"/>
    <col min="3075" max="3076" width="7.59765625" style="8" customWidth="1"/>
    <col min="3077" max="3077" width="7.69921875" style="8" customWidth="1"/>
    <col min="3078" max="3078" width="7.09765625" style="8" customWidth="1"/>
    <col min="3079" max="3079" width="7.19921875" style="8" customWidth="1"/>
    <col min="3080" max="3081" width="7.59765625" style="8" customWidth="1"/>
    <col min="3082" max="3082" width="5.5" style="8" customWidth="1"/>
    <col min="3083" max="3085" width="8.69921875" style="8"/>
    <col min="3086" max="3086" width="7.69921875" style="8" customWidth="1"/>
    <col min="3087" max="3321" width="8.69921875" style="8"/>
    <col min="3322" max="3322" width="4.8984375" style="8" customWidth="1"/>
    <col min="3323" max="3323" width="21" style="8" customWidth="1"/>
    <col min="3324" max="3324" width="7.59765625" style="8" customWidth="1"/>
    <col min="3325" max="3325" width="8" style="8" customWidth="1"/>
    <col min="3326" max="3326" width="8.5" style="8" customWidth="1"/>
    <col min="3327" max="3327" width="4.59765625" style="8" customWidth="1"/>
    <col min="3328" max="3328" width="7.59765625" style="8" customWidth="1"/>
    <col min="3329" max="3329" width="7.8984375" style="8" customWidth="1"/>
    <col min="3330" max="3330" width="8.5" style="8" customWidth="1"/>
    <col min="3331" max="3332" width="7.59765625" style="8" customWidth="1"/>
    <col min="3333" max="3333" width="7.69921875" style="8" customWidth="1"/>
    <col min="3334" max="3334" width="7.09765625" style="8" customWidth="1"/>
    <col min="3335" max="3335" width="7.19921875" style="8" customWidth="1"/>
    <col min="3336" max="3337" width="7.59765625" style="8" customWidth="1"/>
    <col min="3338" max="3338" width="5.5" style="8" customWidth="1"/>
    <col min="3339" max="3341" width="8.69921875" style="8"/>
    <col min="3342" max="3342" width="7.69921875" style="8" customWidth="1"/>
    <col min="3343" max="3577" width="8.69921875" style="8"/>
    <col min="3578" max="3578" width="4.8984375" style="8" customWidth="1"/>
    <col min="3579" max="3579" width="21" style="8" customWidth="1"/>
    <col min="3580" max="3580" width="7.59765625" style="8" customWidth="1"/>
    <col min="3581" max="3581" width="8" style="8" customWidth="1"/>
    <col min="3582" max="3582" width="8.5" style="8" customWidth="1"/>
    <col min="3583" max="3583" width="4.59765625" style="8" customWidth="1"/>
    <col min="3584" max="3584" width="7.59765625" style="8" customWidth="1"/>
    <col min="3585" max="3585" width="7.8984375" style="8" customWidth="1"/>
    <col min="3586" max="3586" width="8.5" style="8" customWidth="1"/>
    <col min="3587" max="3588" width="7.59765625" style="8" customWidth="1"/>
    <col min="3589" max="3589" width="7.69921875" style="8" customWidth="1"/>
    <col min="3590" max="3590" width="7.09765625" style="8" customWidth="1"/>
    <col min="3591" max="3591" width="7.19921875" style="8" customWidth="1"/>
    <col min="3592" max="3593" width="7.59765625" style="8" customWidth="1"/>
    <col min="3594" max="3594" width="5.5" style="8" customWidth="1"/>
    <col min="3595" max="3597" width="8.69921875" style="8"/>
    <col min="3598" max="3598" width="7.69921875" style="8" customWidth="1"/>
    <col min="3599" max="3833" width="8.69921875" style="8"/>
    <col min="3834" max="3834" width="4.8984375" style="8" customWidth="1"/>
    <col min="3835" max="3835" width="21" style="8" customWidth="1"/>
    <col min="3836" max="3836" width="7.59765625" style="8" customWidth="1"/>
    <col min="3837" max="3837" width="8" style="8" customWidth="1"/>
    <col min="3838" max="3838" width="8.5" style="8" customWidth="1"/>
    <col min="3839" max="3839" width="4.59765625" style="8" customWidth="1"/>
    <col min="3840" max="3840" width="7.59765625" style="8" customWidth="1"/>
    <col min="3841" max="3841" width="7.8984375" style="8" customWidth="1"/>
    <col min="3842" max="3842" width="8.5" style="8" customWidth="1"/>
    <col min="3843" max="3844" width="7.59765625" style="8" customWidth="1"/>
    <col min="3845" max="3845" width="7.69921875" style="8" customWidth="1"/>
    <col min="3846" max="3846" width="7.09765625" style="8" customWidth="1"/>
    <col min="3847" max="3847" width="7.19921875" style="8" customWidth="1"/>
    <col min="3848" max="3849" width="7.59765625" style="8" customWidth="1"/>
    <col min="3850" max="3850" width="5.5" style="8" customWidth="1"/>
    <col min="3851" max="3853" width="8.69921875" style="8"/>
    <col min="3854" max="3854" width="7.69921875" style="8" customWidth="1"/>
    <col min="3855" max="4089" width="8.69921875" style="8"/>
    <col min="4090" max="4090" width="4.8984375" style="8" customWidth="1"/>
    <col min="4091" max="4091" width="21" style="8" customWidth="1"/>
    <col min="4092" max="4092" width="7.59765625" style="8" customWidth="1"/>
    <col min="4093" max="4093" width="8" style="8" customWidth="1"/>
    <col min="4094" max="4094" width="8.5" style="8" customWidth="1"/>
    <col min="4095" max="4095" width="4.59765625" style="8" customWidth="1"/>
    <col min="4096" max="4096" width="7.59765625" style="8" customWidth="1"/>
    <col min="4097" max="4097" width="7.8984375" style="8" customWidth="1"/>
    <col min="4098" max="4098" width="8.5" style="8" customWidth="1"/>
    <col min="4099" max="4100" width="7.59765625" style="8" customWidth="1"/>
    <col min="4101" max="4101" width="7.69921875" style="8" customWidth="1"/>
    <col min="4102" max="4102" width="7.09765625" style="8" customWidth="1"/>
    <col min="4103" max="4103" width="7.19921875" style="8" customWidth="1"/>
    <col min="4104" max="4105" width="7.59765625" style="8" customWidth="1"/>
    <col min="4106" max="4106" width="5.5" style="8" customWidth="1"/>
    <col min="4107" max="4109" width="8.69921875" style="8"/>
    <col min="4110" max="4110" width="7.69921875" style="8" customWidth="1"/>
    <col min="4111" max="4345" width="8.69921875" style="8"/>
    <col min="4346" max="4346" width="4.8984375" style="8" customWidth="1"/>
    <col min="4347" max="4347" width="21" style="8" customWidth="1"/>
    <col min="4348" max="4348" width="7.59765625" style="8" customWidth="1"/>
    <col min="4349" max="4349" width="8" style="8" customWidth="1"/>
    <col min="4350" max="4350" width="8.5" style="8" customWidth="1"/>
    <col min="4351" max="4351" width="4.59765625" style="8" customWidth="1"/>
    <col min="4352" max="4352" width="7.59765625" style="8" customWidth="1"/>
    <col min="4353" max="4353" width="7.8984375" style="8" customWidth="1"/>
    <col min="4354" max="4354" width="8.5" style="8" customWidth="1"/>
    <col min="4355" max="4356" width="7.59765625" style="8" customWidth="1"/>
    <col min="4357" max="4357" width="7.69921875" style="8" customWidth="1"/>
    <col min="4358" max="4358" width="7.09765625" style="8" customWidth="1"/>
    <col min="4359" max="4359" width="7.19921875" style="8" customWidth="1"/>
    <col min="4360" max="4361" width="7.59765625" style="8" customWidth="1"/>
    <col min="4362" max="4362" width="5.5" style="8" customWidth="1"/>
    <col min="4363" max="4365" width="8.69921875" style="8"/>
    <col min="4366" max="4366" width="7.69921875" style="8" customWidth="1"/>
    <col min="4367" max="4601" width="8.69921875" style="8"/>
    <col min="4602" max="4602" width="4.8984375" style="8" customWidth="1"/>
    <col min="4603" max="4603" width="21" style="8" customWidth="1"/>
    <col min="4604" max="4604" width="7.59765625" style="8" customWidth="1"/>
    <col min="4605" max="4605" width="8" style="8" customWidth="1"/>
    <col min="4606" max="4606" width="8.5" style="8" customWidth="1"/>
    <col min="4607" max="4607" width="4.59765625" style="8" customWidth="1"/>
    <col min="4608" max="4608" width="7.59765625" style="8" customWidth="1"/>
    <col min="4609" max="4609" width="7.8984375" style="8" customWidth="1"/>
    <col min="4610" max="4610" width="8.5" style="8" customWidth="1"/>
    <col min="4611" max="4612" width="7.59765625" style="8" customWidth="1"/>
    <col min="4613" max="4613" width="7.69921875" style="8" customWidth="1"/>
    <col min="4614" max="4614" width="7.09765625" style="8" customWidth="1"/>
    <col min="4615" max="4615" width="7.19921875" style="8" customWidth="1"/>
    <col min="4616" max="4617" width="7.59765625" style="8" customWidth="1"/>
    <col min="4618" max="4618" width="5.5" style="8" customWidth="1"/>
    <col min="4619" max="4621" width="8.69921875" style="8"/>
    <col min="4622" max="4622" width="7.69921875" style="8" customWidth="1"/>
    <col min="4623" max="4857" width="8.69921875" style="8"/>
    <col min="4858" max="4858" width="4.8984375" style="8" customWidth="1"/>
    <col min="4859" max="4859" width="21" style="8" customWidth="1"/>
    <col min="4860" max="4860" width="7.59765625" style="8" customWidth="1"/>
    <col min="4861" max="4861" width="8" style="8" customWidth="1"/>
    <col min="4862" max="4862" width="8.5" style="8" customWidth="1"/>
    <col min="4863" max="4863" width="4.59765625" style="8" customWidth="1"/>
    <col min="4864" max="4864" width="7.59765625" style="8" customWidth="1"/>
    <col min="4865" max="4865" width="7.8984375" style="8" customWidth="1"/>
    <col min="4866" max="4866" width="8.5" style="8" customWidth="1"/>
    <col min="4867" max="4868" width="7.59765625" style="8" customWidth="1"/>
    <col min="4869" max="4869" width="7.69921875" style="8" customWidth="1"/>
    <col min="4870" max="4870" width="7.09765625" style="8" customWidth="1"/>
    <col min="4871" max="4871" width="7.19921875" style="8" customWidth="1"/>
    <col min="4872" max="4873" width="7.59765625" style="8" customWidth="1"/>
    <col min="4874" max="4874" width="5.5" style="8" customWidth="1"/>
    <col min="4875" max="4877" width="8.69921875" style="8"/>
    <col min="4878" max="4878" width="7.69921875" style="8" customWidth="1"/>
    <col min="4879" max="5113" width="8.69921875" style="8"/>
    <col min="5114" max="5114" width="4.8984375" style="8" customWidth="1"/>
    <col min="5115" max="5115" width="21" style="8" customWidth="1"/>
    <col min="5116" max="5116" width="7.59765625" style="8" customWidth="1"/>
    <col min="5117" max="5117" width="8" style="8" customWidth="1"/>
    <col min="5118" max="5118" width="8.5" style="8" customWidth="1"/>
    <col min="5119" max="5119" width="4.59765625" style="8" customWidth="1"/>
    <col min="5120" max="5120" width="7.59765625" style="8" customWidth="1"/>
    <col min="5121" max="5121" width="7.8984375" style="8" customWidth="1"/>
    <col min="5122" max="5122" width="8.5" style="8" customWidth="1"/>
    <col min="5123" max="5124" width="7.59765625" style="8" customWidth="1"/>
    <col min="5125" max="5125" width="7.69921875" style="8" customWidth="1"/>
    <col min="5126" max="5126" width="7.09765625" style="8" customWidth="1"/>
    <col min="5127" max="5127" width="7.19921875" style="8" customWidth="1"/>
    <col min="5128" max="5129" width="7.59765625" style="8" customWidth="1"/>
    <col min="5130" max="5130" width="5.5" style="8" customWidth="1"/>
    <col min="5131" max="5133" width="8.69921875" style="8"/>
    <col min="5134" max="5134" width="7.69921875" style="8" customWidth="1"/>
    <col min="5135" max="5369" width="8.69921875" style="8"/>
    <col min="5370" max="5370" width="4.8984375" style="8" customWidth="1"/>
    <col min="5371" max="5371" width="21" style="8" customWidth="1"/>
    <col min="5372" max="5372" width="7.59765625" style="8" customWidth="1"/>
    <col min="5373" max="5373" width="8" style="8" customWidth="1"/>
    <col min="5374" max="5374" width="8.5" style="8" customWidth="1"/>
    <col min="5375" max="5375" width="4.59765625" style="8" customWidth="1"/>
    <col min="5376" max="5376" width="7.59765625" style="8" customWidth="1"/>
    <col min="5377" max="5377" width="7.8984375" style="8" customWidth="1"/>
    <col min="5378" max="5378" width="8.5" style="8" customWidth="1"/>
    <col min="5379" max="5380" width="7.59765625" style="8" customWidth="1"/>
    <col min="5381" max="5381" width="7.69921875" style="8" customWidth="1"/>
    <col min="5382" max="5382" width="7.09765625" style="8" customWidth="1"/>
    <col min="5383" max="5383" width="7.19921875" style="8" customWidth="1"/>
    <col min="5384" max="5385" width="7.59765625" style="8" customWidth="1"/>
    <col min="5386" max="5386" width="5.5" style="8" customWidth="1"/>
    <col min="5387" max="5389" width="8.69921875" style="8"/>
    <col min="5390" max="5390" width="7.69921875" style="8" customWidth="1"/>
    <col min="5391" max="5625" width="8.69921875" style="8"/>
    <col min="5626" max="5626" width="4.8984375" style="8" customWidth="1"/>
    <col min="5627" max="5627" width="21" style="8" customWidth="1"/>
    <col min="5628" max="5628" width="7.59765625" style="8" customWidth="1"/>
    <col min="5629" max="5629" width="8" style="8" customWidth="1"/>
    <col min="5630" max="5630" width="8.5" style="8" customWidth="1"/>
    <col min="5631" max="5631" width="4.59765625" style="8" customWidth="1"/>
    <col min="5632" max="5632" width="7.59765625" style="8" customWidth="1"/>
    <col min="5633" max="5633" width="7.8984375" style="8" customWidth="1"/>
    <col min="5634" max="5634" width="8.5" style="8" customWidth="1"/>
    <col min="5635" max="5636" width="7.59765625" style="8" customWidth="1"/>
    <col min="5637" max="5637" width="7.69921875" style="8" customWidth="1"/>
    <col min="5638" max="5638" width="7.09765625" style="8" customWidth="1"/>
    <col min="5639" max="5639" width="7.19921875" style="8" customWidth="1"/>
    <col min="5640" max="5641" width="7.59765625" style="8" customWidth="1"/>
    <col min="5642" max="5642" width="5.5" style="8" customWidth="1"/>
    <col min="5643" max="5645" width="8.69921875" style="8"/>
    <col min="5646" max="5646" width="7.69921875" style="8" customWidth="1"/>
    <col min="5647" max="5881" width="8.69921875" style="8"/>
    <col min="5882" max="5882" width="4.8984375" style="8" customWidth="1"/>
    <col min="5883" max="5883" width="21" style="8" customWidth="1"/>
    <col min="5884" max="5884" width="7.59765625" style="8" customWidth="1"/>
    <col min="5885" max="5885" width="8" style="8" customWidth="1"/>
    <col min="5886" max="5886" width="8.5" style="8" customWidth="1"/>
    <col min="5887" max="5887" width="4.59765625" style="8" customWidth="1"/>
    <col min="5888" max="5888" width="7.59765625" style="8" customWidth="1"/>
    <col min="5889" max="5889" width="7.8984375" style="8" customWidth="1"/>
    <col min="5890" max="5890" width="8.5" style="8" customWidth="1"/>
    <col min="5891" max="5892" width="7.59765625" style="8" customWidth="1"/>
    <col min="5893" max="5893" width="7.69921875" style="8" customWidth="1"/>
    <col min="5894" max="5894" width="7.09765625" style="8" customWidth="1"/>
    <col min="5895" max="5895" width="7.19921875" style="8" customWidth="1"/>
    <col min="5896" max="5897" width="7.59765625" style="8" customWidth="1"/>
    <col min="5898" max="5898" width="5.5" style="8" customWidth="1"/>
    <col min="5899" max="5901" width="8.69921875" style="8"/>
    <col min="5902" max="5902" width="7.69921875" style="8" customWidth="1"/>
    <col min="5903" max="6137" width="8.69921875" style="8"/>
    <col min="6138" max="6138" width="4.8984375" style="8" customWidth="1"/>
    <col min="6139" max="6139" width="21" style="8" customWidth="1"/>
    <col min="6140" max="6140" width="7.59765625" style="8" customWidth="1"/>
    <col min="6141" max="6141" width="8" style="8" customWidth="1"/>
    <col min="6142" max="6142" width="8.5" style="8" customWidth="1"/>
    <col min="6143" max="6143" width="4.59765625" style="8" customWidth="1"/>
    <col min="6144" max="6144" width="7.59765625" style="8" customWidth="1"/>
    <col min="6145" max="6145" width="7.8984375" style="8" customWidth="1"/>
    <col min="6146" max="6146" width="8.5" style="8" customWidth="1"/>
    <col min="6147" max="6148" width="7.59765625" style="8" customWidth="1"/>
    <col min="6149" max="6149" width="7.69921875" style="8" customWidth="1"/>
    <col min="6150" max="6150" width="7.09765625" style="8" customWidth="1"/>
    <col min="6151" max="6151" width="7.19921875" style="8" customWidth="1"/>
    <col min="6152" max="6153" width="7.59765625" style="8" customWidth="1"/>
    <col min="6154" max="6154" width="5.5" style="8" customWidth="1"/>
    <col min="6155" max="6157" width="8.69921875" style="8"/>
    <col min="6158" max="6158" width="7.69921875" style="8" customWidth="1"/>
    <col min="6159" max="6393" width="8.69921875" style="8"/>
    <col min="6394" max="6394" width="4.8984375" style="8" customWidth="1"/>
    <col min="6395" max="6395" width="21" style="8" customWidth="1"/>
    <col min="6396" max="6396" width="7.59765625" style="8" customWidth="1"/>
    <col min="6397" max="6397" width="8" style="8" customWidth="1"/>
    <col min="6398" max="6398" width="8.5" style="8" customWidth="1"/>
    <col min="6399" max="6399" width="4.59765625" style="8" customWidth="1"/>
    <col min="6400" max="6400" width="7.59765625" style="8" customWidth="1"/>
    <col min="6401" max="6401" width="7.8984375" style="8" customWidth="1"/>
    <col min="6402" max="6402" width="8.5" style="8" customWidth="1"/>
    <col min="6403" max="6404" width="7.59765625" style="8" customWidth="1"/>
    <col min="6405" max="6405" width="7.69921875" style="8" customWidth="1"/>
    <col min="6406" max="6406" width="7.09765625" style="8" customWidth="1"/>
    <col min="6407" max="6407" width="7.19921875" style="8" customWidth="1"/>
    <col min="6408" max="6409" width="7.59765625" style="8" customWidth="1"/>
    <col min="6410" max="6410" width="5.5" style="8" customWidth="1"/>
    <col min="6411" max="6413" width="8.69921875" style="8"/>
    <col min="6414" max="6414" width="7.69921875" style="8" customWidth="1"/>
    <col min="6415" max="6649" width="8.69921875" style="8"/>
    <col min="6650" max="6650" width="4.8984375" style="8" customWidth="1"/>
    <col min="6651" max="6651" width="21" style="8" customWidth="1"/>
    <col min="6652" max="6652" width="7.59765625" style="8" customWidth="1"/>
    <col min="6653" max="6653" width="8" style="8" customWidth="1"/>
    <col min="6654" max="6654" width="8.5" style="8" customWidth="1"/>
    <col min="6655" max="6655" width="4.59765625" style="8" customWidth="1"/>
    <col min="6656" max="6656" width="7.59765625" style="8" customWidth="1"/>
    <col min="6657" max="6657" width="7.8984375" style="8" customWidth="1"/>
    <col min="6658" max="6658" width="8.5" style="8" customWidth="1"/>
    <col min="6659" max="6660" width="7.59765625" style="8" customWidth="1"/>
    <col min="6661" max="6661" width="7.69921875" style="8" customWidth="1"/>
    <col min="6662" max="6662" width="7.09765625" style="8" customWidth="1"/>
    <col min="6663" max="6663" width="7.19921875" style="8" customWidth="1"/>
    <col min="6664" max="6665" width="7.59765625" style="8" customWidth="1"/>
    <col min="6666" max="6666" width="5.5" style="8" customWidth="1"/>
    <col min="6667" max="6669" width="8.69921875" style="8"/>
    <col min="6670" max="6670" width="7.69921875" style="8" customWidth="1"/>
    <col min="6671" max="6905" width="8.69921875" style="8"/>
    <col min="6906" max="6906" width="4.8984375" style="8" customWidth="1"/>
    <col min="6907" max="6907" width="21" style="8" customWidth="1"/>
    <col min="6908" max="6908" width="7.59765625" style="8" customWidth="1"/>
    <col min="6909" max="6909" width="8" style="8" customWidth="1"/>
    <col min="6910" max="6910" width="8.5" style="8" customWidth="1"/>
    <col min="6911" max="6911" width="4.59765625" style="8" customWidth="1"/>
    <col min="6912" max="6912" width="7.59765625" style="8" customWidth="1"/>
    <col min="6913" max="6913" width="7.8984375" style="8" customWidth="1"/>
    <col min="6914" max="6914" width="8.5" style="8" customWidth="1"/>
    <col min="6915" max="6916" width="7.59765625" style="8" customWidth="1"/>
    <col min="6917" max="6917" width="7.69921875" style="8" customWidth="1"/>
    <col min="6918" max="6918" width="7.09765625" style="8" customWidth="1"/>
    <col min="6919" max="6919" width="7.19921875" style="8" customWidth="1"/>
    <col min="6920" max="6921" width="7.59765625" style="8" customWidth="1"/>
    <col min="6922" max="6922" width="5.5" style="8" customWidth="1"/>
    <col min="6923" max="6925" width="8.69921875" style="8"/>
    <col min="6926" max="6926" width="7.69921875" style="8" customWidth="1"/>
    <col min="6927" max="7161" width="8.69921875" style="8"/>
    <col min="7162" max="7162" width="4.8984375" style="8" customWidth="1"/>
    <col min="7163" max="7163" width="21" style="8" customWidth="1"/>
    <col min="7164" max="7164" width="7.59765625" style="8" customWidth="1"/>
    <col min="7165" max="7165" width="8" style="8" customWidth="1"/>
    <col min="7166" max="7166" width="8.5" style="8" customWidth="1"/>
    <col min="7167" max="7167" width="4.59765625" style="8" customWidth="1"/>
    <col min="7168" max="7168" width="7.59765625" style="8" customWidth="1"/>
    <col min="7169" max="7169" width="7.8984375" style="8" customWidth="1"/>
    <col min="7170" max="7170" width="8.5" style="8" customWidth="1"/>
    <col min="7171" max="7172" width="7.59765625" style="8" customWidth="1"/>
    <col min="7173" max="7173" width="7.69921875" style="8" customWidth="1"/>
    <col min="7174" max="7174" width="7.09765625" style="8" customWidth="1"/>
    <col min="7175" max="7175" width="7.19921875" style="8" customWidth="1"/>
    <col min="7176" max="7177" width="7.59765625" style="8" customWidth="1"/>
    <col min="7178" max="7178" width="5.5" style="8" customWidth="1"/>
    <col min="7179" max="7181" width="8.69921875" style="8"/>
    <col min="7182" max="7182" width="7.69921875" style="8" customWidth="1"/>
    <col min="7183" max="7417" width="8.69921875" style="8"/>
    <col min="7418" max="7418" width="4.8984375" style="8" customWidth="1"/>
    <col min="7419" max="7419" width="21" style="8" customWidth="1"/>
    <col min="7420" max="7420" width="7.59765625" style="8" customWidth="1"/>
    <col min="7421" max="7421" width="8" style="8" customWidth="1"/>
    <col min="7422" max="7422" width="8.5" style="8" customWidth="1"/>
    <col min="7423" max="7423" width="4.59765625" style="8" customWidth="1"/>
    <col min="7424" max="7424" width="7.59765625" style="8" customWidth="1"/>
    <col min="7425" max="7425" width="7.8984375" style="8" customWidth="1"/>
    <col min="7426" max="7426" width="8.5" style="8" customWidth="1"/>
    <col min="7427" max="7428" width="7.59765625" style="8" customWidth="1"/>
    <col min="7429" max="7429" width="7.69921875" style="8" customWidth="1"/>
    <col min="7430" max="7430" width="7.09765625" style="8" customWidth="1"/>
    <col min="7431" max="7431" width="7.19921875" style="8" customWidth="1"/>
    <col min="7432" max="7433" width="7.59765625" style="8" customWidth="1"/>
    <col min="7434" max="7434" width="5.5" style="8" customWidth="1"/>
    <col min="7435" max="7437" width="8.69921875" style="8"/>
    <col min="7438" max="7438" width="7.69921875" style="8" customWidth="1"/>
    <col min="7439" max="7673" width="8.69921875" style="8"/>
    <col min="7674" max="7674" width="4.8984375" style="8" customWidth="1"/>
    <col min="7675" max="7675" width="21" style="8" customWidth="1"/>
    <col min="7676" max="7676" width="7.59765625" style="8" customWidth="1"/>
    <col min="7677" max="7677" width="8" style="8" customWidth="1"/>
    <col min="7678" max="7678" width="8.5" style="8" customWidth="1"/>
    <col min="7679" max="7679" width="4.59765625" style="8" customWidth="1"/>
    <col min="7680" max="7680" width="7.59765625" style="8" customWidth="1"/>
    <col min="7681" max="7681" width="7.8984375" style="8" customWidth="1"/>
    <col min="7682" max="7682" width="8.5" style="8" customWidth="1"/>
    <col min="7683" max="7684" width="7.59765625" style="8" customWidth="1"/>
    <col min="7685" max="7685" width="7.69921875" style="8" customWidth="1"/>
    <col min="7686" max="7686" width="7.09765625" style="8" customWidth="1"/>
    <col min="7687" max="7687" width="7.19921875" style="8" customWidth="1"/>
    <col min="7688" max="7689" width="7.59765625" style="8" customWidth="1"/>
    <col min="7690" max="7690" width="5.5" style="8" customWidth="1"/>
    <col min="7691" max="7693" width="8.69921875" style="8"/>
    <col min="7694" max="7694" width="7.69921875" style="8" customWidth="1"/>
    <col min="7695" max="7929" width="8.69921875" style="8"/>
    <col min="7930" max="7930" width="4.8984375" style="8" customWidth="1"/>
    <col min="7931" max="7931" width="21" style="8" customWidth="1"/>
    <col min="7932" max="7932" width="7.59765625" style="8" customWidth="1"/>
    <col min="7933" max="7933" width="8" style="8" customWidth="1"/>
    <col min="7934" max="7934" width="8.5" style="8" customWidth="1"/>
    <col min="7935" max="7935" width="4.59765625" style="8" customWidth="1"/>
    <col min="7936" max="7936" width="7.59765625" style="8" customWidth="1"/>
    <col min="7937" max="7937" width="7.8984375" style="8" customWidth="1"/>
    <col min="7938" max="7938" width="8.5" style="8" customWidth="1"/>
    <col min="7939" max="7940" width="7.59765625" style="8" customWidth="1"/>
    <col min="7941" max="7941" width="7.69921875" style="8" customWidth="1"/>
    <col min="7942" max="7942" width="7.09765625" style="8" customWidth="1"/>
    <col min="7943" max="7943" width="7.19921875" style="8" customWidth="1"/>
    <col min="7944" max="7945" width="7.59765625" style="8" customWidth="1"/>
    <col min="7946" max="7946" width="5.5" style="8" customWidth="1"/>
    <col min="7947" max="7949" width="8.69921875" style="8"/>
    <col min="7950" max="7950" width="7.69921875" style="8" customWidth="1"/>
    <col min="7951" max="8185" width="8.69921875" style="8"/>
    <col min="8186" max="8186" width="4.8984375" style="8" customWidth="1"/>
    <col min="8187" max="8187" width="21" style="8" customWidth="1"/>
    <col min="8188" max="8188" width="7.59765625" style="8" customWidth="1"/>
    <col min="8189" max="8189" width="8" style="8" customWidth="1"/>
    <col min="8190" max="8190" width="8.5" style="8" customWidth="1"/>
    <col min="8191" max="8191" width="4.59765625" style="8" customWidth="1"/>
    <col min="8192" max="8192" width="7.59765625" style="8" customWidth="1"/>
    <col min="8193" max="8193" width="7.8984375" style="8" customWidth="1"/>
    <col min="8194" max="8194" width="8.5" style="8" customWidth="1"/>
    <col min="8195" max="8196" width="7.59765625" style="8" customWidth="1"/>
    <col min="8197" max="8197" width="7.69921875" style="8" customWidth="1"/>
    <col min="8198" max="8198" width="7.09765625" style="8" customWidth="1"/>
    <col min="8199" max="8199" width="7.19921875" style="8" customWidth="1"/>
    <col min="8200" max="8201" width="7.59765625" style="8" customWidth="1"/>
    <col min="8202" max="8202" width="5.5" style="8" customWidth="1"/>
    <col min="8203" max="8205" width="8.69921875" style="8"/>
    <col min="8206" max="8206" width="7.69921875" style="8" customWidth="1"/>
    <col min="8207" max="8441" width="8.69921875" style="8"/>
    <col min="8442" max="8442" width="4.8984375" style="8" customWidth="1"/>
    <col min="8443" max="8443" width="21" style="8" customWidth="1"/>
    <col min="8444" max="8444" width="7.59765625" style="8" customWidth="1"/>
    <col min="8445" max="8445" width="8" style="8" customWidth="1"/>
    <col min="8446" max="8446" width="8.5" style="8" customWidth="1"/>
    <col min="8447" max="8447" width="4.59765625" style="8" customWidth="1"/>
    <col min="8448" max="8448" width="7.59765625" style="8" customWidth="1"/>
    <col min="8449" max="8449" width="7.8984375" style="8" customWidth="1"/>
    <col min="8450" max="8450" width="8.5" style="8" customWidth="1"/>
    <col min="8451" max="8452" width="7.59765625" style="8" customWidth="1"/>
    <col min="8453" max="8453" width="7.69921875" style="8" customWidth="1"/>
    <col min="8454" max="8454" width="7.09765625" style="8" customWidth="1"/>
    <col min="8455" max="8455" width="7.19921875" style="8" customWidth="1"/>
    <col min="8456" max="8457" width="7.59765625" style="8" customWidth="1"/>
    <col min="8458" max="8458" width="5.5" style="8" customWidth="1"/>
    <col min="8459" max="8461" width="8.69921875" style="8"/>
    <col min="8462" max="8462" width="7.69921875" style="8" customWidth="1"/>
    <col min="8463" max="8697" width="8.69921875" style="8"/>
    <col min="8698" max="8698" width="4.8984375" style="8" customWidth="1"/>
    <col min="8699" max="8699" width="21" style="8" customWidth="1"/>
    <col min="8700" max="8700" width="7.59765625" style="8" customWidth="1"/>
    <col min="8701" max="8701" width="8" style="8" customWidth="1"/>
    <col min="8702" max="8702" width="8.5" style="8" customWidth="1"/>
    <col min="8703" max="8703" width="4.59765625" style="8" customWidth="1"/>
    <col min="8704" max="8704" width="7.59765625" style="8" customWidth="1"/>
    <col min="8705" max="8705" width="7.8984375" style="8" customWidth="1"/>
    <col min="8706" max="8706" width="8.5" style="8" customWidth="1"/>
    <col min="8707" max="8708" width="7.59765625" style="8" customWidth="1"/>
    <col min="8709" max="8709" width="7.69921875" style="8" customWidth="1"/>
    <col min="8710" max="8710" width="7.09765625" style="8" customWidth="1"/>
    <col min="8711" max="8711" width="7.19921875" style="8" customWidth="1"/>
    <col min="8712" max="8713" width="7.59765625" style="8" customWidth="1"/>
    <col min="8714" max="8714" width="5.5" style="8" customWidth="1"/>
    <col min="8715" max="8717" width="8.69921875" style="8"/>
    <col min="8718" max="8718" width="7.69921875" style="8" customWidth="1"/>
    <col min="8719" max="8953" width="8.69921875" style="8"/>
    <col min="8954" max="8954" width="4.8984375" style="8" customWidth="1"/>
    <col min="8955" max="8955" width="21" style="8" customWidth="1"/>
    <col min="8956" max="8956" width="7.59765625" style="8" customWidth="1"/>
    <col min="8957" max="8957" width="8" style="8" customWidth="1"/>
    <col min="8958" max="8958" width="8.5" style="8" customWidth="1"/>
    <col min="8959" max="8959" width="4.59765625" style="8" customWidth="1"/>
    <col min="8960" max="8960" width="7.59765625" style="8" customWidth="1"/>
    <col min="8961" max="8961" width="7.8984375" style="8" customWidth="1"/>
    <col min="8962" max="8962" width="8.5" style="8" customWidth="1"/>
    <col min="8963" max="8964" width="7.59765625" style="8" customWidth="1"/>
    <col min="8965" max="8965" width="7.69921875" style="8" customWidth="1"/>
    <col min="8966" max="8966" width="7.09765625" style="8" customWidth="1"/>
    <col min="8967" max="8967" width="7.19921875" style="8" customWidth="1"/>
    <col min="8968" max="8969" width="7.59765625" style="8" customWidth="1"/>
    <col min="8970" max="8970" width="5.5" style="8" customWidth="1"/>
    <col min="8971" max="8973" width="8.69921875" style="8"/>
    <col min="8974" max="8974" width="7.69921875" style="8" customWidth="1"/>
    <col min="8975" max="9209" width="8.69921875" style="8"/>
    <col min="9210" max="9210" width="4.8984375" style="8" customWidth="1"/>
    <col min="9211" max="9211" width="21" style="8" customWidth="1"/>
    <col min="9212" max="9212" width="7.59765625" style="8" customWidth="1"/>
    <col min="9213" max="9213" width="8" style="8" customWidth="1"/>
    <col min="9214" max="9214" width="8.5" style="8" customWidth="1"/>
    <col min="9215" max="9215" width="4.59765625" style="8" customWidth="1"/>
    <col min="9216" max="9216" width="7.59765625" style="8" customWidth="1"/>
    <col min="9217" max="9217" width="7.8984375" style="8" customWidth="1"/>
    <col min="9218" max="9218" width="8.5" style="8" customWidth="1"/>
    <col min="9219" max="9220" width="7.59765625" style="8" customWidth="1"/>
    <col min="9221" max="9221" width="7.69921875" style="8" customWidth="1"/>
    <col min="9222" max="9222" width="7.09765625" style="8" customWidth="1"/>
    <col min="9223" max="9223" width="7.19921875" style="8" customWidth="1"/>
    <col min="9224" max="9225" width="7.59765625" style="8" customWidth="1"/>
    <col min="9226" max="9226" width="5.5" style="8" customWidth="1"/>
    <col min="9227" max="9229" width="8.69921875" style="8"/>
    <col min="9230" max="9230" width="7.69921875" style="8" customWidth="1"/>
    <col min="9231" max="9465" width="8.69921875" style="8"/>
    <col min="9466" max="9466" width="4.8984375" style="8" customWidth="1"/>
    <col min="9467" max="9467" width="21" style="8" customWidth="1"/>
    <col min="9468" max="9468" width="7.59765625" style="8" customWidth="1"/>
    <col min="9469" max="9469" width="8" style="8" customWidth="1"/>
    <col min="9470" max="9470" width="8.5" style="8" customWidth="1"/>
    <col min="9471" max="9471" width="4.59765625" style="8" customWidth="1"/>
    <col min="9472" max="9472" width="7.59765625" style="8" customWidth="1"/>
    <col min="9473" max="9473" width="7.8984375" style="8" customWidth="1"/>
    <col min="9474" max="9474" width="8.5" style="8" customWidth="1"/>
    <col min="9475" max="9476" width="7.59765625" style="8" customWidth="1"/>
    <col min="9477" max="9477" width="7.69921875" style="8" customWidth="1"/>
    <col min="9478" max="9478" width="7.09765625" style="8" customWidth="1"/>
    <col min="9479" max="9479" width="7.19921875" style="8" customWidth="1"/>
    <col min="9480" max="9481" width="7.59765625" style="8" customWidth="1"/>
    <col min="9482" max="9482" width="5.5" style="8" customWidth="1"/>
    <col min="9483" max="9485" width="8.69921875" style="8"/>
    <col min="9486" max="9486" width="7.69921875" style="8" customWidth="1"/>
    <col min="9487" max="9721" width="8.69921875" style="8"/>
    <col min="9722" max="9722" width="4.8984375" style="8" customWidth="1"/>
    <col min="9723" max="9723" width="21" style="8" customWidth="1"/>
    <col min="9724" max="9724" width="7.59765625" style="8" customWidth="1"/>
    <col min="9725" max="9725" width="8" style="8" customWidth="1"/>
    <col min="9726" max="9726" width="8.5" style="8" customWidth="1"/>
    <col min="9727" max="9727" width="4.59765625" style="8" customWidth="1"/>
    <col min="9728" max="9728" width="7.59765625" style="8" customWidth="1"/>
    <col min="9729" max="9729" width="7.8984375" style="8" customWidth="1"/>
    <col min="9730" max="9730" width="8.5" style="8" customWidth="1"/>
    <col min="9731" max="9732" width="7.59765625" style="8" customWidth="1"/>
    <col min="9733" max="9733" width="7.69921875" style="8" customWidth="1"/>
    <col min="9734" max="9734" width="7.09765625" style="8" customWidth="1"/>
    <col min="9735" max="9735" width="7.19921875" style="8" customWidth="1"/>
    <col min="9736" max="9737" width="7.59765625" style="8" customWidth="1"/>
    <col min="9738" max="9738" width="5.5" style="8" customWidth="1"/>
    <col min="9739" max="9741" width="8.69921875" style="8"/>
    <col min="9742" max="9742" width="7.69921875" style="8" customWidth="1"/>
    <col min="9743" max="9977" width="8.69921875" style="8"/>
    <col min="9978" max="9978" width="4.8984375" style="8" customWidth="1"/>
    <col min="9979" max="9979" width="21" style="8" customWidth="1"/>
    <col min="9980" max="9980" width="7.59765625" style="8" customWidth="1"/>
    <col min="9981" max="9981" width="8" style="8" customWidth="1"/>
    <col min="9982" max="9982" width="8.5" style="8" customWidth="1"/>
    <col min="9983" max="9983" width="4.59765625" style="8" customWidth="1"/>
    <col min="9984" max="9984" width="7.59765625" style="8" customWidth="1"/>
    <col min="9985" max="9985" width="7.8984375" style="8" customWidth="1"/>
    <col min="9986" max="9986" width="8.5" style="8" customWidth="1"/>
    <col min="9987" max="9988" width="7.59765625" style="8" customWidth="1"/>
    <col min="9989" max="9989" width="7.69921875" style="8" customWidth="1"/>
    <col min="9990" max="9990" width="7.09765625" style="8" customWidth="1"/>
    <col min="9991" max="9991" width="7.19921875" style="8" customWidth="1"/>
    <col min="9992" max="9993" width="7.59765625" style="8" customWidth="1"/>
    <col min="9994" max="9994" width="5.5" style="8" customWidth="1"/>
    <col min="9995" max="9997" width="8.69921875" style="8"/>
    <col min="9998" max="9998" width="7.69921875" style="8" customWidth="1"/>
    <col min="9999" max="10233" width="8.69921875" style="8"/>
    <col min="10234" max="10234" width="4.8984375" style="8" customWidth="1"/>
    <col min="10235" max="10235" width="21" style="8" customWidth="1"/>
    <col min="10236" max="10236" width="7.59765625" style="8" customWidth="1"/>
    <col min="10237" max="10237" width="8" style="8" customWidth="1"/>
    <col min="10238" max="10238" width="8.5" style="8" customWidth="1"/>
    <col min="10239" max="10239" width="4.59765625" style="8" customWidth="1"/>
    <col min="10240" max="10240" width="7.59765625" style="8" customWidth="1"/>
    <col min="10241" max="10241" width="7.8984375" style="8" customWidth="1"/>
    <col min="10242" max="10242" width="8.5" style="8" customWidth="1"/>
    <col min="10243" max="10244" width="7.59765625" style="8" customWidth="1"/>
    <col min="10245" max="10245" width="7.69921875" style="8" customWidth="1"/>
    <col min="10246" max="10246" width="7.09765625" style="8" customWidth="1"/>
    <col min="10247" max="10247" width="7.19921875" style="8" customWidth="1"/>
    <col min="10248" max="10249" width="7.59765625" style="8" customWidth="1"/>
    <col min="10250" max="10250" width="5.5" style="8" customWidth="1"/>
    <col min="10251" max="10253" width="8.69921875" style="8"/>
    <col min="10254" max="10254" width="7.69921875" style="8" customWidth="1"/>
    <col min="10255" max="10489" width="8.69921875" style="8"/>
    <col min="10490" max="10490" width="4.8984375" style="8" customWidth="1"/>
    <col min="10491" max="10491" width="21" style="8" customWidth="1"/>
    <col min="10492" max="10492" width="7.59765625" style="8" customWidth="1"/>
    <col min="10493" max="10493" width="8" style="8" customWidth="1"/>
    <col min="10494" max="10494" width="8.5" style="8" customWidth="1"/>
    <col min="10495" max="10495" width="4.59765625" style="8" customWidth="1"/>
    <col min="10496" max="10496" width="7.59765625" style="8" customWidth="1"/>
    <col min="10497" max="10497" width="7.8984375" style="8" customWidth="1"/>
    <col min="10498" max="10498" width="8.5" style="8" customWidth="1"/>
    <col min="10499" max="10500" width="7.59765625" style="8" customWidth="1"/>
    <col min="10501" max="10501" width="7.69921875" style="8" customWidth="1"/>
    <col min="10502" max="10502" width="7.09765625" style="8" customWidth="1"/>
    <col min="10503" max="10503" width="7.19921875" style="8" customWidth="1"/>
    <col min="10504" max="10505" width="7.59765625" style="8" customWidth="1"/>
    <col min="10506" max="10506" width="5.5" style="8" customWidth="1"/>
    <col min="10507" max="10509" width="8.69921875" style="8"/>
    <col min="10510" max="10510" width="7.69921875" style="8" customWidth="1"/>
    <col min="10511" max="10745" width="8.69921875" style="8"/>
    <col min="10746" max="10746" width="4.8984375" style="8" customWidth="1"/>
    <col min="10747" max="10747" width="21" style="8" customWidth="1"/>
    <col min="10748" max="10748" width="7.59765625" style="8" customWidth="1"/>
    <col min="10749" max="10749" width="8" style="8" customWidth="1"/>
    <col min="10750" max="10750" width="8.5" style="8" customWidth="1"/>
    <col min="10751" max="10751" width="4.59765625" style="8" customWidth="1"/>
    <col min="10752" max="10752" width="7.59765625" style="8" customWidth="1"/>
    <col min="10753" max="10753" width="7.8984375" style="8" customWidth="1"/>
    <col min="10754" max="10754" width="8.5" style="8" customWidth="1"/>
    <col min="10755" max="10756" width="7.59765625" style="8" customWidth="1"/>
    <col min="10757" max="10757" width="7.69921875" style="8" customWidth="1"/>
    <col min="10758" max="10758" width="7.09765625" style="8" customWidth="1"/>
    <col min="10759" max="10759" width="7.19921875" style="8" customWidth="1"/>
    <col min="10760" max="10761" width="7.59765625" style="8" customWidth="1"/>
    <col min="10762" max="10762" width="5.5" style="8" customWidth="1"/>
    <col min="10763" max="10765" width="8.69921875" style="8"/>
    <col min="10766" max="10766" width="7.69921875" style="8" customWidth="1"/>
    <col min="10767" max="11001" width="8.69921875" style="8"/>
    <col min="11002" max="11002" width="4.8984375" style="8" customWidth="1"/>
    <col min="11003" max="11003" width="21" style="8" customWidth="1"/>
    <col min="11004" max="11004" width="7.59765625" style="8" customWidth="1"/>
    <col min="11005" max="11005" width="8" style="8" customWidth="1"/>
    <col min="11006" max="11006" width="8.5" style="8" customWidth="1"/>
    <col min="11007" max="11007" width="4.59765625" style="8" customWidth="1"/>
    <col min="11008" max="11008" width="7.59765625" style="8" customWidth="1"/>
    <col min="11009" max="11009" width="7.8984375" style="8" customWidth="1"/>
    <col min="11010" max="11010" width="8.5" style="8" customWidth="1"/>
    <col min="11011" max="11012" width="7.59765625" style="8" customWidth="1"/>
    <col min="11013" max="11013" width="7.69921875" style="8" customWidth="1"/>
    <col min="11014" max="11014" width="7.09765625" style="8" customWidth="1"/>
    <col min="11015" max="11015" width="7.19921875" style="8" customWidth="1"/>
    <col min="11016" max="11017" width="7.59765625" style="8" customWidth="1"/>
    <col min="11018" max="11018" width="5.5" style="8" customWidth="1"/>
    <col min="11019" max="11021" width="8.69921875" style="8"/>
    <col min="11022" max="11022" width="7.69921875" style="8" customWidth="1"/>
    <col min="11023" max="11257" width="8.69921875" style="8"/>
    <col min="11258" max="11258" width="4.8984375" style="8" customWidth="1"/>
    <col min="11259" max="11259" width="21" style="8" customWidth="1"/>
    <col min="11260" max="11260" width="7.59765625" style="8" customWidth="1"/>
    <col min="11261" max="11261" width="8" style="8" customWidth="1"/>
    <col min="11262" max="11262" width="8.5" style="8" customWidth="1"/>
    <col min="11263" max="11263" width="4.59765625" style="8" customWidth="1"/>
    <col min="11264" max="11264" width="7.59765625" style="8" customWidth="1"/>
    <col min="11265" max="11265" width="7.8984375" style="8" customWidth="1"/>
    <col min="11266" max="11266" width="8.5" style="8" customWidth="1"/>
    <col min="11267" max="11268" width="7.59765625" style="8" customWidth="1"/>
    <col min="11269" max="11269" width="7.69921875" style="8" customWidth="1"/>
    <col min="11270" max="11270" width="7.09765625" style="8" customWidth="1"/>
    <col min="11271" max="11271" width="7.19921875" style="8" customWidth="1"/>
    <col min="11272" max="11273" width="7.59765625" style="8" customWidth="1"/>
    <col min="11274" max="11274" width="5.5" style="8" customWidth="1"/>
    <col min="11275" max="11277" width="8.69921875" style="8"/>
    <col min="11278" max="11278" width="7.69921875" style="8" customWidth="1"/>
    <col min="11279" max="11513" width="8.69921875" style="8"/>
    <col min="11514" max="11514" width="4.8984375" style="8" customWidth="1"/>
    <col min="11515" max="11515" width="21" style="8" customWidth="1"/>
    <col min="11516" max="11516" width="7.59765625" style="8" customWidth="1"/>
    <col min="11517" max="11517" width="8" style="8" customWidth="1"/>
    <col min="11518" max="11518" width="8.5" style="8" customWidth="1"/>
    <col min="11519" max="11519" width="4.59765625" style="8" customWidth="1"/>
    <col min="11520" max="11520" width="7.59765625" style="8" customWidth="1"/>
    <col min="11521" max="11521" width="7.8984375" style="8" customWidth="1"/>
    <col min="11522" max="11522" width="8.5" style="8" customWidth="1"/>
    <col min="11523" max="11524" width="7.59765625" style="8" customWidth="1"/>
    <col min="11525" max="11525" width="7.69921875" style="8" customWidth="1"/>
    <col min="11526" max="11526" width="7.09765625" style="8" customWidth="1"/>
    <col min="11527" max="11527" width="7.19921875" style="8" customWidth="1"/>
    <col min="11528" max="11529" width="7.59765625" style="8" customWidth="1"/>
    <col min="11530" max="11530" width="5.5" style="8" customWidth="1"/>
    <col min="11531" max="11533" width="8.69921875" style="8"/>
    <col min="11534" max="11534" width="7.69921875" style="8" customWidth="1"/>
    <col min="11535" max="11769" width="8.69921875" style="8"/>
    <col min="11770" max="11770" width="4.8984375" style="8" customWidth="1"/>
    <col min="11771" max="11771" width="21" style="8" customWidth="1"/>
    <col min="11772" max="11772" width="7.59765625" style="8" customWidth="1"/>
    <col min="11773" max="11773" width="8" style="8" customWidth="1"/>
    <col min="11774" max="11774" width="8.5" style="8" customWidth="1"/>
    <col min="11775" max="11775" width="4.59765625" style="8" customWidth="1"/>
    <col min="11776" max="11776" width="7.59765625" style="8" customWidth="1"/>
    <col min="11777" max="11777" width="7.8984375" style="8" customWidth="1"/>
    <col min="11778" max="11778" width="8.5" style="8" customWidth="1"/>
    <col min="11779" max="11780" width="7.59765625" style="8" customWidth="1"/>
    <col min="11781" max="11781" width="7.69921875" style="8" customWidth="1"/>
    <col min="11782" max="11782" width="7.09765625" style="8" customWidth="1"/>
    <col min="11783" max="11783" width="7.19921875" style="8" customWidth="1"/>
    <col min="11784" max="11785" width="7.59765625" style="8" customWidth="1"/>
    <col min="11786" max="11786" width="5.5" style="8" customWidth="1"/>
    <col min="11787" max="11789" width="8.69921875" style="8"/>
    <col min="11790" max="11790" width="7.69921875" style="8" customWidth="1"/>
    <col min="11791" max="12025" width="8.69921875" style="8"/>
    <col min="12026" max="12026" width="4.8984375" style="8" customWidth="1"/>
    <col min="12027" max="12027" width="21" style="8" customWidth="1"/>
    <col min="12028" max="12028" width="7.59765625" style="8" customWidth="1"/>
    <col min="12029" max="12029" width="8" style="8" customWidth="1"/>
    <col min="12030" max="12030" width="8.5" style="8" customWidth="1"/>
    <col min="12031" max="12031" width="4.59765625" style="8" customWidth="1"/>
    <col min="12032" max="12032" width="7.59765625" style="8" customWidth="1"/>
    <col min="12033" max="12033" width="7.8984375" style="8" customWidth="1"/>
    <col min="12034" max="12034" width="8.5" style="8" customWidth="1"/>
    <col min="12035" max="12036" width="7.59765625" style="8" customWidth="1"/>
    <col min="12037" max="12037" width="7.69921875" style="8" customWidth="1"/>
    <col min="12038" max="12038" width="7.09765625" style="8" customWidth="1"/>
    <col min="12039" max="12039" width="7.19921875" style="8" customWidth="1"/>
    <col min="12040" max="12041" width="7.59765625" style="8" customWidth="1"/>
    <col min="12042" max="12042" width="5.5" style="8" customWidth="1"/>
    <col min="12043" max="12045" width="8.69921875" style="8"/>
    <col min="12046" max="12046" width="7.69921875" style="8" customWidth="1"/>
    <col min="12047" max="12281" width="8.69921875" style="8"/>
    <col min="12282" max="12282" width="4.8984375" style="8" customWidth="1"/>
    <col min="12283" max="12283" width="21" style="8" customWidth="1"/>
    <col min="12284" max="12284" width="7.59765625" style="8" customWidth="1"/>
    <col min="12285" max="12285" width="8" style="8" customWidth="1"/>
    <col min="12286" max="12286" width="8.5" style="8" customWidth="1"/>
    <col min="12287" max="12287" width="4.59765625" style="8" customWidth="1"/>
    <col min="12288" max="12288" width="7.59765625" style="8" customWidth="1"/>
    <col min="12289" max="12289" width="7.8984375" style="8" customWidth="1"/>
    <col min="12290" max="12290" width="8.5" style="8" customWidth="1"/>
    <col min="12291" max="12292" width="7.59765625" style="8" customWidth="1"/>
    <col min="12293" max="12293" width="7.69921875" style="8" customWidth="1"/>
    <col min="12294" max="12294" width="7.09765625" style="8" customWidth="1"/>
    <col min="12295" max="12295" width="7.19921875" style="8" customWidth="1"/>
    <col min="12296" max="12297" width="7.59765625" style="8" customWidth="1"/>
    <col min="12298" max="12298" width="5.5" style="8" customWidth="1"/>
    <col min="12299" max="12301" width="8.69921875" style="8"/>
    <col min="12302" max="12302" width="7.69921875" style="8" customWidth="1"/>
    <col min="12303" max="12537" width="8.69921875" style="8"/>
    <col min="12538" max="12538" width="4.8984375" style="8" customWidth="1"/>
    <col min="12539" max="12539" width="21" style="8" customWidth="1"/>
    <col min="12540" max="12540" width="7.59765625" style="8" customWidth="1"/>
    <col min="12541" max="12541" width="8" style="8" customWidth="1"/>
    <col min="12542" max="12542" width="8.5" style="8" customWidth="1"/>
    <col min="12543" max="12543" width="4.59765625" style="8" customWidth="1"/>
    <col min="12544" max="12544" width="7.59765625" style="8" customWidth="1"/>
    <col min="12545" max="12545" width="7.8984375" style="8" customWidth="1"/>
    <col min="12546" max="12546" width="8.5" style="8" customWidth="1"/>
    <col min="12547" max="12548" width="7.59765625" style="8" customWidth="1"/>
    <col min="12549" max="12549" width="7.69921875" style="8" customWidth="1"/>
    <col min="12550" max="12550" width="7.09765625" style="8" customWidth="1"/>
    <col min="12551" max="12551" width="7.19921875" style="8" customWidth="1"/>
    <col min="12552" max="12553" width="7.59765625" style="8" customWidth="1"/>
    <col min="12554" max="12554" width="5.5" style="8" customWidth="1"/>
    <col min="12555" max="12557" width="8.69921875" style="8"/>
    <col min="12558" max="12558" width="7.69921875" style="8" customWidth="1"/>
    <col min="12559" max="12793" width="8.69921875" style="8"/>
    <col min="12794" max="12794" width="4.8984375" style="8" customWidth="1"/>
    <col min="12795" max="12795" width="21" style="8" customWidth="1"/>
    <col min="12796" max="12796" width="7.59765625" style="8" customWidth="1"/>
    <col min="12797" max="12797" width="8" style="8" customWidth="1"/>
    <col min="12798" max="12798" width="8.5" style="8" customWidth="1"/>
    <col min="12799" max="12799" width="4.59765625" style="8" customWidth="1"/>
    <col min="12800" max="12800" width="7.59765625" style="8" customWidth="1"/>
    <col min="12801" max="12801" width="7.8984375" style="8" customWidth="1"/>
    <col min="12802" max="12802" width="8.5" style="8" customWidth="1"/>
    <col min="12803" max="12804" width="7.59765625" style="8" customWidth="1"/>
    <col min="12805" max="12805" width="7.69921875" style="8" customWidth="1"/>
    <col min="12806" max="12806" width="7.09765625" style="8" customWidth="1"/>
    <col min="12807" max="12807" width="7.19921875" style="8" customWidth="1"/>
    <col min="12808" max="12809" width="7.59765625" style="8" customWidth="1"/>
    <col min="12810" max="12810" width="5.5" style="8" customWidth="1"/>
    <col min="12811" max="12813" width="8.69921875" style="8"/>
    <col min="12814" max="12814" width="7.69921875" style="8" customWidth="1"/>
    <col min="12815" max="13049" width="8.69921875" style="8"/>
    <col min="13050" max="13050" width="4.8984375" style="8" customWidth="1"/>
    <col min="13051" max="13051" width="21" style="8" customWidth="1"/>
    <col min="13052" max="13052" width="7.59765625" style="8" customWidth="1"/>
    <col min="13053" max="13053" width="8" style="8" customWidth="1"/>
    <col min="13054" max="13054" width="8.5" style="8" customWidth="1"/>
    <col min="13055" max="13055" width="4.59765625" style="8" customWidth="1"/>
    <col min="13056" max="13056" width="7.59765625" style="8" customWidth="1"/>
    <col min="13057" max="13057" width="7.8984375" style="8" customWidth="1"/>
    <col min="13058" max="13058" width="8.5" style="8" customWidth="1"/>
    <col min="13059" max="13060" width="7.59765625" style="8" customWidth="1"/>
    <col min="13061" max="13061" width="7.69921875" style="8" customWidth="1"/>
    <col min="13062" max="13062" width="7.09765625" style="8" customWidth="1"/>
    <col min="13063" max="13063" width="7.19921875" style="8" customWidth="1"/>
    <col min="13064" max="13065" width="7.59765625" style="8" customWidth="1"/>
    <col min="13066" max="13066" width="5.5" style="8" customWidth="1"/>
    <col min="13067" max="13069" width="8.69921875" style="8"/>
    <col min="13070" max="13070" width="7.69921875" style="8" customWidth="1"/>
    <col min="13071" max="13305" width="8.69921875" style="8"/>
    <col min="13306" max="13306" width="4.8984375" style="8" customWidth="1"/>
    <col min="13307" max="13307" width="21" style="8" customWidth="1"/>
    <col min="13308" max="13308" width="7.59765625" style="8" customWidth="1"/>
    <col min="13309" max="13309" width="8" style="8" customWidth="1"/>
    <col min="13310" max="13310" width="8.5" style="8" customWidth="1"/>
    <col min="13311" max="13311" width="4.59765625" style="8" customWidth="1"/>
    <col min="13312" max="13312" width="7.59765625" style="8" customWidth="1"/>
    <col min="13313" max="13313" width="7.8984375" style="8" customWidth="1"/>
    <col min="13314" max="13314" width="8.5" style="8" customWidth="1"/>
    <col min="13315" max="13316" width="7.59765625" style="8" customWidth="1"/>
    <col min="13317" max="13317" width="7.69921875" style="8" customWidth="1"/>
    <col min="13318" max="13318" width="7.09765625" style="8" customWidth="1"/>
    <col min="13319" max="13319" width="7.19921875" style="8" customWidth="1"/>
    <col min="13320" max="13321" width="7.59765625" style="8" customWidth="1"/>
    <col min="13322" max="13322" width="5.5" style="8" customWidth="1"/>
    <col min="13323" max="13325" width="8.69921875" style="8"/>
    <col min="13326" max="13326" width="7.69921875" style="8" customWidth="1"/>
    <col min="13327" max="13561" width="8.69921875" style="8"/>
    <col min="13562" max="13562" width="4.8984375" style="8" customWidth="1"/>
    <col min="13563" max="13563" width="21" style="8" customWidth="1"/>
    <col min="13564" max="13564" width="7.59765625" style="8" customWidth="1"/>
    <col min="13565" max="13565" width="8" style="8" customWidth="1"/>
    <col min="13566" max="13566" width="8.5" style="8" customWidth="1"/>
    <col min="13567" max="13567" width="4.59765625" style="8" customWidth="1"/>
    <col min="13568" max="13568" width="7.59765625" style="8" customWidth="1"/>
    <col min="13569" max="13569" width="7.8984375" style="8" customWidth="1"/>
    <col min="13570" max="13570" width="8.5" style="8" customWidth="1"/>
    <col min="13571" max="13572" width="7.59765625" style="8" customWidth="1"/>
    <col min="13573" max="13573" width="7.69921875" style="8" customWidth="1"/>
    <col min="13574" max="13574" width="7.09765625" style="8" customWidth="1"/>
    <col min="13575" max="13575" width="7.19921875" style="8" customWidth="1"/>
    <col min="13576" max="13577" width="7.59765625" style="8" customWidth="1"/>
    <col min="13578" max="13578" width="5.5" style="8" customWidth="1"/>
    <col min="13579" max="13581" width="8.69921875" style="8"/>
    <col min="13582" max="13582" width="7.69921875" style="8" customWidth="1"/>
    <col min="13583" max="13817" width="8.69921875" style="8"/>
    <col min="13818" max="13818" width="4.8984375" style="8" customWidth="1"/>
    <col min="13819" max="13819" width="21" style="8" customWidth="1"/>
    <col min="13820" max="13820" width="7.59765625" style="8" customWidth="1"/>
    <col min="13821" max="13821" width="8" style="8" customWidth="1"/>
    <col min="13822" max="13822" width="8.5" style="8" customWidth="1"/>
    <col min="13823" max="13823" width="4.59765625" style="8" customWidth="1"/>
    <col min="13824" max="13824" width="7.59765625" style="8" customWidth="1"/>
    <col min="13825" max="13825" width="7.8984375" style="8" customWidth="1"/>
    <col min="13826" max="13826" width="8.5" style="8" customWidth="1"/>
    <col min="13827" max="13828" width="7.59765625" style="8" customWidth="1"/>
    <col min="13829" max="13829" width="7.69921875" style="8" customWidth="1"/>
    <col min="13830" max="13830" width="7.09765625" style="8" customWidth="1"/>
    <col min="13831" max="13831" width="7.19921875" style="8" customWidth="1"/>
    <col min="13832" max="13833" width="7.59765625" style="8" customWidth="1"/>
    <col min="13834" max="13834" width="5.5" style="8" customWidth="1"/>
    <col min="13835" max="13837" width="8.69921875" style="8"/>
    <col min="13838" max="13838" width="7.69921875" style="8" customWidth="1"/>
    <col min="13839" max="14073" width="8.69921875" style="8"/>
    <col min="14074" max="14074" width="4.8984375" style="8" customWidth="1"/>
    <col min="14075" max="14075" width="21" style="8" customWidth="1"/>
    <col min="14076" max="14076" width="7.59765625" style="8" customWidth="1"/>
    <col min="14077" max="14077" width="8" style="8" customWidth="1"/>
    <col min="14078" max="14078" width="8.5" style="8" customWidth="1"/>
    <col min="14079" max="14079" width="4.59765625" style="8" customWidth="1"/>
    <col min="14080" max="14080" width="7.59765625" style="8" customWidth="1"/>
    <col min="14081" max="14081" width="7.8984375" style="8" customWidth="1"/>
    <col min="14082" max="14082" width="8.5" style="8" customWidth="1"/>
    <col min="14083" max="14084" width="7.59765625" style="8" customWidth="1"/>
    <col min="14085" max="14085" width="7.69921875" style="8" customWidth="1"/>
    <col min="14086" max="14086" width="7.09765625" style="8" customWidth="1"/>
    <col min="14087" max="14087" width="7.19921875" style="8" customWidth="1"/>
    <col min="14088" max="14089" width="7.59765625" style="8" customWidth="1"/>
    <col min="14090" max="14090" width="5.5" style="8" customWidth="1"/>
    <col min="14091" max="14093" width="8.69921875" style="8"/>
    <col min="14094" max="14094" width="7.69921875" style="8" customWidth="1"/>
    <col min="14095" max="14329" width="8.69921875" style="8"/>
    <col min="14330" max="14330" width="4.8984375" style="8" customWidth="1"/>
    <col min="14331" max="14331" width="21" style="8" customWidth="1"/>
    <col min="14332" max="14332" width="7.59765625" style="8" customWidth="1"/>
    <col min="14333" max="14333" width="8" style="8" customWidth="1"/>
    <col min="14334" max="14334" width="8.5" style="8" customWidth="1"/>
    <col min="14335" max="14335" width="4.59765625" style="8" customWidth="1"/>
    <col min="14336" max="14336" width="7.59765625" style="8" customWidth="1"/>
    <col min="14337" max="14337" width="7.8984375" style="8" customWidth="1"/>
    <col min="14338" max="14338" width="8.5" style="8" customWidth="1"/>
    <col min="14339" max="14340" width="7.59765625" style="8" customWidth="1"/>
    <col min="14341" max="14341" width="7.69921875" style="8" customWidth="1"/>
    <col min="14342" max="14342" width="7.09765625" style="8" customWidth="1"/>
    <col min="14343" max="14343" width="7.19921875" style="8" customWidth="1"/>
    <col min="14344" max="14345" width="7.59765625" style="8" customWidth="1"/>
    <col min="14346" max="14346" width="5.5" style="8" customWidth="1"/>
    <col min="14347" max="14349" width="8.69921875" style="8"/>
    <col min="14350" max="14350" width="7.69921875" style="8" customWidth="1"/>
    <col min="14351" max="14585" width="8.69921875" style="8"/>
    <col min="14586" max="14586" width="4.8984375" style="8" customWidth="1"/>
    <col min="14587" max="14587" width="21" style="8" customWidth="1"/>
    <col min="14588" max="14588" width="7.59765625" style="8" customWidth="1"/>
    <col min="14589" max="14589" width="8" style="8" customWidth="1"/>
    <col min="14590" max="14590" width="8.5" style="8" customWidth="1"/>
    <col min="14591" max="14591" width="4.59765625" style="8" customWidth="1"/>
    <col min="14592" max="14592" width="7.59765625" style="8" customWidth="1"/>
    <col min="14593" max="14593" width="7.8984375" style="8" customWidth="1"/>
    <col min="14594" max="14594" width="8.5" style="8" customWidth="1"/>
    <col min="14595" max="14596" width="7.59765625" style="8" customWidth="1"/>
    <col min="14597" max="14597" width="7.69921875" style="8" customWidth="1"/>
    <col min="14598" max="14598" width="7.09765625" style="8" customWidth="1"/>
    <col min="14599" max="14599" width="7.19921875" style="8" customWidth="1"/>
    <col min="14600" max="14601" width="7.59765625" style="8" customWidth="1"/>
    <col min="14602" max="14602" width="5.5" style="8" customWidth="1"/>
    <col min="14603" max="14605" width="8.69921875" style="8"/>
    <col min="14606" max="14606" width="7.69921875" style="8" customWidth="1"/>
    <col min="14607" max="14841" width="8.69921875" style="8"/>
    <col min="14842" max="14842" width="4.8984375" style="8" customWidth="1"/>
    <col min="14843" max="14843" width="21" style="8" customWidth="1"/>
    <col min="14844" max="14844" width="7.59765625" style="8" customWidth="1"/>
    <col min="14845" max="14845" width="8" style="8" customWidth="1"/>
    <col min="14846" max="14846" width="8.5" style="8" customWidth="1"/>
    <col min="14847" max="14847" width="4.59765625" style="8" customWidth="1"/>
    <col min="14848" max="14848" width="7.59765625" style="8" customWidth="1"/>
    <col min="14849" max="14849" width="7.8984375" style="8" customWidth="1"/>
    <col min="14850" max="14850" width="8.5" style="8" customWidth="1"/>
    <col min="14851" max="14852" width="7.59765625" style="8" customWidth="1"/>
    <col min="14853" max="14853" width="7.69921875" style="8" customWidth="1"/>
    <col min="14854" max="14854" width="7.09765625" style="8" customWidth="1"/>
    <col min="14855" max="14855" width="7.19921875" style="8" customWidth="1"/>
    <col min="14856" max="14857" width="7.59765625" style="8" customWidth="1"/>
    <col min="14858" max="14858" width="5.5" style="8" customWidth="1"/>
    <col min="14859" max="14861" width="8.69921875" style="8"/>
    <col min="14862" max="14862" width="7.69921875" style="8" customWidth="1"/>
    <col min="14863" max="15097" width="8.69921875" style="8"/>
    <col min="15098" max="15098" width="4.8984375" style="8" customWidth="1"/>
    <col min="15099" max="15099" width="21" style="8" customWidth="1"/>
    <col min="15100" max="15100" width="7.59765625" style="8" customWidth="1"/>
    <col min="15101" max="15101" width="8" style="8" customWidth="1"/>
    <col min="15102" max="15102" width="8.5" style="8" customWidth="1"/>
    <col min="15103" max="15103" width="4.59765625" style="8" customWidth="1"/>
    <col min="15104" max="15104" width="7.59765625" style="8" customWidth="1"/>
    <col min="15105" max="15105" width="7.8984375" style="8" customWidth="1"/>
    <col min="15106" max="15106" width="8.5" style="8" customWidth="1"/>
    <col min="15107" max="15108" width="7.59765625" style="8" customWidth="1"/>
    <col min="15109" max="15109" width="7.69921875" style="8" customWidth="1"/>
    <col min="15110" max="15110" width="7.09765625" style="8" customWidth="1"/>
    <col min="15111" max="15111" width="7.19921875" style="8" customWidth="1"/>
    <col min="15112" max="15113" width="7.59765625" style="8" customWidth="1"/>
    <col min="15114" max="15114" width="5.5" style="8" customWidth="1"/>
    <col min="15115" max="15117" width="8.69921875" style="8"/>
    <col min="15118" max="15118" width="7.69921875" style="8" customWidth="1"/>
    <col min="15119" max="15353" width="8.69921875" style="8"/>
    <col min="15354" max="15354" width="4.8984375" style="8" customWidth="1"/>
    <col min="15355" max="15355" width="21" style="8" customWidth="1"/>
    <col min="15356" max="15356" width="7.59765625" style="8" customWidth="1"/>
    <col min="15357" max="15357" width="8" style="8" customWidth="1"/>
    <col min="15358" max="15358" width="8.5" style="8" customWidth="1"/>
    <col min="15359" max="15359" width="4.59765625" style="8" customWidth="1"/>
    <col min="15360" max="15360" width="7.59765625" style="8" customWidth="1"/>
    <col min="15361" max="15361" width="7.8984375" style="8" customWidth="1"/>
    <col min="15362" max="15362" width="8.5" style="8" customWidth="1"/>
    <col min="15363" max="15364" width="7.59765625" style="8" customWidth="1"/>
    <col min="15365" max="15365" width="7.69921875" style="8" customWidth="1"/>
    <col min="15366" max="15366" width="7.09765625" style="8" customWidth="1"/>
    <col min="15367" max="15367" width="7.19921875" style="8" customWidth="1"/>
    <col min="15368" max="15369" width="7.59765625" style="8" customWidth="1"/>
    <col min="15370" max="15370" width="5.5" style="8" customWidth="1"/>
    <col min="15371" max="15373" width="8.69921875" style="8"/>
    <col min="15374" max="15374" width="7.69921875" style="8" customWidth="1"/>
    <col min="15375" max="15609" width="8.69921875" style="8"/>
    <col min="15610" max="15610" width="4.8984375" style="8" customWidth="1"/>
    <col min="15611" max="15611" width="21" style="8" customWidth="1"/>
    <col min="15612" max="15612" width="7.59765625" style="8" customWidth="1"/>
    <col min="15613" max="15613" width="8" style="8" customWidth="1"/>
    <col min="15614" max="15614" width="8.5" style="8" customWidth="1"/>
    <col min="15615" max="15615" width="4.59765625" style="8" customWidth="1"/>
    <col min="15616" max="15616" width="7.59765625" style="8" customWidth="1"/>
    <col min="15617" max="15617" width="7.8984375" style="8" customWidth="1"/>
    <col min="15618" max="15618" width="8.5" style="8" customWidth="1"/>
    <col min="15619" max="15620" width="7.59765625" style="8" customWidth="1"/>
    <col min="15621" max="15621" width="7.69921875" style="8" customWidth="1"/>
    <col min="15622" max="15622" width="7.09765625" style="8" customWidth="1"/>
    <col min="15623" max="15623" width="7.19921875" style="8" customWidth="1"/>
    <col min="15624" max="15625" width="7.59765625" style="8" customWidth="1"/>
    <col min="15626" max="15626" width="5.5" style="8" customWidth="1"/>
    <col min="15627" max="15629" width="8.69921875" style="8"/>
    <col min="15630" max="15630" width="7.69921875" style="8" customWidth="1"/>
    <col min="15631" max="15865" width="8.69921875" style="8"/>
    <col min="15866" max="15866" width="4.8984375" style="8" customWidth="1"/>
    <col min="15867" max="15867" width="21" style="8" customWidth="1"/>
    <col min="15868" max="15868" width="7.59765625" style="8" customWidth="1"/>
    <col min="15869" max="15869" width="8" style="8" customWidth="1"/>
    <col min="15870" max="15870" width="8.5" style="8" customWidth="1"/>
    <col min="15871" max="15871" width="4.59765625" style="8" customWidth="1"/>
    <col min="15872" max="15872" width="7.59765625" style="8" customWidth="1"/>
    <col min="15873" max="15873" width="7.8984375" style="8" customWidth="1"/>
    <col min="15874" max="15874" width="8.5" style="8" customWidth="1"/>
    <col min="15875" max="15876" width="7.59765625" style="8" customWidth="1"/>
    <col min="15877" max="15877" width="7.69921875" style="8" customWidth="1"/>
    <col min="15878" max="15878" width="7.09765625" style="8" customWidth="1"/>
    <col min="15879" max="15879" width="7.19921875" style="8" customWidth="1"/>
    <col min="15880" max="15881" width="7.59765625" style="8" customWidth="1"/>
    <col min="15882" max="15882" width="5.5" style="8" customWidth="1"/>
    <col min="15883" max="15885" width="8.69921875" style="8"/>
    <col min="15886" max="15886" width="7.69921875" style="8" customWidth="1"/>
    <col min="15887" max="16121" width="8.69921875" style="8"/>
    <col min="16122" max="16122" width="4.8984375" style="8" customWidth="1"/>
    <col min="16123" max="16123" width="21" style="8" customWidth="1"/>
    <col min="16124" max="16124" width="7.59765625" style="8" customWidth="1"/>
    <col min="16125" max="16125" width="8" style="8" customWidth="1"/>
    <col min="16126" max="16126" width="8.5" style="8" customWidth="1"/>
    <col min="16127" max="16127" width="4.59765625" style="8" customWidth="1"/>
    <col min="16128" max="16128" width="7.59765625" style="8" customWidth="1"/>
    <col min="16129" max="16129" width="7.8984375" style="8" customWidth="1"/>
    <col min="16130" max="16130" width="8.5" style="8" customWidth="1"/>
    <col min="16131" max="16132" width="7.59765625" style="8" customWidth="1"/>
    <col min="16133" max="16133" width="7.69921875" style="8" customWidth="1"/>
    <col min="16134" max="16134" width="7.09765625" style="8" customWidth="1"/>
    <col min="16135" max="16135" width="7.19921875" style="8" customWidth="1"/>
    <col min="16136" max="16137" width="7.59765625" style="8" customWidth="1"/>
    <col min="16138" max="16138" width="5.5" style="8" customWidth="1"/>
    <col min="16139" max="16141" width="8.69921875" style="8"/>
    <col min="16142" max="16142" width="7.69921875" style="8" customWidth="1"/>
    <col min="16143" max="16384" width="8.69921875" style="8"/>
  </cols>
  <sheetData>
    <row r="1" spans="1:17" ht="36" customHeight="1">
      <c r="A1" s="19"/>
      <c r="B1" s="20"/>
      <c r="C1" s="20"/>
      <c r="D1" s="20"/>
      <c r="E1" s="20"/>
      <c r="F1" s="20"/>
      <c r="G1" s="20"/>
      <c r="H1" s="20"/>
      <c r="I1" s="7"/>
      <c r="J1" s="7"/>
      <c r="K1" s="7"/>
      <c r="L1" s="7"/>
      <c r="M1" s="20"/>
      <c r="N1" s="228" t="s">
        <v>524</v>
      </c>
      <c r="O1" s="228"/>
      <c r="P1" s="228"/>
      <c r="Q1" s="228"/>
    </row>
    <row r="2" spans="1:17" ht="24.6" customHeight="1">
      <c r="A2" s="197" t="s">
        <v>507</v>
      </c>
      <c r="B2" s="197"/>
      <c r="C2" s="197"/>
      <c r="D2" s="197"/>
      <c r="E2" s="197"/>
      <c r="F2" s="197"/>
      <c r="G2" s="197"/>
      <c r="H2" s="197"/>
      <c r="I2" s="197"/>
      <c r="J2" s="197"/>
      <c r="K2" s="197"/>
      <c r="L2" s="197"/>
      <c r="M2" s="197"/>
      <c r="N2" s="197"/>
      <c r="O2" s="197"/>
      <c r="P2" s="197"/>
      <c r="Q2" s="197"/>
    </row>
    <row r="3" spans="1:17" ht="24.6" customHeight="1">
      <c r="A3" s="209" t="str">
        <f>+'48'!A3:F3</f>
        <v>(Kèm theo Nghị quyết số  09 /NQ-HĐND ngày 30  tháng 3 năm 2026 của HĐND xã Quang Sơn)</v>
      </c>
      <c r="B3" s="209"/>
      <c r="C3" s="209"/>
      <c r="D3" s="209"/>
      <c r="E3" s="209"/>
      <c r="F3" s="209"/>
      <c r="G3" s="209"/>
      <c r="H3" s="209"/>
      <c r="I3" s="209"/>
      <c r="J3" s="209"/>
      <c r="K3" s="209"/>
      <c r="L3" s="209"/>
      <c r="M3" s="209"/>
      <c r="N3" s="209"/>
      <c r="O3" s="209"/>
      <c r="P3" s="209"/>
      <c r="Q3" s="209"/>
    </row>
    <row r="4" spans="1:17" ht="18">
      <c r="A4" s="9"/>
      <c r="B4" s="9"/>
      <c r="C4" s="9"/>
      <c r="D4" s="9"/>
      <c r="E4" s="9"/>
      <c r="F4" s="9"/>
      <c r="G4" s="10"/>
      <c r="H4" s="10"/>
      <c r="I4" s="10"/>
      <c r="J4" s="10"/>
      <c r="K4" s="10"/>
      <c r="L4" s="10"/>
      <c r="M4" s="9"/>
      <c r="N4" s="9"/>
      <c r="O4" s="9"/>
      <c r="Q4" s="12" t="s">
        <v>0</v>
      </c>
    </row>
    <row r="5" spans="1:17" ht="19.5" customHeight="1">
      <c r="A5" s="210" t="s">
        <v>1</v>
      </c>
      <c r="B5" s="206" t="s">
        <v>42</v>
      </c>
      <c r="C5" s="213" t="s">
        <v>3</v>
      </c>
      <c r="D5" s="214"/>
      <c r="E5" s="214"/>
      <c r="F5" s="215"/>
      <c r="G5" s="213" t="s">
        <v>4</v>
      </c>
      <c r="H5" s="216"/>
      <c r="I5" s="216"/>
      <c r="J5" s="216"/>
      <c r="K5" s="216"/>
      <c r="L5" s="216"/>
      <c r="M5" s="216"/>
      <c r="N5" s="216"/>
      <c r="O5" s="216"/>
      <c r="P5" s="216"/>
      <c r="Q5" s="217"/>
    </row>
    <row r="6" spans="1:17" ht="22.2" customHeight="1">
      <c r="A6" s="211"/>
      <c r="B6" s="207"/>
      <c r="C6" s="210" t="s">
        <v>91</v>
      </c>
      <c r="D6" s="218" t="s">
        <v>95</v>
      </c>
      <c r="E6" s="219"/>
      <c r="F6" s="220" t="s">
        <v>92</v>
      </c>
      <c r="G6" s="210" t="s">
        <v>91</v>
      </c>
      <c r="H6" s="218" t="s">
        <v>95</v>
      </c>
      <c r="I6" s="219"/>
      <c r="J6" s="213" t="s">
        <v>225</v>
      </c>
      <c r="K6" s="226"/>
      <c r="L6" s="226"/>
      <c r="M6" s="226"/>
      <c r="N6" s="226"/>
      <c r="O6" s="226"/>
      <c r="P6" s="227"/>
      <c r="Q6" s="206" t="s">
        <v>92</v>
      </c>
    </row>
    <row r="7" spans="1:17" ht="22.2" customHeight="1">
      <c r="A7" s="211"/>
      <c r="B7" s="207"/>
      <c r="C7" s="211"/>
      <c r="D7" s="220" t="s">
        <v>116</v>
      </c>
      <c r="E7" s="220" t="s">
        <v>117</v>
      </c>
      <c r="F7" s="221"/>
      <c r="G7" s="211"/>
      <c r="H7" s="220" t="s">
        <v>116</v>
      </c>
      <c r="I7" s="220" t="s">
        <v>117</v>
      </c>
      <c r="J7" s="210" t="s">
        <v>91</v>
      </c>
      <c r="K7" s="223" t="s">
        <v>116</v>
      </c>
      <c r="L7" s="224"/>
      <c r="M7" s="225"/>
      <c r="N7" s="223" t="s">
        <v>117</v>
      </c>
      <c r="O7" s="224"/>
      <c r="P7" s="225"/>
      <c r="Q7" s="207"/>
    </row>
    <row r="8" spans="1:17" ht="46.8">
      <c r="A8" s="212"/>
      <c r="B8" s="208"/>
      <c r="C8" s="212"/>
      <c r="D8" s="221"/>
      <c r="E8" s="221"/>
      <c r="F8" s="222"/>
      <c r="G8" s="211"/>
      <c r="H8" s="221"/>
      <c r="I8" s="221"/>
      <c r="J8" s="211"/>
      <c r="K8" s="22" t="s">
        <v>91</v>
      </c>
      <c r="L8" s="21" t="s">
        <v>105</v>
      </c>
      <c r="M8" s="21" t="s">
        <v>104</v>
      </c>
      <c r="N8" s="22" t="s">
        <v>91</v>
      </c>
      <c r="O8" s="21" t="s">
        <v>105</v>
      </c>
      <c r="P8" s="21" t="s">
        <v>104</v>
      </c>
      <c r="Q8" s="208"/>
    </row>
    <row r="9" spans="1:17" s="26" customFormat="1" ht="18.75" customHeight="1">
      <c r="A9" s="23" t="s">
        <v>5</v>
      </c>
      <c r="B9" s="24" t="s">
        <v>6</v>
      </c>
      <c r="C9" s="24">
        <v>1</v>
      </c>
      <c r="D9" s="24">
        <v>2</v>
      </c>
      <c r="E9" s="24">
        <v>3</v>
      </c>
      <c r="F9" s="24">
        <v>4</v>
      </c>
      <c r="G9" s="23" t="s">
        <v>118</v>
      </c>
      <c r="H9" s="23">
        <v>6</v>
      </c>
      <c r="I9" s="23">
        <v>7</v>
      </c>
      <c r="J9" s="23" t="s">
        <v>119</v>
      </c>
      <c r="K9" s="23" t="s">
        <v>120</v>
      </c>
      <c r="L9" s="23">
        <v>10</v>
      </c>
      <c r="M9" s="23">
        <v>11</v>
      </c>
      <c r="N9" s="23" t="s">
        <v>121</v>
      </c>
      <c r="O9" s="23">
        <v>13</v>
      </c>
      <c r="P9" s="23">
        <v>14</v>
      </c>
      <c r="Q9" s="25">
        <v>15</v>
      </c>
    </row>
    <row r="10" spans="1:17" s="10" customFormat="1" ht="18">
      <c r="A10" s="28"/>
      <c r="B10" s="27" t="s">
        <v>93</v>
      </c>
      <c r="C10" s="29">
        <f>+D10+E10</f>
        <v>21794.324785000001</v>
      </c>
      <c r="D10" s="29">
        <f>+SUM(D11:D13)</f>
        <v>15549.926004000001</v>
      </c>
      <c r="E10" s="29">
        <f>+SUM(E11:E13)</f>
        <v>6244.3987809999999</v>
      </c>
      <c r="F10" s="29">
        <f>+SUM(F11:F12)</f>
        <v>0</v>
      </c>
      <c r="G10" s="29">
        <f t="shared" ref="G10:P10" si="0">+SUM(G11:G13)</f>
        <v>21140.824227000001</v>
      </c>
      <c r="H10" s="29">
        <f t="shared" si="0"/>
        <v>15439.518690000001</v>
      </c>
      <c r="I10" s="29">
        <f t="shared" si="0"/>
        <v>5701.3055370000002</v>
      </c>
      <c r="J10" s="29">
        <f t="shared" si="0"/>
        <v>21140.824227000001</v>
      </c>
      <c r="K10" s="29">
        <f t="shared" si="0"/>
        <v>15439.518690000001</v>
      </c>
      <c r="L10" s="29">
        <f t="shared" si="0"/>
        <v>15439.518690000001</v>
      </c>
      <c r="M10" s="29">
        <f t="shared" si="0"/>
        <v>0</v>
      </c>
      <c r="N10" s="29">
        <f t="shared" si="0"/>
        <v>5701.3055370000002</v>
      </c>
      <c r="O10" s="29">
        <f t="shared" si="0"/>
        <v>5701.3055370000002</v>
      </c>
      <c r="P10" s="29">
        <f t="shared" si="0"/>
        <v>0</v>
      </c>
      <c r="Q10" s="30"/>
    </row>
    <row r="11" spans="1:17" s="10" customFormat="1" ht="54" customHeight="1">
      <c r="A11" s="32"/>
      <c r="B11" s="33" t="s">
        <v>226</v>
      </c>
      <c r="C11" s="34">
        <f>+SUM(D11:E11)</f>
        <v>316.86</v>
      </c>
      <c r="D11" s="34"/>
      <c r="E11" s="34">
        <v>316.86</v>
      </c>
      <c r="F11" s="29"/>
      <c r="G11" s="30">
        <f>+H11+I11</f>
        <v>195.98480000000001</v>
      </c>
      <c r="H11" s="30">
        <f>+K11</f>
        <v>0</v>
      </c>
      <c r="I11" s="30">
        <f>+N11</f>
        <v>195.98480000000001</v>
      </c>
      <c r="J11" s="30">
        <f>+K11+N11</f>
        <v>195.98480000000001</v>
      </c>
      <c r="K11" s="30">
        <f>+L11+M11</f>
        <v>0</v>
      </c>
      <c r="L11" s="30"/>
      <c r="M11" s="30"/>
      <c r="N11" s="30">
        <f>+O11+P11</f>
        <v>195.98480000000001</v>
      </c>
      <c r="O11" s="30">
        <v>195.98480000000001</v>
      </c>
      <c r="P11" s="30"/>
      <c r="Q11" s="30"/>
    </row>
    <row r="12" spans="1:17" s="10" customFormat="1" ht="45.75" customHeight="1">
      <c r="A12" s="32"/>
      <c r="B12" s="33" t="s">
        <v>227</v>
      </c>
      <c r="C12" s="34">
        <f>+SUM(D12:E12)</f>
        <v>2252.4403699999998</v>
      </c>
      <c r="D12" s="34"/>
      <c r="E12" s="34">
        <v>2252.4403699999998</v>
      </c>
      <c r="F12" s="29"/>
      <c r="G12" s="30">
        <f>+H12+I12</f>
        <v>2155.4652700000001</v>
      </c>
      <c r="H12" s="30">
        <f>+K12</f>
        <v>0</v>
      </c>
      <c r="I12" s="30">
        <f>+N12</f>
        <v>2155.4652700000001</v>
      </c>
      <c r="J12" s="30">
        <f>+K12+N12</f>
        <v>2155.4652700000001</v>
      </c>
      <c r="K12" s="30">
        <f>+L12+M12</f>
        <v>0</v>
      </c>
      <c r="L12" s="30"/>
      <c r="M12" s="30"/>
      <c r="N12" s="30">
        <f>+O12+P12</f>
        <v>2155.4652700000001</v>
      </c>
      <c r="O12" s="30">
        <v>2155.4652700000001</v>
      </c>
      <c r="P12" s="30"/>
      <c r="Q12" s="30"/>
    </row>
    <row r="13" spans="1:17" s="10" customFormat="1" ht="45.75" customHeight="1">
      <c r="A13" s="32"/>
      <c r="B13" s="33" t="s">
        <v>228</v>
      </c>
      <c r="C13" s="34">
        <f>+SUM(D13:E13)</f>
        <v>19225.024415</v>
      </c>
      <c r="D13" s="34">
        <v>15549.926004000001</v>
      </c>
      <c r="E13" s="34">
        <v>3675.0984109999999</v>
      </c>
      <c r="F13" s="34"/>
      <c r="G13" s="30">
        <f>+H13+I13</f>
        <v>18789.374157000002</v>
      </c>
      <c r="H13" s="30">
        <f>+K13</f>
        <v>15439.518690000001</v>
      </c>
      <c r="I13" s="30">
        <f>+N13</f>
        <v>3349.8554669999999</v>
      </c>
      <c r="J13" s="30">
        <f>+K13+N13</f>
        <v>18789.374157000002</v>
      </c>
      <c r="K13" s="30">
        <f>+L13+M13</f>
        <v>15439.518690000001</v>
      </c>
      <c r="L13" s="30">
        <v>15439.518690000001</v>
      </c>
      <c r="M13" s="30"/>
      <c r="N13" s="30">
        <f>+O13+P13</f>
        <v>3349.8554669999999</v>
      </c>
      <c r="O13" s="30">
        <v>3349.8554669999999</v>
      </c>
      <c r="P13" s="30"/>
      <c r="Q13" s="30"/>
    </row>
    <row r="14" spans="1:17" s="10" customFormat="1" ht="21.75" customHeight="1">
      <c r="A14" s="35"/>
      <c r="B14" s="36"/>
      <c r="C14" s="37"/>
      <c r="D14" s="37"/>
      <c r="E14" s="37"/>
      <c r="F14" s="38"/>
      <c r="G14" s="39"/>
      <c r="H14" s="39"/>
      <c r="I14" s="39"/>
      <c r="J14" s="39">
        <f>+K14+N14</f>
        <v>0</v>
      </c>
      <c r="K14" s="39">
        <f>+L14+M14</f>
        <v>0</v>
      </c>
      <c r="L14" s="39"/>
      <c r="M14" s="39"/>
      <c r="N14" s="39">
        <f>+O14+P14</f>
        <v>0</v>
      </c>
      <c r="O14" s="39"/>
      <c r="P14" s="39"/>
      <c r="Q14" s="39"/>
    </row>
    <row r="15" spans="1:17" ht="18">
      <c r="A15" s="10"/>
      <c r="B15" s="10"/>
      <c r="C15" s="10"/>
      <c r="D15" s="10"/>
      <c r="E15" s="10"/>
      <c r="F15" s="10"/>
      <c r="G15" s="10"/>
      <c r="H15" s="10"/>
      <c r="I15" s="10"/>
      <c r="J15" s="10"/>
      <c r="K15" s="10"/>
      <c r="L15" s="10"/>
      <c r="M15" s="10"/>
      <c r="N15" s="10"/>
      <c r="O15" s="10"/>
      <c r="P15" s="10"/>
    </row>
    <row r="16" spans="1:17" ht="18">
      <c r="A16" s="10"/>
      <c r="B16" s="10"/>
      <c r="C16" s="10"/>
      <c r="D16" s="31"/>
      <c r="E16" s="10"/>
      <c r="F16" s="10"/>
      <c r="G16" s="10"/>
      <c r="H16" s="10"/>
      <c r="I16" s="10"/>
      <c r="J16" s="10"/>
      <c r="K16" s="64"/>
      <c r="L16" s="64"/>
      <c r="M16" s="64"/>
      <c r="N16" s="64"/>
      <c r="O16" s="64"/>
      <c r="P16" s="64"/>
      <c r="Q16" s="64"/>
    </row>
    <row r="17" spans="1:17" ht="18">
      <c r="A17" s="10"/>
      <c r="B17" s="10"/>
      <c r="C17" s="10"/>
      <c r="D17" s="10"/>
      <c r="E17" s="10"/>
      <c r="F17" s="10"/>
      <c r="G17" s="10"/>
      <c r="H17" s="10"/>
      <c r="I17" s="10"/>
      <c r="J17" s="10"/>
      <c r="K17" s="65"/>
      <c r="L17" s="65"/>
      <c r="M17" s="65"/>
      <c r="N17" s="65"/>
      <c r="O17" s="65"/>
      <c r="P17" s="65"/>
      <c r="Q17" s="65"/>
    </row>
    <row r="18" spans="1:17" ht="18">
      <c r="A18" s="10"/>
      <c r="B18" s="10"/>
      <c r="C18" s="10"/>
      <c r="D18" s="10"/>
      <c r="E18" s="10"/>
      <c r="F18" s="10"/>
      <c r="G18" s="10"/>
      <c r="H18" s="10"/>
      <c r="I18" s="10"/>
      <c r="J18" s="10"/>
      <c r="K18" s="66"/>
      <c r="L18" s="66"/>
      <c r="M18" s="66"/>
      <c r="N18" s="66"/>
      <c r="O18" s="66"/>
      <c r="P18" s="66"/>
      <c r="Q18" s="66"/>
    </row>
    <row r="19" spans="1:17" ht="18">
      <c r="A19" s="10"/>
      <c r="B19" s="10"/>
      <c r="C19" s="10"/>
      <c r="D19" s="10"/>
      <c r="E19" s="10"/>
      <c r="F19" s="10"/>
      <c r="G19" s="10"/>
      <c r="H19" s="10"/>
      <c r="I19" s="10"/>
      <c r="J19" s="10"/>
      <c r="K19" s="10"/>
      <c r="L19" s="10"/>
      <c r="M19" s="10"/>
      <c r="N19" s="10"/>
      <c r="O19" s="10"/>
      <c r="P19" s="10"/>
    </row>
    <row r="20" spans="1:17" ht="18">
      <c r="A20" s="10"/>
      <c r="B20" s="10"/>
      <c r="C20" s="10"/>
      <c r="D20" s="10"/>
      <c r="E20" s="10"/>
      <c r="F20" s="10"/>
      <c r="G20" s="10"/>
      <c r="H20" s="10"/>
      <c r="I20" s="10"/>
      <c r="J20" s="10"/>
      <c r="K20" s="10"/>
      <c r="L20" s="10"/>
      <c r="M20" s="10"/>
      <c r="N20" s="10"/>
      <c r="O20" s="10"/>
      <c r="P20" s="10"/>
    </row>
    <row r="21" spans="1:17" ht="18">
      <c r="A21" s="10"/>
      <c r="B21" s="10"/>
      <c r="C21" s="10"/>
      <c r="D21" s="10"/>
      <c r="E21" s="10"/>
      <c r="F21" s="10"/>
      <c r="G21" s="10"/>
      <c r="H21" s="10"/>
      <c r="I21" s="10"/>
      <c r="J21" s="10"/>
      <c r="K21" s="10"/>
      <c r="L21" s="10"/>
      <c r="M21" s="10"/>
      <c r="N21" s="10"/>
      <c r="O21" s="10"/>
      <c r="P21" s="10"/>
    </row>
    <row r="22" spans="1:17" ht="18">
      <c r="A22" s="10"/>
      <c r="B22" s="10"/>
      <c r="C22" s="10"/>
      <c r="D22" s="10"/>
      <c r="E22" s="10"/>
      <c r="F22" s="10"/>
      <c r="G22" s="10"/>
      <c r="H22" s="10"/>
      <c r="I22" s="10"/>
      <c r="J22" s="10"/>
      <c r="K22" s="10"/>
      <c r="L22" s="10"/>
      <c r="M22" s="10"/>
      <c r="N22" s="10"/>
      <c r="O22" s="10"/>
      <c r="P22" s="10"/>
    </row>
    <row r="23" spans="1:17" ht="18">
      <c r="A23" s="10"/>
      <c r="B23" s="10"/>
      <c r="C23" s="10"/>
      <c r="D23" s="10"/>
      <c r="E23" s="10"/>
      <c r="F23" s="10"/>
      <c r="G23" s="10"/>
      <c r="H23" s="10"/>
      <c r="I23" s="10"/>
      <c r="J23" s="10"/>
      <c r="K23" s="10"/>
      <c r="L23" s="10"/>
      <c r="M23" s="10"/>
      <c r="N23" s="10"/>
      <c r="O23" s="10"/>
      <c r="P23" s="10"/>
    </row>
    <row r="24" spans="1:17" ht="18">
      <c r="A24" s="10"/>
      <c r="B24" s="10"/>
      <c r="C24" s="10"/>
      <c r="D24" s="10"/>
      <c r="E24" s="10"/>
      <c r="F24" s="10"/>
      <c r="G24" s="10"/>
      <c r="H24" s="10"/>
      <c r="I24" s="10"/>
      <c r="J24" s="10"/>
      <c r="K24" s="10"/>
      <c r="L24" s="10"/>
      <c r="M24" s="10"/>
      <c r="N24" s="10"/>
      <c r="O24" s="10"/>
      <c r="P24" s="10"/>
    </row>
  </sheetData>
  <mergeCells count="21">
    <mergeCell ref="E7:E8"/>
    <mergeCell ref="H7:H8"/>
    <mergeCell ref="I7:I8"/>
    <mergeCell ref="J7:J8"/>
    <mergeCell ref="N1:Q1"/>
    <mergeCell ref="Q6:Q8"/>
    <mergeCell ref="A2:Q2"/>
    <mergeCell ref="A3:Q3"/>
    <mergeCell ref="A5:A8"/>
    <mergeCell ref="B5:B8"/>
    <mergeCell ref="C5:F5"/>
    <mergeCell ref="G5:Q5"/>
    <mergeCell ref="C6:C8"/>
    <mergeCell ref="D6:E6"/>
    <mergeCell ref="F6:F8"/>
    <mergeCell ref="K7:M7"/>
    <mergeCell ref="N7:P7"/>
    <mergeCell ref="G6:G8"/>
    <mergeCell ref="H6:I6"/>
    <mergeCell ref="J6:P6"/>
    <mergeCell ref="D7:D8"/>
  </mergeCells>
  <pageMargins left="0.49" right="0.17" top="0.76" bottom="0.31" header="0.3" footer="0.3"/>
  <pageSetup paperSize="9" scale="95" orientation="landscape" verticalDpi="0" r:id="rId1"/>
  <headerFooter differentFirst="1">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25</vt:i4>
      </vt:variant>
    </vt:vector>
  </HeadingPairs>
  <TitlesOfParts>
    <vt:vector size="34" baseType="lpstr">
      <vt:lpstr>48</vt:lpstr>
      <vt:lpstr>50</vt:lpstr>
      <vt:lpstr>51</vt:lpstr>
      <vt:lpstr>52</vt:lpstr>
      <vt:lpstr>53</vt:lpstr>
      <vt:lpstr>54</vt:lpstr>
      <vt:lpstr>58</vt:lpstr>
      <vt:lpstr>59</vt:lpstr>
      <vt:lpstr>61</vt:lpstr>
      <vt:lpstr>'48'!chuong_phuluc_48</vt:lpstr>
      <vt:lpstr>'48'!chuong_phuluc_48_name</vt:lpstr>
      <vt:lpstr>'50'!chuong_phuluc_50_name</vt:lpstr>
      <vt:lpstr>'51'!chuong_phuluc_51</vt:lpstr>
      <vt:lpstr>'51'!chuong_phuluc_51_name</vt:lpstr>
      <vt:lpstr>'52'!chuong_phuluc_52</vt:lpstr>
      <vt:lpstr>'52'!chuong_phuluc_52_name</vt:lpstr>
      <vt:lpstr>'53'!chuong_phuluc_53</vt:lpstr>
      <vt:lpstr>'53'!chuong_phuluc_53_name</vt:lpstr>
      <vt:lpstr>'54'!chuong_phuluc_54_name</vt:lpstr>
      <vt:lpstr>'58'!chuong_phuluc_58</vt:lpstr>
      <vt:lpstr>'58'!chuong_phuluc_58_name</vt:lpstr>
      <vt:lpstr>'59'!chuong_phuluc_59</vt:lpstr>
      <vt:lpstr>'59'!chuong_phuluc_59_name</vt:lpstr>
      <vt:lpstr>'48'!Print_Titles</vt:lpstr>
      <vt:lpstr>'50'!Print_Titles</vt:lpstr>
      <vt:lpstr>'51'!Print_Titles</vt:lpstr>
      <vt:lpstr>'52'!Print_Titles</vt:lpstr>
      <vt:lpstr>'53'!Print_Titles</vt:lpstr>
      <vt:lpstr>'54'!Print_Titles</vt:lpstr>
      <vt:lpstr>'58'!Print_Titles</vt:lpstr>
      <vt:lpstr>'61'!Print_Titles</vt:lpstr>
      <vt:lpstr>'51'!tvpllink_orzgiqxtpn_27</vt:lpstr>
      <vt:lpstr>'52'!tvpllink_orzgiqxtpn_28</vt:lpstr>
      <vt:lpstr>'53'!tvpllink_orzgiqxtpn_29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2026-04-20T07:47:59Z</cp:lastPrinted>
  <dcterms:created xsi:type="dcterms:W3CDTF">2024-04-11T02:38:59Z</dcterms:created>
  <dcterms:modified xsi:type="dcterms:W3CDTF">2026-04-20T07:49:11Z</dcterms:modified>
</cp:coreProperties>
</file>