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D:\QUANG SON\HDND\NQ HĐND\"/>
    </mc:Choice>
  </mc:AlternateContent>
  <xr:revisionPtr revIDLastSave="0" documentId="8_{164C5C56-67AB-42E1-8C72-143B2D93421F}" xr6:coauthVersionLast="47" xr6:coauthVersionMax="47" xr10:uidLastSave="{00000000-0000-0000-0000-000000000000}"/>
  <bookViews>
    <workbookView xWindow="-108" yWindow="-108" windowWidth="23256" windowHeight="12456" tabRatio="780" firstSheet="1" activeTab="4" xr2:uid="{00000000-000D-0000-FFFF-FFFF00000000}"/>
  </bookViews>
  <sheets>
    <sheet name="01-Cân đôi" sheetId="15" r:id="rId1"/>
    <sheet name="02-Thu theo lĩnh vực" sheetId="16" r:id="rId2"/>
    <sheet name="03-Chi theo cơ cấu" sheetId="13" r:id="rId3"/>
    <sheet name="04-chi cac don vi" sheetId="39" r:id="rId4"/>
    <sheet name="05-CTMTQG" sheetId="42" r:id="rId5"/>
    <sheet name="06-Đầu tư tiền đất" sheetId="46" r:id="rId6"/>
    <sheet name="07-chuyen nguon" sheetId="48" r:id="rId7"/>
    <sheet name="08-kết dư" sheetId="47" r:id="rId8"/>
    <sheet name="09-VT" sheetId="50" r:id="rId9"/>
    <sheet name="P.b1" sheetId="45" r:id="rId10"/>
    <sheet name="Chi xã" sheetId="4" state="hidden" r:id="rId11"/>
    <sheet name="Sheet3" sheetId="3" state="hidden" r:id="rId12"/>
    <sheet name="Chi" sheetId="5" state="hidden" r:id="rId13"/>
    <sheet name="34. CHI NS CẤP TỈNH" sheetId="21" state="hidden" r:id="rId14"/>
    <sheet name="37.01 ĐP" sheetId="34" state="hidden" r:id="rId15"/>
    <sheet name="37.02 TW" sheetId="33" state="hidden" r:id="rId16"/>
    <sheet name="38,01 TW" sheetId="31" state="hidden" r:id="rId17"/>
    <sheet name="38.02 ĐP" sheetId="32" state="hidden" r:id="rId18"/>
  </sheets>
  <externalReferences>
    <externalReference r:id="rId19"/>
    <externalReference r:id="rId20"/>
    <externalReference r:id="rId21"/>
    <externalReference r:id="rId22"/>
  </externalReferences>
  <definedNames>
    <definedName name="_xlnm.Print_Area" localSheetId="15">'37.02 TW'!$A$7:$T$253</definedName>
    <definedName name="_xlnm.Print_Titles" localSheetId="1">'02-Thu theo lĩnh vực'!$5:$6</definedName>
    <definedName name="_xlnm.Print_Titles" localSheetId="2">'03-Chi theo cơ cấu'!$5:$5</definedName>
    <definedName name="_xlnm.Print_Titles" localSheetId="3">'04-chi cac don vi'!$7:$9</definedName>
    <definedName name="_xlnm.Print_Titles" localSheetId="6">'07-chuyen nguon'!$5:$6</definedName>
    <definedName name="_xlnm.Print_Titles" localSheetId="14">'37.01 ĐP'!$7:$8</definedName>
    <definedName name="_xlnm.Print_Titles" localSheetId="15">'37.02 TW'!$7:$9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39" l="1"/>
  <c r="A3" i="50" l="1"/>
  <c r="N104" i="39"/>
  <c r="N100" i="39"/>
  <c r="D13" i="48" l="1"/>
  <c r="D12" i="48" s="1"/>
  <c r="D30" i="48"/>
  <c r="D29" i="48" s="1"/>
  <c r="E40" i="48"/>
  <c r="D8" i="48"/>
  <c r="E8" i="48"/>
  <c r="D10" i="48"/>
  <c r="E10" i="48"/>
  <c r="C11" i="48"/>
  <c r="C10" i="48" s="1"/>
  <c r="C9" i="48"/>
  <c r="C8" i="48" s="1"/>
  <c r="C39" i="48" l="1"/>
  <c r="C41" i="48" l="1"/>
  <c r="C42" i="48"/>
  <c r="D40" i="48"/>
  <c r="D7" i="48" s="1"/>
  <c r="E30" i="48"/>
  <c r="E29" i="48" s="1"/>
  <c r="E13" i="48"/>
  <c r="E12" i="48" s="1"/>
  <c r="C14" i="48"/>
  <c r="C15" i="48"/>
  <c r="C16" i="48"/>
  <c r="C17" i="48"/>
  <c r="C18" i="48"/>
  <c r="C19" i="48"/>
  <c r="C20" i="48"/>
  <c r="C21" i="48"/>
  <c r="C22" i="48"/>
  <c r="C23" i="48"/>
  <c r="C24" i="48"/>
  <c r="C25" i="48"/>
  <c r="C27" i="48"/>
  <c r="C31" i="48"/>
  <c r="C32" i="48"/>
  <c r="C33" i="48"/>
  <c r="C34" i="48"/>
  <c r="C35" i="48"/>
  <c r="C36" i="48"/>
  <c r="C26" i="48"/>
  <c r="C37" i="48"/>
  <c r="C38" i="48"/>
  <c r="C43" i="48"/>
  <c r="E7" i="48" l="1"/>
  <c r="C7" i="48"/>
  <c r="C40" i="48"/>
  <c r="C29" i="48"/>
  <c r="C30" i="48"/>
  <c r="C28" i="48"/>
  <c r="C13" i="48"/>
  <c r="C12" i="48" l="1"/>
  <c r="A3" i="48" l="1"/>
  <c r="A3" i="47"/>
  <c r="C13" i="47"/>
  <c r="C14" i="47"/>
  <c r="C15" i="47"/>
  <c r="C12" i="47" l="1"/>
  <c r="C11" i="47"/>
  <c r="E10" i="47"/>
  <c r="D10" i="47"/>
  <c r="C9" i="47"/>
  <c r="C8" i="47" s="1"/>
  <c r="E8" i="47"/>
  <c r="D8" i="47"/>
  <c r="E7" i="47" l="1"/>
  <c r="D7" i="47"/>
  <c r="C7" i="47" s="1"/>
  <c r="C10" i="47"/>
  <c r="N58" i="39" l="1"/>
  <c r="K10" i="32"/>
  <c r="J10" i="32"/>
  <c r="E10" i="32"/>
  <c r="M10" i="32" s="1"/>
  <c r="K13" i="31"/>
  <c r="T13" i="31" s="1"/>
  <c r="J13" i="31"/>
  <c r="E13" i="31"/>
  <c r="S12" i="31"/>
  <c r="R12" i="31"/>
  <c r="Q12" i="31"/>
  <c r="P12" i="31"/>
  <c r="O12" i="31"/>
  <c r="N12" i="31"/>
  <c r="M12" i="31"/>
  <c r="L12" i="31"/>
  <c r="K12" i="31"/>
  <c r="J12" i="31"/>
  <c r="I12" i="31"/>
  <c r="H12" i="31"/>
  <c r="G12" i="31"/>
  <c r="E12" i="31"/>
  <c r="E10" i="31" s="1"/>
  <c r="D12" i="31"/>
  <c r="C12" i="31"/>
  <c r="R11" i="31"/>
  <c r="Q11" i="31"/>
  <c r="P11" i="31"/>
  <c r="O11" i="31"/>
  <c r="N11" i="31"/>
  <c r="M11" i="31"/>
  <c r="L11" i="31"/>
  <c r="K11" i="31"/>
  <c r="K10" i="31" s="1"/>
  <c r="J11" i="31"/>
  <c r="I11" i="31"/>
  <c r="H11" i="31"/>
  <c r="G11" i="31"/>
  <c r="E11" i="31"/>
  <c r="D11" i="31"/>
  <c r="C11" i="31"/>
  <c r="L10" i="31"/>
  <c r="J10" i="31"/>
  <c r="E262" i="33"/>
  <c r="E261" i="33"/>
  <c r="E260" i="33"/>
  <c r="E259" i="33"/>
  <c r="E258" i="33"/>
  <c r="T257" i="33"/>
  <c r="S257" i="33"/>
  <c r="R257" i="33"/>
  <c r="Q257" i="33"/>
  <c r="P257" i="33"/>
  <c r="O257" i="33"/>
  <c r="N257" i="33"/>
  <c r="M257" i="33"/>
  <c r="L257" i="33"/>
  <c r="K257" i="33"/>
  <c r="J257" i="33"/>
  <c r="I257" i="33"/>
  <c r="H257" i="33"/>
  <c r="G257" i="33"/>
  <c r="E257" i="33" s="1"/>
  <c r="F257" i="33"/>
  <c r="D257" i="33"/>
  <c r="C257" i="33"/>
  <c r="T256" i="33"/>
  <c r="T254" i="33" s="1"/>
  <c r="S256" i="33"/>
  <c r="R256" i="33"/>
  <c r="Q256" i="33"/>
  <c r="P256" i="33"/>
  <c r="O256" i="33"/>
  <c r="N256" i="33"/>
  <c r="M256" i="33"/>
  <c r="L256" i="33"/>
  <c r="L254" i="33" s="1"/>
  <c r="K256" i="33"/>
  <c r="J256" i="33"/>
  <c r="I256" i="33"/>
  <c r="H256" i="33"/>
  <c r="G256" i="33"/>
  <c r="E256" i="33" s="1"/>
  <c r="F256" i="33"/>
  <c r="D256" i="33"/>
  <c r="D254" i="33" s="1"/>
  <c r="C256" i="33"/>
  <c r="T255" i="33"/>
  <c r="S255" i="33"/>
  <c r="S254" i="33" s="1"/>
  <c r="R255" i="33"/>
  <c r="Q255" i="33"/>
  <c r="Q254" i="33" s="1"/>
  <c r="P255" i="33"/>
  <c r="O255" i="33"/>
  <c r="N255" i="33"/>
  <c r="N254" i="33" s="1"/>
  <c r="M255" i="33"/>
  <c r="L255" i="33"/>
  <c r="K255" i="33"/>
  <c r="J255" i="33"/>
  <c r="I255" i="33"/>
  <c r="I254" i="33" s="1"/>
  <c r="H255" i="33"/>
  <c r="G255" i="33"/>
  <c r="F255" i="33"/>
  <c r="F254" i="33" s="1"/>
  <c r="D255" i="33"/>
  <c r="C255" i="33"/>
  <c r="C254" i="33" s="1"/>
  <c r="R254" i="33"/>
  <c r="P254" i="33"/>
  <c r="O254" i="33"/>
  <c r="M254" i="33"/>
  <c r="J254" i="33"/>
  <c r="H254" i="33"/>
  <c r="G254" i="33"/>
  <c r="E253" i="33"/>
  <c r="E252" i="33"/>
  <c r="E251" i="33"/>
  <c r="E250" i="33"/>
  <c r="E249" i="33"/>
  <c r="T248" i="33"/>
  <c r="S248" i="33"/>
  <c r="R248" i="33"/>
  <c r="Q248" i="33"/>
  <c r="P248" i="33"/>
  <c r="O248" i="33"/>
  <c r="N248" i="33"/>
  <c r="M248" i="33"/>
  <c r="L248" i="33"/>
  <c r="K248" i="33"/>
  <c r="J248" i="33"/>
  <c r="I248" i="33"/>
  <c r="H248" i="33"/>
  <c r="G248" i="33"/>
  <c r="F248" i="33"/>
  <c r="E248" i="33" s="1"/>
  <c r="D248" i="33"/>
  <c r="C248" i="33"/>
  <c r="T247" i="33"/>
  <c r="S247" i="33"/>
  <c r="R247" i="33"/>
  <c r="Q247" i="33"/>
  <c r="Q245" i="33" s="1"/>
  <c r="P247" i="33"/>
  <c r="O247" i="33"/>
  <c r="N247" i="33"/>
  <c r="N245" i="33" s="1"/>
  <c r="M247" i="33"/>
  <c r="L247" i="33"/>
  <c r="K247" i="33"/>
  <c r="J247" i="33"/>
  <c r="I247" i="33"/>
  <c r="I245" i="33" s="1"/>
  <c r="H247" i="33"/>
  <c r="G247" i="33"/>
  <c r="F247" i="33"/>
  <c r="D247" i="33"/>
  <c r="C247" i="33"/>
  <c r="T246" i="33"/>
  <c r="S246" i="33"/>
  <c r="S245" i="33" s="1"/>
  <c r="R246" i="33"/>
  <c r="Q246" i="33"/>
  <c r="P246" i="33"/>
  <c r="P245" i="33" s="1"/>
  <c r="O246" i="33"/>
  <c r="N246" i="33"/>
  <c r="M246" i="33"/>
  <c r="L246" i="33"/>
  <c r="K246" i="33"/>
  <c r="K245" i="33" s="1"/>
  <c r="J246" i="33"/>
  <c r="I246" i="33"/>
  <c r="H246" i="33"/>
  <c r="H245" i="33" s="1"/>
  <c r="G246" i="33"/>
  <c r="F246" i="33"/>
  <c r="D246" i="33"/>
  <c r="C246" i="33"/>
  <c r="C245" i="33" s="1"/>
  <c r="T245" i="33"/>
  <c r="R245" i="33"/>
  <c r="O245" i="33"/>
  <c r="M245" i="33"/>
  <c r="L245" i="33"/>
  <c r="J245" i="33"/>
  <c r="G245" i="33"/>
  <c r="D245" i="33"/>
  <c r="E244" i="33"/>
  <c r="E243" i="33"/>
  <c r="E242" i="33"/>
  <c r="E241" i="33"/>
  <c r="E240" i="33"/>
  <c r="T239" i="33"/>
  <c r="S239" i="33"/>
  <c r="R239" i="33"/>
  <c r="Q239" i="33"/>
  <c r="P239" i="33"/>
  <c r="O239" i="33"/>
  <c r="N239" i="33"/>
  <c r="M239" i="33"/>
  <c r="L239" i="33"/>
  <c r="K239" i="33"/>
  <c r="J239" i="33"/>
  <c r="I239" i="33"/>
  <c r="H239" i="33"/>
  <c r="G239" i="33"/>
  <c r="E239" i="33" s="1"/>
  <c r="F239" i="33"/>
  <c r="D239" i="33"/>
  <c r="C239" i="33"/>
  <c r="T238" i="33"/>
  <c r="S238" i="33"/>
  <c r="R238" i="33"/>
  <c r="Q238" i="33"/>
  <c r="P238" i="33"/>
  <c r="O238" i="33"/>
  <c r="N238" i="33"/>
  <c r="N236" i="33" s="1"/>
  <c r="M238" i="33"/>
  <c r="L238" i="33"/>
  <c r="K238" i="33"/>
  <c r="E238" i="33" s="1"/>
  <c r="J238" i="33"/>
  <c r="I238" i="33"/>
  <c r="H238" i="33"/>
  <c r="G238" i="33"/>
  <c r="F238" i="33"/>
  <c r="F236" i="33" s="1"/>
  <c r="D238" i="33"/>
  <c r="C238" i="33"/>
  <c r="T237" i="33"/>
  <c r="S237" i="33"/>
  <c r="R237" i="33"/>
  <c r="Q237" i="33"/>
  <c r="P237" i="33"/>
  <c r="P236" i="33" s="1"/>
  <c r="O237" i="33"/>
  <c r="N237" i="33"/>
  <c r="M237" i="33"/>
  <c r="M236" i="33" s="1"/>
  <c r="L237" i="33"/>
  <c r="K237" i="33"/>
  <c r="J237" i="33"/>
  <c r="I237" i="33"/>
  <c r="H237" i="33"/>
  <c r="H236" i="33" s="1"/>
  <c r="G237" i="33"/>
  <c r="F237" i="33"/>
  <c r="E237" i="33"/>
  <c r="D237" i="33"/>
  <c r="C237" i="33"/>
  <c r="T236" i="33"/>
  <c r="R236" i="33"/>
  <c r="Q236" i="33"/>
  <c r="O236" i="33"/>
  <c r="L236" i="33"/>
  <c r="J236" i="33"/>
  <c r="I236" i="33"/>
  <c r="G236" i="33"/>
  <c r="D236" i="33"/>
  <c r="E235" i="33"/>
  <c r="E234" i="33"/>
  <c r="E233" i="33"/>
  <c r="E232" i="33"/>
  <c r="E231" i="33"/>
  <c r="T230" i="33"/>
  <c r="S230" i="33"/>
  <c r="R230" i="33"/>
  <c r="Q230" i="33"/>
  <c r="P230" i="33"/>
  <c r="O230" i="33"/>
  <c r="N230" i="33"/>
  <c r="M230" i="33"/>
  <c r="L230" i="33"/>
  <c r="K230" i="33"/>
  <c r="J230" i="33"/>
  <c r="I230" i="33"/>
  <c r="H230" i="33"/>
  <c r="G230" i="33"/>
  <c r="F230" i="33"/>
  <c r="E230" i="33" s="1"/>
  <c r="D230" i="33"/>
  <c r="C230" i="33"/>
  <c r="T229" i="33"/>
  <c r="S229" i="33"/>
  <c r="S227" i="33" s="1"/>
  <c r="R229" i="33"/>
  <c r="Q229" i="33"/>
  <c r="P229" i="33"/>
  <c r="O229" i="33"/>
  <c r="N229" i="33"/>
  <c r="M229" i="33"/>
  <c r="L229" i="33"/>
  <c r="K229" i="33"/>
  <c r="K227" i="33" s="1"/>
  <c r="J229" i="33"/>
  <c r="I229" i="33"/>
  <c r="H229" i="33"/>
  <c r="G229" i="33"/>
  <c r="F229" i="33"/>
  <c r="D229" i="33"/>
  <c r="C229" i="33"/>
  <c r="C227" i="33" s="1"/>
  <c r="T228" i="33"/>
  <c r="S228" i="33"/>
  <c r="R228" i="33"/>
  <c r="R227" i="33" s="1"/>
  <c r="Q228" i="33"/>
  <c r="Q227" i="33" s="1"/>
  <c r="P228" i="33"/>
  <c r="O228" i="33"/>
  <c r="N228" i="33"/>
  <c r="M228" i="33"/>
  <c r="M227" i="33" s="1"/>
  <c r="L228" i="33"/>
  <c r="K228" i="33"/>
  <c r="J228" i="33"/>
  <c r="J227" i="33" s="1"/>
  <c r="I228" i="33"/>
  <c r="I227" i="33" s="1"/>
  <c r="H228" i="33"/>
  <c r="G228" i="33"/>
  <c r="F228" i="33"/>
  <c r="E228" i="33" s="1"/>
  <c r="D228" i="33"/>
  <c r="C228" i="33"/>
  <c r="T227" i="33"/>
  <c r="O227" i="33"/>
  <c r="N227" i="33"/>
  <c r="L227" i="33"/>
  <c r="G227" i="33"/>
  <c r="F227" i="33"/>
  <c r="D227" i="33"/>
  <c r="E226" i="33"/>
  <c r="E225" i="33"/>
  <c r="T224" i="33"/>
  <c r="S224" i="33"/>
  <c r="R224" i="33"/>
  <c r="Q224" i="33"/>
  <c r="P224" i="33"/>
  <c r="O224" i="33"/>
  <c r="N224" i="33"/>
  <c r="M224" i="33"/>
  <c r="L224" i="33"/>
  <c r="K224" i="33"/>
  <c r="J224" i="33"/>
  <c r="I224" i="33"/>
  <c r="H224" i="33"/>
  <c r="G224" i="33"/>
  <c r="F224" i="33"/>
  <c r="E223" i="33"/>
  <c r="E222" i="33"/>
  <c r="T221" i="33"/>
  <c r="S221" i="33"/>
  <c r="R221" i="33"/>
  <c r="Q221" i="33"/>
  <c r="P221" i="33"/>
  <c r="O221" i="33"/>
  <c r="N221" i="33"/>
  <c r="M221" i="33"/>
  <c r="L221" i="33"/>
  <c r="K221" i="33"/>
  <c r="J221" i="33"/>
  <c r="I221" i="33"/>
  <c r="H221" i="33"/>
  <c r="G221" i="33"/>
  <c r="F221" i="33"/>
  <c r="D221" i="33"/>
  <c r="C221" i="33"/>
  <c r="T220" i="33"/>
  <c r="T218" i="33" s="1"/>
  <c r="S220" i="33"/>
  <c r="R220" i="33"/>
  <c r="R218" i="33" s="1"/>
  <c r="Q220" i="33"/>
  <c r="P220" i="33"/>
  <c r="N220" i="33"/>
  <c r="N218" i="33" s="1"/>
  <c r="M220" i="33"/>
  <c r="L220" i="33"/>
  <c r="K220" i="33"/>
  <c r="E220" i="33" s="1"/>
  <c r="J220" i="33"/>
  <c r="I220" i="33"/>
  <c r="H220" i="33"/>
  <c r="G220" i="33"/>
  <c r="F220" i="33"/>
  <c r="F218" i="33" s="1"/>
  <c r="D220" i="33"/>
  <c r="C220" i="33"/>
  <c r="T219" i="33"/>
  <c r="S219" i="33"/>
  <c r="S218" i="33" s="1"/>
  <c r="R219" i="33"/>
  <c r="Q219" i="33"/>
  <c r="P219" i="33"/>
  <c r="P218" i="33" s="1"/>
  <c r="O219" i="33"/>
  <c r="N219" i="33"/>
  <c r="M219" i="33"/>
  <c r="M218" i="33" s="1"/>
  <c r="M208" i="33" s="1"/>
  <c r="L219" i="33"/>
  <c r="K219" i="33"/>
  <c r="J219" i="33"/>
  <c r="I219" i="33"/>
  <c r="H219" i="33"/>
  <c r="H218" i="33" s="1"/>
  <c r="G219" i="33"/>
  <c r="F219" i="33"/>
  <c r="E219" i="33"/>
  <c r="D219" i="33"/>
  <c r="C219" i="33"/>
  <c r="Q218" i="33"/>
  <c r="O218" i="33"/>
  <c r="L218" i="33"/>
  <c r="J218" i="33"/>
  <c r="I218" i="33"/>
  <c r="G218" i="33"/>
  <c r="D218" i="33"/>
  <c r="E217" i="33"/>
  <c r="E216" i="33"/>
  <c r="T215" i="33"/>
  <c r="S215" i="33"/>
  <c r="R215" i="33"/>
  <c r="Q215" i="33"/>
  <c r="P215" i="33"/>
  <c r="O215" i="33"/>
  <c r="N215" i="33"/>
  <c r="M215" i="33"/>
  <c r="L215" i="33"/>
  <c r="K215" i="33"/>
  <c r="J215" i="33"/>
  <c r="I215" i="33"/>
  <c r="H215" i="33"/>
  <c r="G215" i="33"/>
  <c r="F215" i="33"/>
  <c r="E215" i="33"/>
  <c r="E214" i="33"/>
  <c r="E213" i="33"/>
  <c r="E210" i="33" s="1"/>
  <c r="T212" i="33"/>
  <c r="S212" i="33"/>
  <c r="R212" i="33"/>
  <c r="Q212" i="33"/>
  <c r="P212" i="33"/>
  <c r="O212" i="33"/>
  <c r="N212" i="33"/>
  <c r="M212" i="33"/>
  <c r="L212" i="33"/>
  <c r="K212" i="33"/>
  <c r="J212" i="33"/>
  <c r="I212" i="33"/>
  <c r="H212" i="33"/>
  <c r="G212" i="33"/>
  <c r="F212" i="33"/>
  <c r="E212" i="33"/>
  <c r="D212" i="33"/>
  <c r="C212" i="33"/>
  <c r="T211" i="33"/>
  <c r="S211" i="33"/>
  <c r="R211" i="33"/>
  <c r="R209" i="33" s="1"/>
  <c r="Q211" i="33"/>
  <c r="P211" i="33"/>
  <c r="O211" i="33"/>
  <c r="N211" i="33"/>
  <c r="M211" i="33"/>
  <c r="L211" i="33"/>
  <c r="K211" i="33"/>
  <c r="J211" i="33"/>
  <c r="J209" i="33" s="1"/>
  <c r="J208" i="33" s="1"/>
  <c r="I211" i="33"/>
  <c r="H211" i="33"/>
  <c r="G211" i="33"/>
  <c r="E211" i="33" s="1"/>
  <c r="F211" i="33"/>
  <c r="D211" i="33"/>
  <c r="C211" i="33"/>
  <c r="T210" i="33"/>
  <c r="T209" i="33" s="1"/>
  <c r="T208" i="33" s="1"/>
  <c r="S210" i="33"/>
  <c r="R210" i="33"/>
  <c r="Q210" i="33"/>
  <c r="Q209" i="33" s="1"/>
  <c r="P210" i="33"/>
  <c r="O210" i="33"/>
  <c r="N210" i="33"/>
  <c r="M210" i="33"/>
  <c r="L210" i="33"/>
  <c r="L209" i="33" s="1"/>
  <c r="L208" i="33" s="1"/>
  <c r="K210" i="33"/>
  <c r="J210" i="33"/>
  <c r="I210" i="33"/>
  <c r="I209" i="33" s="1"/>
  <c r="H210" i="33"/>
  <c r="G210" i="33"/>
  <c r="F210" i="33"/>
  <c r="D210" i="33"/>
  <c r="D209" i="33" s="1"/>
  <c r="D208" i="33" s="1"/>
  <c r="C210" i="33"/>
  <c r="S209" i="33"/>
  <c r="P209" i="33"/>
  <c r="N209" i="33"/>
  <c r="M209" i="33"/>
  <c r="K209" i="33"/>
  <c r="H209" i="33"/>
  <c r="F209" i="33"/>
  <c r="C209" i="33"/>
  <c r="E207" i="33"/>
  <c r="E206" i="33"/>
  <c r="E205" i="33"/>
  <c r="E204" i="33"/>
  <c r="E203" i="33"/>
  <c r="T202" i="33"/>
  <c r="S202" i="33"/>
  <c r="R202" i="33"/>
  <c r="Q202" i="33"/>
  <c r="P202" i="33"/>
  <c r="O202" i="33"/>
  <c r="N202" i="33"/>
  <c r="M202" i="33"/>
  <c r="L202" i="33"/>
  <c r="K202" i="33"/>
  <c r="J202" i="33"/>
  <c r="I202" i="33"/>
  <c r="H202" i="33"/>
  <c r="G202" i="33"/>
  <c r="F202" i="33"/>
  <c r="D202" i="33"/>
  <c r="C202" i="33"/>
  <c r="T201" i="33"/>
  <c r="S201" i="33"/>
  <c r="R201" i="33"/>
  <c r="Q201" i="33"/>
  <c r="Q199" i="33" s="1"/>
  <c r="P201" i="33"/>
  <c r="O201" i="33"/>
  <c r="N201" i="33"/>
  <c r="M201" i="33"/>
  <c r="L201" i="33"/>
  <c r="K201" i="33"/>
  <c r="J201" i="33"/>
  <c r="I201" i="33"/>
  <c r="I199" i="33" s="1"/>
  <c r="H201" i="33"/>
  <c r="G201" i="33"/>
  <c r="F201" i="33"/>
  <c r="E201" i="33" s="1"/>
  <c r="D201" i="33"/>
  <c r="C201" i="33"/>
  <c r="T200" i="33"/>
  <c r="S200" i="33"/>
  <c r="S199" i="33" s="1"/>
  <c r="R200" i="33"/>
  <c r="Q200" i="33"/>
  <c r="P200" i="33"/>
  <c r="P199" i="33" s="1"/>
  <c r="O200" i="33"/>
  <c r="N200" i="33"/>
  <c r="N199" i="33" s="1"/>
  <c r="M200" i="33"/>
  <c r="L200" i="33"/>
  <c r="K200" i="33"/>
  <c r="K199" i="33" s="1"/>
  <c r="J200" i="33"/>
  <c r="I200" i="33"/>
  <c r="H200" i="33"/>
  <c r="H199" i="33" s="1"/>
  <c r="G200" i="33"/>
  <c r="F200" i="33"/>
  <c r="E200" i="33" s="1"/>
  <c r="D200" i="33"/>
  <c r="C200" i="33"/>
  <c r="C199" i="33" s="1"/>
  <c r="T199" i="33"/>
  <c r="R199" i="33"/>
  <c r="O199" i="33"/>
  <c r="M199" i="33"/>
  <c r="L199" i="33"/>
  <c r="J199" i="33"/>
  <c r="G199" i="33"/>
  <c r="D199" i="33"/>
  <c r="E198" i="33"/>
  <c r="E196" i="33" s="1"/>
  <c r="E197" i="33"/>
  <c r="T196" i="33"/>
  <c r="S196" i="33"/>
  <c r="R196" i="33"/>
  <c r="Q196" i="33"/>
  <c r="P196" i="33"/>
  <c r="O196" i="33"/>
  <c r="N196" i="33"/>
  <c r="M196" i="33"/>
  <c r="L196" i="33"/>
  <c r="K196" i="33"/>
  <c r="J196" i="33"/>
  <c r="I196" i="33"/>
  <c r="H196" i="33"/>
  <c r="G196" i="33"/>
  <c r="F196" i="33"/>
  <c r="D196" i="33"/>
  <c r="C196" i="33"/>
  <c r="E195" i="33"/>
  <c r="E194" i="33"/>
  <c r="T193" i="33"/>
  <c r="S193" i="33"/>
  <c r="R193" i="33"/>
  <c r="Q193" i="33"/>
  <c r="P193" i="33"/>
  <c r="O193" i="33"/>
  <c r="N193" i="33"/>
  <c r="M193" i="33"/>
  <c r="L193" i="33"/>
  <c r="K193" i="33"/>
  <c r="J193" i="33"/>
  <c r="I193" i="33"/>
  <c r="H193" i="33"/>
  <c r="G193" i="33"/>
  <c r="F193" i="33"/>
  <c r="D193" i="33"/>
  <c r="C193" i="33"/>
  <c r="T192" i="33"/>
  <c r="S192" i="33"/>
  <c r="R192" i="33"/>
  <c r="Q192" i="33"/>
  <c r="P192" i="33"/>
  <c r="O192" i="33"/>
  <c r="N192" i="33"/>
  <c r="M192" i="33"/>
  <c r="L192" i="33"/>
  <c r="K192" i="33"/>
  <c r="J192" i="33"/>
  <c r="I192" i="33"/>
  <c r="H192" i="33"/>
  <c r="G192" i="33"/>
  <c r="F192" i="33"/>
  <c r="E192" i="33" s="1"/>
  <c r="D192" i="33"/>
  <c r="C192" i="33"/>
  <c r="T191" i="33"/>
  <c r="T190" i="33" s="1"/>
  <c r="S191" i="33"/>
  <c r="R191" i="33"/>
  <c r="Q191" i="33"/>
  <c r="Q190" i="33" s="1"/>
  <c r="P191" i="33"/>
  <c r="O191" i="33"/>
  <c r="N191" i="33"/>
  <c r="N190" i="33" s="1"/>
  <c r="M191" i="33"/>
  <c r="M190" i="33" s="1"/>
  <c r="L191" i="33"/>
  <c r="L190" i="33" s="1"/>
  <c r="L121" i="33" s="1"/>
  <c r="K191" i="33"/>
  <c r="J191" i="33"/>
  <c r="I191" i="33"/>
  <c r="I190" i="33" s="1"/>
  <c r="H191" i="33"/>
  <c r="G191" i="33"/>
  <c r="F191" i="33"/>
  <c r="D191" i="33"/>
  <c r="C191" i="33"/>
  <c r="S190" i="33"/>
  <c r="R190" i="33"/>
  <c r="P190" i="33"/>
  <c r="O190" i="33"/>
  <c r="K190" i="33"/>
  <c r="J190" i="33"/>
  <c r="H190" i="33"/>
  <c r="G190" i="33"/>
  <c r="C190" i="33"/>
  <c r="E189" i="33"/>
  <c r="E187" i="33" s="1"/>
  <c r="E188" i="33"/>
  <c r="T187" i="33"/>
  <c r="S187" i="33"/>
  <c r="R187" i="33"/>
  <c r="Q187" i="33"/>
  <c r="P187" i="33"/>
  <c r="O187" i="33"/>
  <c r="N187" i="33"/>
  <c r="M187" i="33"/>
  <c r="L187" i="33"/>
  <c r="K187" i="33"/>
  <c r="J187" i="33"/>
  <c r="I187" i="33"/>
  <c r="H187" i="33"/>
  <c r="G187" i="33"/>
  <c r="F187" i="33"/>
  <c r="D187" i="33"/>
  <c r="E186" i="33"/>
  <c r="E185" i="33"/>
  <c r="T184" i="33"/>
  <c r="S184" i="33"/>
  <c r="R184" i="33"/>
  <c r="Q184" i="33"/>
  <c r="P184" i="33"/>
  <c r="O184" i="33"/>
  <c r="N184" i="33"/>
  <c r="M184" i="33"/>
  <c r="L184" i="33"/>
  <c r="K184" i="33"/>
  <c r="J184" i="33"/>
  <c r="I184" i="33"/>
  <c r="H184" i="33"/>
  <c r="G184" i="33"/>
  <c r="E184" i="33" s="1"/>
  <c r="F184" i="33"/>
  <c r="D184" i="33"/>
  <c r="C184" i="33"/>
  <c r="T183" i="33"/>
  <c r="S183" i="33"/>
  <c r="R183" i="33"/>
  <c r="Q183" i="33"/>
  <c r="P183" i="33"/>
  <c r="O183" i="33"/>
  <c r="N183" i="33"/>
  <c r="M183" i="33"/>
  <c r="L183" i="33"/>
  <c r="K183" i="33"/>
  <c r="J183" i="33"/>
  <c r="I183" i="33"/>
  <c r="H183" i="33"/>
  <c r="G183" i="33"/>
  <c r="F183" i="33"/>
  <c r="D183" i="33"/>
  <c r="C183" i="33"/>
  <c r="T182" i="33"/>
  <c r="S182" i="33"/>
  <c r="S181" i="33" s="1"/>
  <c r="R182" i="33"/>
  <c r="R181" i="33" s="1"/>
  <c r="Q182" i="33"/>
  <c r="P182" i="33"/>
  <c r="O182" i="33"/>
  <c r="N182" i="33"/>
  <c r="N181" i="33" s="1"/>
  <c r="M182" i="33"/>
  <c r="L182" i="33"/>
  <c r="K182" i="33"/>
  <c r="J182" i="33"/>
  <c r="J181" i="33" s="1"/>
  <c r="I182" i="33"/>
  <c r="H182" i="33"/>
  <c r="G182" i="33"/>
  <c r="F182" i="33"/>
  <c r="F181" i="33" s="1"/>
  <c r="D182" i="33"/>
  <c r="C182" i="33"/>
  <c r="C181" i="33" s="1"/>
  <c r="T181" i="33"/>
  <c r="P181" i="33"/>
  <c r="O181" i="33"/>
  <c r="M181" i="33"/>
  <c r="L181" i="33"/>
  <c r="H181" i="33"/>
  <c r="G181" i="33"/>
  <c r="D181" i="33"/>
  <c r="E180" i="33"/>
  <c r="E179" i="33"/>
  <c r="E178" i="33"/>
  <c r="E177" i="33"/>
  <c r="T176" i="33"/>
  <c r="S176" i="33"/>
  <c r="R176" i="33"/>
  <c r="Q176" i="33"/>
  <c r="P176" i="33"/>
  <c r="O176" i="33"/>
  <c r="N176" i="33"/>
  <c r="M176" i="33"/>
  <c r="L176" i="33"/>
  <c r="K176" i="33"/>
  <c r="J176" i="33"/>
  <c r="I176" i="33"/>
  <c r="H176" i="33"/>
  <c r="G176" i="33"/>
  <c r="F176" i="33"/>
  <c r="E176" i="33"/>
  <c r="D176" i="33"/>
  <c r="C176" i="33"/>
  <c r="E175" i="33"/>
  <c r="O174" i="33"/>
  <c r="O173" i="33" s="1"/>
  <c r="T173" i="33"/>
  <c r="S173" i="33"/>
  <c r="R173" i="33"/>
  <c r="Q173" i="33"/>
  <c r="P173" i="33"/>
  <c r="N173" i="33"/>
  <c r="M173" i="33"/>
  <c r="L173" i="33"/>
  <c r="K173" i="33"/>
  <c r="J173" i="33"/>
  <c r="I173" i="33"/>
  <c r="H173" i="33"/>
  <c r="G173" i="33"/>
  <c r="F173" i="33"/>
  <c r="D173" i="33"/>
  <c r="C173" i="33"/>
  <c r="T172" i="33"/>
  <c r="S172" i="33"/>
  <c r="R172" i="33"/>
  <c r="Q172" i="33"/>
  <c r="P172" i="33"/>
  <c r="O172" i="33"/>
  <c r="N172" i="33"/>
  <c r="N170" i="33" s="1"/>
  <c r="M172" i="33"/>
  <c r="M170" i="33" s="1"/>
  <c r="L172" i="33"/>
  <c r="K172" i="33"/>
  <c r="J172" i="33"/>
  <c r="J170" i="33" s="1"/>
  <c r="I172" i="33"/>
  <c r="H172" i="33"/>
  <c r="G172" i="33"/>
  <c r="F172" i="33"/>
  <c r="F170" i="33" s="1"/>
  <c r="D172" i="33"/>
  <c r="C172" i="33"/>
  <c r="T171" i="33"/>
  <c r="S171" i="33"/>
  <c r="S170" i="33" s="1"/>
  <c r="R171" i="33"/>
  <c r="Q171" i="33"/>
  <c r="Q170" i="33" s="1"/>
  <c r="P171" i="33"/>
  <c r="O171" i="33"/>
  <c r="N171" i="33"/>
  <c r="M171" i="33"/>
  <c r="L171" i="33"/>
  <c r="K171" i="33"/>
  <c r="J171" i="33"/>
  <c r="I171" i="33"/>
  <c r="I170" i="33" s="1"/>
  <c r="H171" i="33"/>
  <c r="G171" i="33"/>
  <c r="F171" i="33"/>
  <c r="D171" i="33"/>
  <c r="C171" i="33"/>
  <c r="T170" i="33"/>
  <c r="R170" i="33"/>
  <c r="P170" i="33"/>
  <c r="L170" i="33"/>
  <c r="K170" i="33"/>
  <c r="H170" i="33"/>
  <c r="D170" i="33"/>
  <c r="C170" i="33"/>
  <c r="E169" i="33"/>
  <c r="E168" i="33"/>
  <c r="E167" i="33"/>
  <c r="E166" i="33"/>
  <c r="E165" i="33"/>
  <c r="T164" i="33"/>
  <c r="S164" i="33"/>
  <c r="R164" i="33"/>
  <c r="Q164" i="33"/>
  <c r="P164" i="33"/>
  <c r="O164" i="33"/>
  <c r="N164" i="33"/>
  <c r="M164" i="33"/>
  <c r="L164" i="33"/>
  <c r="K164" i="33"/>
  <c r="J164" i="33"/>
  <c r="I164" i="33"/>
  <c r="H164" i="33"/>
  <c r="G164" i="33"/>
  <c r="E164" i="33" s="1"/>
  <c r="F164" i="33"/>
  <c r="D164" i="33"/>
  <c r="C164" i="33"/>
  <c r="T163" i="33"/>
  <c r="S163" i="33"/>
  <c r="R163" i="33"/>
  <c r="Q163" i="33"/>
  <c r="Q124" i="33" s="1"/>
  <c r="Q122" i="33" s="1"/>
  <c r="P163" i="33"/>
  <c r="O163" i="33"/>
  <c r="N163" i="33"/>
  <c r="M163" i="33"/>
  <c r="L163" i="33"/>
  <c r="K163" i="33"/>
  <c r="J163" i="33"/>
  <c r="I163" i="33"/>
  <c r="I124" i="33" s="1"/>
  <c r="H163" i="33"/>
  <c r="G163" i="33"/>
  <c r="E163" i="33" s="1"/>
  <c r="F163" i="33"/>
  <c r="D163" i="33"/>
  <c r="C163" i="33"/>
  <c r="T162" i="33"/>
  <c r="S162" i="33"/>
  <c r="R162" i="33"/>
  <c r="R161" i="33" s="1"/>
  <c r="Q162" i="33"/>
  <c r="P162" i="33"/>
  <c r="O162" i="33"/>
  <c r="N162" i="33"/>
  <c r="N161" i="33" s="1"/>
  <c r="M162" i="33"/>
  <c r="L162" i="33"/>
  <c r="K162" i="33"/>
  <c r="J162" i="33"/>
  <c r="J161" i="33" s="1"/>
  <c r="I162" i="33"/>
  <c r="H162" i="33"/>
  <c r="G162" i="33"/>
  <c r="F162" i="33"/>
  <c r="F161" i="33" s="1"/>
  <c r="D162" i="33"/>
  <c r="C162" i="33"/>
  <c r="C161" i="33" s="1"/>
  <c r="T161" i="33"/>
  <c r="P161" i="33"/>
  <c r="O161" i="33"/>
  <c r="M161" i="33"/>
  <c r="L161" i="33"/>
  <c r="H161" i="33"/>
  <c r="G161" i="33"/>
  <c r="D161" i="33"/>
  <c r="E160" i="33"/>
  <c r="E159" i="33"/>
  <c r="T158" i="33"/>
  <c r="S158" i="33"/>
  <c r="R158" i="33"/>
  <c r="Q158" i="33"/>
  <c r="P158" i="33"/>
  <c r="O158" i="33"/>
  <c r="N158" i="33"/>
  <c r="M158" i="33"/>
  <c r="L158" i="33"/>
  <c r="K158" i="33"/>
  <c r="J158" i="33"/>
  <c r="I158" i="33"/>
  <c r="E158" i="33" s="1"/>
  <c r="E157" i="33"/>
  <c r="O156" i="33"/>
  <c r="E156" i="33" s="1"/>
  <c r="T155" i="33"/>
  <c r="S155" i="33"/>
  <c r="R155" i="33"/>
  <c r="Q155" i="33"/>
  <c r="P155" i="33"/>
  <c r="N155" i="33"/>
  <c r="M155" i="33"/>
  <c r="L155" i="33"/>
  <c r="K155" i="33"/>
  <c r="J155" i="33"/>
  <c r="I155" i="33"/>
  <c r="H155" i="33"/>
  <c r="G155" i="33"/>
  <c r="F155" i="33"/>
  <c r="D155" i="33"/>
  <c r="C155" i="33"/>
  <c r="T154" i="33"/>
  <c r="S154" i="33"/>
  <c r="S152" i="33" s="1"/>
  <c r="R154" i="33"/>
  <c r="Q154" i="33"/>
  <c r="P154" i="33"/>
  <c r="P152" i="33" s="1"/>
  <c r="O154" i="33"/>
  <c r="N154" i="33"/>
  <c r="N152" i="33" s="1"/>
  <c r="M154" i="33"/>
  <c r="L154" i="33"/>
  <c r="L152" i="33" s="1"/>
  <c r="K154" i="33"/>
  <c r="J154" i="33"/>
  <c r="J152" i="33" s="1"/>
  <c r="I154" i="33"/>
  <c r="H154" i="33"/>
  <c r="H152" i="33" s="1"/>
  <c r="G154" i="33"/>
  <c r="F154" i="33"/>
  <c r="D154" i="33"/>
  <c r="C154" i="33"/>
  <c r="T153" i="33"/>
  <c r="S153" i="33"/>
  <c r="R153" i="33"/>
  <c r="Q153" i="33"/>
  <c r="P153" i="33"/>
  <c r="N153" i="33"/>
  <c r="M153" i="33"/>
  <c r="L153" i="33"/>
  <c r="K153" i="33"/>
  <c r="J153" i="33"/>
  <c r="I153" i="33"/>
  <c r="H153" i="33"/>
  <c r="G153" i="33"/>
  <c r="F153" i="33"/>
  <c r="D153" i="33"/>
  <c r="C153" i="33"/>
  <c r="T152" i="33"/>
  <c r="R152" i="33"/>
  <c r="Q152" i="33"/>
  <c r="M152" i="33"/>
  <c r="K152" i="33"/>
  <c r="I152" i="33"/>
  <c r="G152" i="33"/>
  <c r="D152" i="33"/>
  <c r="C152" i="33"/>
  <c r="E151" i="33"/>
  <c r="E149" i="33" s="1"/>
  <c r="E150" i="33"/>
  <c r="T149" i="33"/>
  <c r="S149" i="33"/>
  <c r="R149" i="33"/>
  <c r="Q149" i="33"/>
  <c r="P149" i="33"/>
  <c r="O149" i="33"/>
  <c r="N149" i="33"/>
  <c r="M149" i="33"/>
  <c r="L149" i="33"/>
  <c r="K149" i="33"/>
  <c r="J149" i="33"/>
  <c r="I149" i="33"/>
  <c r="H149" i="33"/>
  <c r="G149" i="33"/>
  <c r="F149" i="33"/>
  <c r="D149" i="33"/>
  <c r="C149" i="33"/>
  <c r="E148" i="33"/>
  <c r="O147" i="33"/>
  <c r="E147" i="33"/>
  <c r="T146" i="33"/>
  <c r="S146" i="33"/>
  <c r="R146" i="33"/>
  <c r="Q146" i="33"/>
  <c r="P146" i="33"/>
  <c r="O146" i="33"/>
  <c r="N146" i="33"/>
  <c r="M146" i="33"/>
  <c r="L146" i="33"/>
  <c r="K146" i="33"/>
  <c r="J146" i="33"/>
  <c r="I146" i="33"/>
  <c r="H146" i="33"/>
  <c r="G146" i="33"/>
  <c r="F146" i="33"/>
  <c r="D146" i="33"/>
  <c r="C146" i="33"/>
  <c r="T145" i="33"/>
  <c r="S145" i="33"/>
  <c r="S124" i="33" s="1"/>
  <c r="R145" i="33"/>
  <c r="Q145" i="33"/>
  <c r="P145" i="33"/>
  <c r="O145" i="33"/>
  <c r="N145" i="33"/>
  <c r="M145" i="33"/>
  <c r="L145" i="33"/>
  <c r="K145" i="33"/>
  <c r="J145" i="33"/>
  <c r="I145" i="33"/>
  <c r="H145" i="33"/>
  <c r="G145" i="33"/>
  <c r="F145" i="33"/>
  <c r="D145" i="33"/>
  <c r="C145" i="33"/>
  <c r="T144" i="33"/>
  <c r="T143" i="33" s="1"/>
  <c r="S144" i="33"/>
  <c r="R144" i="33"/>
  <c r="Q144" i="33"/>
  <c r="P144" i="33"/>
  <c r="P143" i="33" s="1"/>
  <c r="O144" i="33"/>
  <c r="N144" i="33"/>
  <c r="M144" i="33"/>
  <c r="M143" i="33" s="1"/>
  <c r="L144" i="33"/>
  <c r="L143" i="33" s="1"/>
  <c r="K144" i="33"/>
  <c r="J144" i="33"/>
  <c r="I144" i="33"/>
  <c r="H144" i="33"/>
  <c r="H143" i="33" s="1"/>
  <c r="G144" i="33"/>
  <c r="F144" i="33"/>
  <c r="E144" i="33"/>
  <c r="D144" i="33"/>
  <c r="C144" i="33"/>
  <c r="R143" i="33"/>
  <c r="Q143" i="33"/>
  <c r="O143" i="33"/>
  <c r="N143" i="33"/>
  <c r="J143" i="33"/>
  <c r="I143" i="33"/>
  <c r="G143" i="33"/>
  <c r="F143" i="33"/>
  <c r="D143" i="33"/>
  <c r="E142" i="33"/>
  <c r="E140" i="33" s="1"/>
  <c r="E141" i="33"/>
  <c r="T140" i="33"/>
  <c r="S140" i="33"/>
  <c r="R140" i="33"/>
  <c r="Q140" i="33"/>
  <c r="P140" i="33"/>
  <c r="O140" i="33"/>
  <c r="N140" i="33"/>
  <c r="M140" i="33"/>
  <c r="L140" i="33"/>
  <c r="K140" i="33"/>
  <c r="J140" i="33"/>
  <c r="I140" i="33"/>
  <c r="H140" i="33"/>
  <c r="G140" i="33"/>
  <c r="F140" i="33"/>
  <c r="D140" i="33"/>
  <c r="C140" i="33"/>
  <c r="E139" i="33"/>
  <c r="O138" i="33"/>
  <c r="O137" i="33" s="1"/>
  <c r="T137" i="33"/>
  <c r="S137" i="33"/>
  <c r="R137" i="33"/>
  <c r="Q137" i="33"/>
  <c r="P137" i="33"/>
  <c r="N137" i="33"/>
  <c r="M137" i="33"/>
  <c r="L137" i="33"/>
  <c r="K137" i="33"/>
  <c r="J137" i="33"/>
  <c r="I137" i="33"/>
  <c r="H137" i="33"/>
  <c r="G137" i="33"/>
  <c r="F137" i="33"/>
  <c r="D137" i="33"/>
  <c r="C137" i="33"/>
  <c r="T136" i="33"/>
  <c r="T134" i="33" s="1"/>
  <c r="S136" i="33"/>
  <c r="R136" i="33"/>
  <c r="Q136" i="33"/>
  <c r="Q134" i="33" s="1"/>
  <c r="P136" i="33"/>
  <c r="O136" i="33"/>
  <c r="N136" i="33"/>
  <c r="N134" i="33" s="1"/>
  <c r="M136" i="33"/>
  <c r="L136" i="33"/>
  <c r="L134" i="33" s="1"/>
  <c r="K136" i="33"/>
  <c r="J136" i="33"/>
  <c r="I136" i="33"/>
  <c r="H136" i="33"/>
  <c r="H134" i="33" s="1"/>
  <c r="G136" i="33"/>
  <c r="F136" i="33"/>
  <c r="D136" i="33"/>
  <c r="C136" i="33"/>
  <c r="T135" i="33"/>
  <c r="S135" i="33"/>
  <c r="R135" i="33"/>
  <c r="Q135" i="33"/>
  <c r="P135" i="33"/>
  <c r="P134" i="33" s="1"/>
  <c r="N135" i="33"/>
  <c r="M135" i="33"/>
  <c r="L135" i="33"/>
  <c r="K135" i="33"/>
  <c r="J135" i="33"/>
  <c r="I135" i="33"/>
  <c r="H135" i="33"/>
  <c r="G135" i="33"/>
  <c r="G123" i="33" s="1"/>
  <c r="G122" i="33" s="1"/>
  <c r="F135" i="33"/>
  <c r="D135" i="33"/>
  <c r="C135" i="33"/>
  <c r="S134" i="33"/>
  <c r="R134" i="33"/>
  <c r="M134" i="33"/>
  <c r="K134" i="33"/>
  <c r="J134" i="33"/>
  <c r="I134" i="33"/>
  <c r="G134" i="33"/>
  <c r="D134" i="33"/>
  <c r="C134" i="33"/>
  <c r="E133" i="33"/>
  <c r="E131" i="33" s="1"/>
  <c r="E132" i="33"/>
  <c r="T131" i="33"/>
  <c r="S131" i="33"/>
  <c r="R131" i="33"/>
  <c r="Q131" i="33"/>
  <c r="P131" i="33"/>
  <c r="O131" i="33"/>
  <c r="N131" i="33"/>
  <c r="M131" i="33"/>
  <c r="L131" i="33"/>
  <c r="K131" i="33"/>
  <c r="J131" i="33"/>
  <c r="I131" i="33"/>
  <c r="H131" i="33"/>
  <c r="G131" i="33"/>
  <c r="F131" i="33"/>
  <c r="D131" i="33"/>
  <c r="C131" i="33"/>
  <c r="E130" i="33"/>
  <c r="O129" i="33"/>
  <c r="O126" i="33" s="1"/>
  <c r="E129" i="33"/>
  <c r="T128" i="33"/>
  <c r="S128" i="33"/>
  <c r="R128" i="33"/>
  <c r="Q128" i="33"/>
  <c r="P128" i="33"/>
  <c r="O128" i="33"/>
  <c r="N128" i="33"/>
  <c r="M128" i="33"/>
  <c r="L128" i="33"/>
  <c r="K128" i="33"/>
  <c r="J128" i="33"/>
  <c r="I128" i="33"/>
  <c r="H128" i="33"/>
  <c r="G128" i="33"/>
  <c r="F128" i="33"/>
  <c r="D128" i="33"/>
  <c r="C128" i="33"/>
  <c r="T127" i="33"/>
  <c r="T124" i="33" s="1"/>
  <c r="S127" i="33"/>
  <c r="R127" i="33"/>
  <c r="R124" i="33" s="1"/>
  <c r="Q127" i="33"/>
  <c r="P127" i="33"/>
  <c r="P124" i="33" s="1"/>
  <c r="O127" i="33"/>
  <c r="N127" i="33"/>
  <c r="N125" i="33" s="1"/>
  <c r="M127" i="33"/>
  <c r="L127" i="33"/>
  <c r="L124" i="33" s="1"/>
  <c r="K127" i="33"/>
  <c r="K125" i="33" s="1"/>
  <c r="J127" i="33"/>
  <c r="J124" i="33" s="1"/>
  <c r="I127" i="33"/>
  <c r="H127" i="33"/>
  <c r="G127" i="33"/>
  <c r="G125" i="33" s="1"/>
  <c r="F127" i="33"/>
  <c r="E127" i="33" s="1"/>
  <c r="D127" i="33"/>
  <c r="D124" i="33" s="1"/>
  <c r="C127" i="33"/>
  <c r="T126" i="33"/>
  <c r="T123" i="33" s="1"/>
  <c r="S126" i="33"/>
  <c r="R126" i="33"/>
  <c r="Q126" i="33"/>
  <c r="P126" i="33"/>
  <c r="N126" i="33"/>
  <c r="M126" i="33"/>
  <c r="L126" i="33"/>
  <c r="K126" i="33"/>
  <c r="J126" i="33"/>
  <c r="J123" i="33" s="1"/>
  <c r="J122" i="33" s="1"/>
  <c r="I126" i="33"/>
  <c r="I123" i="33" s="1"/>
  <c r="H126" i="33"/>
  <c r="H123" i="33" s="1"/>
  <c r="G126" i="33"/>
  <c r="F126" i="33"/>
  <c r="D126" i="33"/>
  <c r="D123" i="33" s="1"/>
  <c r="D122" i="33" s="1"/>
  <c r="C126" i="33"/>
  <c r="S125" i="33"/>
  <c r="Q125" i="33"/>
  <c r="M125" i="33"/>
  <c r="L125" i="33"/>
  <c r="J125" i="33"/>
  <c r="I125" i="33"/>
  <c r="D125" i="33"/>
  <c r="C125" i="33"/>
  <c r="O124" i="33"/>
  <c r="M124" i="33"/>
  <c r="G124" i="33"/>
  <c r="C124" i="33"/>
  <c r="Q123" i="33"/>
  <c r="N123" i="33"/>
  <c r="L123" i="33"/>
  <c r="F123" i="33"/>
  <c r="C123" i="33"/>
  <c r="C122" i="33" s="1"/>
  <c r="L122" i="33"/>
  <c r="E120" i="33"/>
  <c r="E119" i="33"/>
  <c r="T118" i="33"/>
  <c r="S118" i="33"/>
  <c r="R118" i="33"/>
  <c r="Q118" i="33"/>
  <c r="P118" i="33"/>
  <c r="O118" i="33"/>
  <c r="N118" i="33"/>
  <c r="M118" i="33"/>
  <c r="L118" i="33"/>
  <c r="K118" i="33"/>
  <c r="J118" i="33"/>
  <c r="I118" i="33"/>
  <c r="H118" i="33"/>
  <c r="G118" i="33"/>
  <c r="F118" i="33"/>
  <c r="E118" i="33"/>
  <c r="D118" i="33"/>
  <c r="C118" i="33"/>
  <c r="E117" i="33"/>
  <c r="E116" i="33"/>
  <c r="T115" i="33"/>
  <c r="S115" i="33"/>
  <c r="R115" i="33"/>
  <c r="Q115" i="33"/>
  <c r="P115" i="33"/>
  <c r="O115" i="33"/>
  <c r="N115" i="33"/>
  <c r="M115" i="33"/>
  <c r="L115" i="33"/>
  <c r="K115" i="33"/>
  <c r="J115" i="33"/>
  <c r="I115" i="33"/>
  <c r="H115" i="33"/>
  <c r="G115" i="33"/>
  <c r="F115" i="33"/>
  <c r="D115" i="33"/>
  <c r="C115" i="33"/>
  <c r="T114" i="33"/>
  <c r="S114" i="33"/>
  <c r="R114" i="33"/>
  <c r="Q114" i="33"/>
  <c r="P114" i="33"/>
  <c r="O114" i="33"/>
  <c r="N114" i="33"/>
  <c r="N112" i="33" s="1"/>
  <c r="M114" i="33"/>
  <c r="L114" i="33"/>
  <c r="K114" i="33"/>
  <c r="E114" i="33" s="1"/>
  <c r="J114" i="33"/>
  <c r="I114" i="33"/>
  <c r="H114" i="33"/>
  <c r="G114" i="33"/>
  <c r="F114" i="33"/>
  <c r="F112" i="33" s="1"/>
  <c r="D114" i="33"/>
  <c r="C114" i="33"/>
  <c r="T113" i="33"/>
  <c r="T112" i="33" s="1"/>
  <c r="S113" i="33"/>
  <c r="S112" i="33" s="1"/>
  <c r="R113" i="33"/>
  <c r="Q113" i="33"/>
  <c r="P113" i="33"/>
  <c r="P112" i="33" s="1"/>
  <c r="O113" i="33"/>
  <c r="N113" i="33"/>
  <c r="M113" i="33"/>
  <c r="M112" i="33" s="1"/>
  <c r="L113" i="33"/>
  <c r="L112" i="33" s="1"/>
  <c r="K113" i="33"/>
  <c r="K112" i="33" s="1"/>
  <c r="J113" i="33"/>
  <c r="I113" i="33"/>
  <c r="H113" i="33"/>
  <c r="H112" i="33" s="1"/>
  <c r="G113" i="33"/>
  <c r="F113" i="33"/>
  <c r="E113" i="33"/>
  <c r="D113" i="33"/>
  <c r="D112" i="33" s="1"/>
  <c r="C113" i="33"/>
  <c r="R112" i="33"/>
  <c r="Q112" i="33"/>
  <c r="O112" i="33"/>
  <c r="J112" i="33"/>
  <c r="I112" i="33"/>
  <c r="G112" i="33"/>
  <c r="E111" i="33"/>
  <c r="E110" i="33"/>
  <c r="E109" i="33"/>
  <c r="E108" i="33"/>
  <c r="T107" i="33"/>
  <c r="S107" i="33"/>
  <c r="R107" i="33"/>
  <c r="Q107" i="33"/>
  <c r="P107" i="33"/>
  <c r="O107" i="33"/>
  <c r="N107" i="33"/>
  <c r="M107" i="33"/>
  <c r="L107" i="33"/>
  <c r="K107" i="33"/>
  <c r="J107" i="33"/>
  <c r="I107" i="33"/>
  <c r="H107" i="33"/>
  <c r="G107" i="33"/>
  <c r="F107" i="33"/>
  <c r="E107" i="33"/>
  <c r="D107" i="33"/>
  <c r="C107" i="33"/>
  <c r="E106" i="33"/>
  <c r="O105" i="33"/>
  <c r="O104" i="33" s="1"/>
  <c r="T104" i="33"/>
  <c r="S104" i="33"/>
  <c r="R104" i="33"/>
  <c r="Q104" i="33"/>
  <c r="P104" i="33"/>
  <c r="N104" i="33"/>
  <c r="M104" i="33"/>
  <c r="L104" i="33"/>
  <c r="K104" i="33"/>
  <c r="J104" i="33"/>
  <c r="I104" i="33"/>
  <c r="H104" i="33"/>
  <c r="G104" i="33"/>
  <c r="F104" i="33"/>
  <c r="D104" i="33"/>
  <c r="C104" i="33"/>
  <c r="T103" i="33"/>
  <c r="T101" i="33" s="1"/>
  <c r="S103" i="33"/>
  <c r="R103" i="33"/>
  <c r="Q103" i="33"/>
  <c r="Q101" i="33" s="1"/>
  <c r="P103" i="33"/>
  <c r="O103" i="33"/>
  <c r="N103" i="33"/>
  <c r="M103" i="33"/>
  <c r="M101" i="33" s="1"/>
  <c r="L103" i="33"/>
  <c r="K103" i="33"/>
  <c r="K101" i="33" s="1"/>
  <c r="J103" i="33"/>
  <c r="I103" i="33"/>
  <c r="I101" i="33" s="1"/>
  <c r="H103" i="33"/>
  <c r="G103" i="33"/>
  <c r="G101" i="33" s="1"/>
  <c r="F103" i="33"/>
  <c r="D103" i="33"/>
  <c r="C103" i="33"/>
  <c r="T102" i="33"/>
  <c r="S102" i="33"/>
  <c r="R102" i="33"/>
  <c r="Q102" i="33"/>
  <c r="P102" i="33"/>
  <c r="N102" i="33"/>
  <c r="M102" i="33"/>
  <c r="L102" i="33"/>
  <c r="K102" i="33"/>
  <c r="J102" i="33"/>
  <c r="I102" i="33"/>
  <c r="H102" i="33"/>
  <c r="G102" i="33"/>
  <c r="F102" i="33"/>
  <c r="D102" i="33"/>
  <c r="C102" i="33"/>
  <c r="S101" i="33"/>
  <c r="R101" i="33"/>
  <c r="P101" i="33"/>
  <c r="N101" i="33"/>
  <c r="L101" i="33"/>
  <c r="J101" i="33"/>
  <c r="H101" i="33"/>
  <c r="F101" i="33"/>
  <c r="D101" i="33"/>
  <c r="C101" i="33"/>
  <c r="E100" i="33"/>
  <c r="E99" i="33"/>
  <c r="T98" i="33"/>
  <c r="S98" i="33"/>
  <c r="R98" i="33"/>
  <c r="Q98" i="33"/>
  <c r="P98" i="33"/>
  <c r="O98" i="33"/>
  <c r="N98" i="33"/>
  <c r="M98" i="33"/>
  <c r="L98" i="33"/>
  <c r="K98" i="33"/>
  <c r="J98" i="33"/>
  <c r="I98" i="33"/>
  <c r="H98" i="33"/>
  <c r="G98" i="33"/>
  <c r="F98" i="33"/>
  <c r="E98" i="33"/>
  <c r="D98" i="33"/>
  <c r="C98" i="33"/>
  <c r="E97" i="33"/>
  <c r="E96" i="33"/>
  <c r="T95" i="33"/>
  <c r="S95" i="33"/>
  <c r="R95" i="33"/>
  <c r="Q95" i="33"/>
  <c r="P95" i="33"/>
  <c r="O95" i="33"/>
  <c r="N95" i="33"/>
  <c r="M95" i="33"/>
  <c r="L95" i="33"/>
  <c r="K95" i="33"/>
  <c r="J95" i="33"/>
  <c r="I95" i="33"/>
  <c r="H95" i="33"/>
  <c r="G95" i="33"/>
  <c r="F95" i="33"/>
  <c r="D95" i="33"/>
  <c r="C95" i="33"/>
  <c r="T94" i="33"/>
  <c r="S94" i="33"/>
  <c r="R94" i="33"/>
  <c r="Q94" i="33"/>
  <c r="P94" i="33"/>
  <c r="O94" i="33"/>
  <c r="N94" i="33"/>
  <c r="M94" i="33"/>
  <c r="L94" i="33"/>
  <c r="K94" i="33"/>
  <c r="E94" i="33" s="1"/>
  <c r="J94" i="33"/>
  <c r="I94" i="33"/>
  <c r="H94" i="33"/>
  <c r="G94" i="33"/>
  <c r="F94" i="33"/>
  <c r="D94" i="33"/>
  <c r="C94" i="33"/>
  <c r="T93" i="33"/>
  <c r="S93" i="33"/>
  <c r="S92" i="33" s="1"/>
  <c r="R93" i="33"/>
  <c r="Q93" i="33"/>
  <c r="P93" i="33"/>
  <c r="O93" i="33"/>
  <c r="N93" i="33"/>
  <c r="M93" i="33"/>
  <c r="M92" i="33" s="1"/>
  <c r="L93" i="33"/>
  <c r="K93" i="33"/>
  <c r="K92" i="33" s="1"/>
  <c r="J93" i="33"/>
  <c r="I93" i="33"/>
  <c r="H93" i="33"/>
  <c r="G93" i="33"/>
  <c r="F93" i="33"/>
  <c r="E93" i="33"/>
  <c r="D93" i="33"/>
  <c r="C93" i="33"/>
  <c r="C92" i="33" s="1"/>
  <c r="T92" i="33"/>
  <c r="R92" i="33"/>
  <c r="Q92" i="33"/>
  <c r="P92" i="33"/>
  <c r="O92" i="33"/>
  <c r="N92" i="33"/>
  <c r="L92" i="33"/>
  <c r="J92" i="33"/>
  <c r="I92" i="33"/>
  <c r="H92" i="33"/>
  <c r="G92" i="33"/>
  <c r="E92" i="33" s="1"/>
  <c r="F92" i="33"/>
  <c r="D92" i="33"/>
  <c r="E91" i="33"/>
  <c r="E90" i="33"/>
  <c r="T89" i="33"/>
  <c r="S89" i="33"/>
  <c r="R89" i="33"/>
  <c r="Q89" i="33"/>
  <c r="P89" i="33"/>
  <c r="O89" i="33"/>
  <c r="N89" i="33"/>
  <c r="M89" i="33"/>
  <c r="L89" i="33"/>
  <c r="K89" i="33"/>
  <c r="J89" i="33"/>
  <c r="I89" i="33"/>
  <c r="H89" i="33"/>
  <c r="G89" i="33"/>
  <c r="F89" i="33"/>
  <c r="E89" i="33"/>
  <c r="D89" i="33"/>
  <c r="C89" i="33"/>
  <c r="E88" i="33"/>
  <c r="E87" i="33"/>
  <c r="T86" i="33"/>
  <c r="S86" i="33"/>
  <c r="R86" i="33"/>
  <c r="Q86" i="33"/>
  <c r="P86" i="33"/>
  <c r="O86" i="33"/>
  <c r="N86" i="33"/>
  <c r="M86" i="33"/>
  <c r="L86" i="33"/>
  <c r="K86" i="33"/>
  <c r="J86" i="33"/>
  <c r="I86" i="33"/>
  <c r="H86" i="33"/>
  <c r="G86" i="33"/>
  <c r="E86" i="33" s="1"/>
  <c r="F86" i="33"/>
  <c r="D86" i="33"/>
  <c r="C86" i="33"/>
  <c r="T85" i="33"/>
  <c r="S85" i="33"/>
  <c r="R85" i="33"/>
  <c r="Q85" i="33"/>
  <c r="P85" i="33"/>
  <c r="O85" i="33"/>
  <c r="N85" i="33"/>
  <c r="M85" i="33"/>
  <c r="L85" i="33"/>
  <c r="K85" i="33"/>
  <c r="J85" i="33"/>
  <c r="I85" i="33"/>
  <c r="H85" i="33"/>
  <c r="G85" i="33"/>
  <c r="F85" i="33"/>
  <c r="D85" i="33"/>
  <c r="C85" i="33"/>
  <c r="T84" i="33"/>
  <c r="S84" i="33"/>
  <c r="S83" i="33" s="1"/>
  <c r="R84" i="33"/>
  <c r="Q84" i="33"/>
  <c r="Q83" i="33" s="1"/>
  <c r="P84" i="33"/>
  <c r="O84" i="33"/>
  <c r="N84" i="33"/>
  <c r="N83" i="33" s="1"/>
  <c r="M84" i="33"/>
  <c r="L84" i="33"/>
  <c r="K84" i="33"/>
  <c r="J84" i="33"/>
  <c r="J83" i="33" s="1"/>
  <c r="I84" i="33"/>
  <c r="I83" i="33" s="1"/>
  <c r="H84" i="33"/>
  <c r="G84" i="33"/>
  <c r="F84" i="33"/>
  <c r="F83" i="33" s="1"/>
  <c r="D84" i="33"/>
  <c r="C84" i="33"/>
  <c r="C83" i="33" s="1"/>
  <c r="T83" i="33"/>
  <c r="R83" i="33"/>
  <c r="P83" i="33"/>
  <c r="O83" i="33"/>
  <c r="M83" i="33"/>
  <c r="L83" i="33"/>
  <c r="H83" i="33"/>
  <c r="G83" i="33"/>
  <c r="D83" i="33"/>
  <c r="E82" i="33"/>
  <c r="E81" i="33"/>
  <c r="T80" i="33"/>
  <c r="S80" i="33"/>
  <c r="R80" i="33"/>
  <c r="Q80" i="33"/>
  <c r="P80" i="33"/>
  <c r="O80" i="33"/>
  <c r="N80" i="33"/>
  <c r="M80" i="33"/>
  <c r="L80" i="33"/>
  <c r="K80" i="33"/>
  <c r="J80" i="33"/>
  <c r="I80" i="33"/>
  <c r="H80" i="33"/>
  <c r="G80" i="33"/>
  <c r="F80" i="33"/>
  <c r="E80" i="33"/>
  <c r="D80" i="33"/>
  <c r="C80" i="33"/>
  <c r="E79" i="33"/>
  <c r="E78" i="33"/>
  <c r="T77" i="33"/>
  <c r="S77" i="33"/>
  <c r="R77" i="33"/>
  <c r="Q77" i="33"/>
  <c r="P77" i="33"/>
  <c r="O77" i="33"/>
  <c r="N77" i="33"/>
  <c r="M77" i="33"/>
  <c r="L77" i="33"/>
  <c r="K77" i="33"/>
  <c r="J77" i="33"/>
  <c r="I77" i="33"/>
  <c r="H77" i="33"/>
  <c r="G77" i="33"/>
  <c r="F77" i="33"/>
  <c r="E77" i="33"/>
  <c r="D77" i="33"/>
  <c r="C77" i="33"/>
  <c r="T76" i="33"/>
  <c r="S76" i="33"/>
  <c r="R76" i="33"/>
  <c r="Q76" i="33"/>
  <c r="P76" i="33"/>
  <c r="O76" i="33"/>
  <c r="N76" i="33"/>
  <c r="M76" i="33"/>
  <c r="L76" i="33"/>
  <c r="K76" i="33"/>
  <c r="J76" i="33"/>
  <c r="I76" i="33"/>
  <c r="H76" i="33"/>
  <c r="G76" i="33"/>
  <c r="E76" i="33" s="1"/>
  <c r="F76" i="33"/>
  <c r="D76" i="33"/>
  <c r="C76" i="33"/>
  <c r="T75" i="33"/>
  <c r="S75" i="33"/>
  <c r="R75" i="33"/>
  <c r="Q75" i="33"/>
  <c r="Q74" i="33" s="1"/>
  <c r="P75" i="33"/>
  <c r="P74" i="33" s="1"/>
  <c r="O75" i="33"/>
  <c r="O74" i="33" s="1"/>
  <c r="N75" i="33"/>
  <c r="M75" i="33"/>
  <c r="L75" i="33"/>
  <c r="K75" i="33"/>
  <c r="J75" i="33"/>
  <c r="I75" i="33"/>
  <c r="I74" i="33" s="1"/>
  <c r="H75" i="33"/>
  <c r="G75" i="33"/>
  <c r="F75" i="33"/>
  <c r="D75" i="33"/>
  <c r="C75" i="33"/>
  <c r="T74" i="33"/>
  <c r="S74" i="33"/>
  <c r="R74" i="33"/>
  <c r="N74" i="33"/>
  <c r="M74" i="33"/>
  <c r="L74" i="33"/>
  <c r="K74" i="33"/>
  <c r="J74" i="33"/>
  <c r="H74" i="33"/>
  <c r="F74" i="33"/>
  <c r="D74" i="33"/>
  <c r="C74" i="33"/>
  <c r="O73" i="33"/>
  <c r="E73" i="33"/>
  <c r="E71" i="33" s="1"/>
  <c r="E72" i="33"/>
  <c r="T71" i="33"/>
  <c r="S71" i="33"/>
  <c r="R71" i="33"/>
  <c r="Q71" i="33"/>
  <c r="P71" i="33"/>
  <c r="O71" i="33"/>
  <c r="N71" i="33"/>
  <c r="M71" i="33"/>
  <c r="L71" i="33"/>
  <c r="K71" i="33"/>
  <c r="J71" i="33"/>
  <c r="I71" i="33"/>
  <c r="H71" i="33"/>
  <c r="G71" i="33"/>
  <c r="F71" i="33"/>
  <c r="D71" i="33"/>
  <c r="C71" i="33"/>
  <c r="O70" i="33"/>
  <c r="O67" i="33" s="1"/>
  <c r="O65" i="33" s="1"/>
  <c r="I70" i="33"/>
  <c r="E70" i="33"/>
  <c r="E69" i="33"/>
  <c r="T68" i="33"/>
  <c r="S68" i="33"/>
  <c r="R68" i="33"/>
  <c r="Q68" i="33"/>
  <c r="P68" i="33"/>
  <c r="N68" i="33"/>
  <c r="M68" i="33"/>
  <c r="L68" i="33"/>
  <c r="K68" i="33"/>
  <c r="J68" i="33"/>
  <c r="I68" i="33"/>
  <c r="H68" i="33"/>
  <c r="G68" i="33"/>
  <c r="F68" i="33"/>
  <c r="D68" i="33"/>
  <c r="C68" i="33"/>
  <c r="T67" i="33"/>
  <c r="S67" i="33"/>
  <c r="R67" i="33"/>
  <c r="Q67" i="33"/>
  <c r="P67" i="33"/>
  <c r="N67" i="33"/>
  <c r="M67" i="33"/>
  <c r="L67" i="33"/>
  <c r="K67" i="33"/>
  <c r="J67" i="33"/>
  <c r="I67" i="33"/>
  <c r="H67" i="33"/>
  <c r="G67" i="33"/>
  <c r="F67" i="33"/>
  <c r="D67" i="33"/>
  <c r="C67" i="33"/>
  <c r="T66" i="33"/>
  <c r="S66" i="33"/>
  <c r="R66" i="33"/>
  <c r="R65" i="33" s="1"/>
  <c r="Q66" i="33"/>
  <c r="P66" i="33"/>
  <c r="P65" i="33" s="1"/>
  <c r="P19" i="33" s="1"/>
  <c r="O66" i="33"/>
  <c r="N66" i="33"/>
  <c r="M66" i="33"/>
  <c r="L66" i="33"/>
  <c r="K66" i="33"/>
  <c r="J66" i="33"/>
  <c r="J65" i="33" s="1"/>
  <c r="I66" i="33"/>
  <c r="H66" i="33"/>
  <c r="H65" i="33" s="1"/>
  <c r="G66" i="33"/>
  <c r="F66" i="33"/>
  <c r="D66" i="33"/>
  <c r="C66" i="33"/>
  <c r="T65" i="33"/>
  <c r="S65" i="33"/>
  <c r="Q65" i="33"/>
  <c r="N65" i="33"/>
  <c r="M65" i="33"/>
  <c r="L65" i="33"/>
  <c r="K65" i="33"/>
  <c r="I65" i="33"/>
  <c r="G65" i="33"/>
  <c r="F65" i="33"/>
  <c r="D65" i="33"/>
  <c r="C65" i="33"/>
  <c r="E64" i="33"/>
  <c r="E63" i="33"/>
  <c r="E62" i="33"/>
  <c r="E61" i="33"/>
  <c r="E60" i="33"/>
  <c r="T59" i="33"/>
  <c r="S59" i="33"/>
  <c r="R59" i="33"/>
  <c r="Q59" i="33"/>
  <c r="P59" i="33"/>
  <c r="O59" i="33"/>
  <c r="N59" i="33"/>
  <c r="M59" i="33"/>
  <c r="L59" i="33"/>
  <c r="K59" i="33"/>
  <c r="E59" i="33" s="1"/>
  <c r="J59" i="33"/>
  <c r="I59" i="33"/>
  <c r="H59" i="33"/>
  <c r="G59" i="33"/>
  <c r="F59" i="33"/>
  <c r="D59" i="33"/>
  <c r="C59" i="33"/>
  <c r="T58" i="33"/>
  <c r="S58" i="33"/>
  <c r="R58" i="33"/>
  <c r="Q58" i="33"/>
  <c r="P58" i="33"/>
  <c r="O58" i="33"/>
  <c r="N58" i="33"/>
  <c r="M58" i="33"/>
  <c r="L58" i="33"/>
  <c r="K58" i="33"/>
  <c r="J58" i="33"/>
  <c r="I58" i="33"/>
  <c r="H58" i="33"/>
  <c r="G58" i="33"/>
  <c r="F58" i="33"/>
  <c r="E58" i="33"/>
  <c r="D58" i="33"/>
  <c r="C58" i="33"/>
  <c r="T57" i="33"/>
  <c r="S57" i="33"/>
  <c r="R57" i="33"/>
  <c r="Q57" i="33"/>
  <c r="P57" i="33"/>
  <c r="O57" i="33"/>
  <c r="O56" i="33" s="1"/>
  <c r="N57" i="33"/>
  <c r="M57" i="33"/>
  <c r="M56" i="33" s="1"/>
  <c r="L57" i="33"/>
  <c r="K57" i="33"/>
  <c r="J57" i="33"/>
  <c r="I57" i="33"/>
  <c r="H57" i="33"/>
  <c r="G57" i="33"/>
  <c r="F57" i="33"/>
  <c r="D57" i="33"/>
  <c r="C57" i="33"/>
  <c r="T56" i="33"/>
  <c r="S56" i="33"/>
  <c r="R56" i="33"/>
  <c r="Q56" i="33"/>
  <c r="P56" i="33"/>
  <c r="N56" i="33"/>
  <c r="L56" i="33"/>
  <c r="K56" i="33"/>
  <c r="J56" i="33"/>
  <c r="I56" i="33"/>
  <c r="H56" i="33"/>
  <c r="F56" i="33"/>
  <c r="D56" i="33"/>
  <c r="C56" i="33"/>
  <c r="E55" i="33"/>
  <c r="E54" i="33"/>
  <c r="T53" i="33"/>
  <c r="S53" i="33"/>
  <c r="R53" i="33"/>
  <c r="Q53" i="33"/>
  <c r="P53" i="33"/>
  <c r="O53" i="33"/>
  <c r="N53" i="33"/>
  <c r="M53" i="33"/>
  <c r="L53" i="33"/>
  <c r="K53" i="33"/>
  <c r="J53" i="33"/>
  <c r="I53" i="33"/>
  <c r="H53" i="33"/>
  <c r="G53" i="33"/>
  <c r="F53" i="33"/>
  <c r="E53" i="33"/>
  <c r="D53" i="33"/>
  <c r="C53" i="33"/>
  <c r="E52" i="33"/>
  <c r="K51" i="33"/>
  <c r="E51" i="33" s="1"/>
  <c r="T50" i="33"/>
  <c r="S50" i="33"/>
  <c r="R50" i="33"/>
  <c r="Q50" i="33"/>
  <c r="P50" i="33"/>
  <c r="O50" i="33"/>
  <c r="N50" i="33"/>
  <c r="M50" i="33"/>
  <c r="L50" i="33"/>
  <c r="J50" i="33"/>
  <c r="I50" i="33"/>
  <c r="H50" i="33"/>
  <c r="G50" i="33"/>
  <c r="F50" i="33"/>
  <c r="D50" i="33"/>
  <c r="C50" i="33"/>
  <c r="T49" i="33"/>
  <c r="S49" i="33"/>
  <c r="R49" i="33"/>
  <c r="Q49" i="33"/>
  <c r="P49" i="33"/>
  <c r="O49" i="33"/>
  <c r="N49" i="33"/>
  <c r="M49" i="33"/>
  <c r="L49" i="33"/>
  <c r="K49" i="33"/>
  <c r="E49" i="33" s="1"/>
  <c r="J49" i="33"/>
  <c r="I49" i="33"/>
  <c r="I47" i="33" s="1"/>
  <c r="H49" i="33"/>
  <c r="G49" i="33"/>
  <c r="F49" i="33"/>
  <c r="D49" i="33"/>
  <c r="C49" i="33"/>
  <c r="C47" i="33" s="1"/>
  <c r="T48" i="33"/>
  <c r="S48" i="33"/>
  <c r="S47" i="33" s="1"/>
  <c r="S19" i="33" s="1"/>
  <c r="R48" i="33"/>
  <c r="Q48" i="33"/>
  <c r="Q47" i="33" s="1"/>
  <c r="P48" i="33"/>
  <c r="O48" i="33"/>
  <c r="O47" i="33" s="1"/>
  <c r="N48" i="33"/>
  <c r="M48" i="33"/>
  <c r="M47" i="33" s="1"/>
  <c r="L48" i="33"/>
  <c r="K48" i="33"/>
  <c r="J48" i="33"/>
  <c r="I48" i="33"/>
  <c r="H48" i="33"/>
  <c r="G48" i="33"/>
  <c r="F48" i="33"/>
  <c r="D48" i="33"/>
  <c r="D47" i="33" s="1"/>
  <c r="C48" i="33"/>
  <c r="T47" i="33"/>
  <c r="R47" i="33"/>
  <c r="P47" i="33"/>
  <c r="N47" i="33"/>
  <c r="L47" i="33"/>
  <c r="J47" i="33"/>
  <c r="H47" i="33"/>
  <c r="G47" i="33"/>
  <c r="F47" i="33"/>
  <c r="E46" i="33"/>
  <c r="E44" i="33" s="1"/>
  <c r="E45" i="33"/>
  <c r="T44" i="33"/>
  <c r="S44" i="33"/>
  <c r="R44" i="33"/>
  <c r="Q44" i="33"/>
  <c r="P44" i="33"/>
  <c r="O44" i="33"/>
  <c r="N44" i="33"/>
  <c r="M44" i="33"/>
  <c r="L44" i="33"/>
  <c r="K44" i="33"/>
  <c r="J44" i="33"/>
  <c r="I44" i="33"/>
  <c r="H44" i="33"/>
  <c r="G44" i="33"/>
  <c r="F44" i="33"/>
  <c r="D44" i="33"/>
  <c r="C44" i="33"/>
  <c r="E43" i="33"/>
  <c r="E42" i="33"/>
  <c r="T41" i="33"/>
  <c r="S41" i="33"/>
  <c r="R41" i="33"/>
  <c r="Q41" i="33"/>
  <c r="P41" i="33"/>
  <c r="O41" i="33"/>
  <c r="N41" i="33"/>
  <c r="M41" i="33"/>
  <c r="L41" i="33"/>
  <c r="K41" i="33"/>
  <c r="J41" i="33"/>
  <c r="I41" i="33"/>
  <c r="H41" i="33"/>
  <c r="G41" i="33"/>
  <c r="F41" i="33"/>
  <c r="E41" i="33" s="1"/>
  <c r="D41" i="33"/>
  <c r="C41" i="33"/>
  <c r="T40" i="33"/>
  <c r="S40" i="33"/>
  <c r="R40" i="33"/>
  <c r="Q40" i="33"/>
  <c r="P40" i="33"/>
  <c r="O40" i="33"/>
  <c r="N40" i="33"/>
  <c r="M40" i="33"/>
  <c r="L40" i="33"/>
  <c r="K40" i="33"/>
  <c r="J40" i="33"/>
  <c r="I40" i="33"/>
  <c r="H40" i="33"/>
  <c r="G40" i="33"/>
  <c r="F40" i="33"/>
  <c r="E40" i="33" s="1"/>
  <c r="D40" i="33"/>
  <c r="C40" i="33"/>
  <c r="T39" i="33"/>
  <c r="S39" i="33"/>
  <c r="R39" i="33"/>
  <c r="Q39" i="33"/>
  <c r="P39" i="33"/>
  <c r="P38" i="33" s="1"/>
  <c r="O39" i="33"/>
  <c r="N39" i="33"/>
  <c r="M39" i="33"/>
  <c r="M38" i="33" s="1"/>
  <c r="L39" i="33"/>
  <c r="K39" i="33"/>
  <c r="J39" i="33"/>
  <c r="I39" i="33"/>
  <c r="H39" i="33"/>
  <c r="H38" i="33" s="1"/>
  <c r="G39" i="33"/>
  <c r="F39" i="33"/>
  <c r="D39" i="33"/>
  <c r="C39" i="33"/>
  <c r="T38" i="33"/>
  <c r="S38" i="33"/>
  <c r="R38" i="33"/>
  <c r="Q38" i="33"/>
  <c r="O38" i="33"/>
  <c r="L38" i="33"/>
  <c r="K38" i="33"/>
  <c r="J38" i="33"/>
  <c r="I38" i="33"/>
  <c r="G38" i="33"/>
  <c r="D38" i="33"/>
  <c r="C38" i="33"/>
  <c r="E37" i="33"/>
  <c r="E35" i="33" s="1"/>
  <c r="E36" i="33"/>
  <c r="T35" i="33"/>
  <c r="S35" i="33"/>
  <c r="R35" i="33"/>
  <c r="Q35" i="33"/>
  <c r="P35" i="33"/>
  <c r="O35" i="33"/>
  <c r="N35" i="33"/>
  <c r="M35" i="33"/>
  <c r="L35" i="33"/>
  <c r="K35" i="33"/>
  <c r="J35" i="33"/>
  <c r="I35" i="33"/>
  <c r="H35" i="33"/>
  <c r="G35" i="33"/>
  <c r="F35" i="33"/>
  <c r="D35" i="33"/>
  <c r="C35" i="33"/>
  <c r="E34" i="33"/>
  <c r="O33" i="33"/>
  <c r="O32" i="33" s="1"/>
  <c r="T32" i="33"/>
  <c r="S32" i="33"/>
  <c r="R32" i="33"/>
  <c r="Q32" i="33"/>
  <c r="P32" i="33"/>
  <c r="N32" i="33"/>
  <c r="M32" i="33"/>
  <c r="L32" i="33"/>
  <c r="K32" i="33"/>
  <c r="J32" i="33"/>
  <c r="I32" i="33"/>
  <c r="H32" i="33"/>
  <c r="G32" i="33"/>
  <c r="F32" i="33"/>
  <c r="D32" i="33"/>
  <c r="C32" i="33"/>
  <c r="T31" i="33"/>
  <c r="S31" i="33"/>
  <c r="R31" i="33"/>
  <c r="R29" i="33" s="1"/>
  <c r="Q31" i="33"/>
  <c r="P31" i="33"/>
  <c r="P29" i="33" s="1"/>
  <c r="O31" i="33"/>
  <c r="N31" i="33"/>
  <c r="M31" i="33"/>
  <c r="L31" i="33"/>
  <c r="L29" i="33" s="1"/>
  <c r="K31" i="33"/>
  <c r="J31" i="33"/>
  <c r="J29" i="33" s="1"/>
  <c r="I31" i="33"/>
  <c r="H31" i="33"/>
  <c r="H29" i="33" s="1"/>
  <c r="G31" i="33"/>
  <c r="F31" i="33"/>
  <c r="D31" i="33"/>
  <c r="C31" i="33"/>
  <c r="T30" i="33"/>
  <c r="S30" i="33"/>
  <c r="R30" i="33"/>
  <c r="Q30" i="33"/>
  <c r="P30" i="33"/>
  <c r="N30" i="33"/>
  <c r="M30" i="33"/>
  <c r="L30" i="33"/>
  <c r="K30" i="33"/>
  <c r="K29" i="33" s="1"/>
  <c r="J30" i="33"/>
  <c r="I30" i="33"/>
  <c r="H30" i="33"/>
  <c r="G30" i="33"/>
  <c r="F30" i="33"/>
  <c r="D30" i="33"/>
  <c r="C30" i="33"/>
  <c r="T29" i="33"/>
  <c r="S29" i="33"/>
  <c r="Q29" i="33"/>
  <c r="N29" i="33"/>
  <c r="M29" i="33"/>
  <c r="I29" i="33"/>
  <c r="G29" i="33"/>
  <c r="F29" i="33"/>
  <c r="D29" i="33"/>
  <c r="C29" i="33"/>
  <c r="E28" i="33"/>
  <c r="E26" i="33" s="1"/>
  <c r="O27" i="33"/>
  <c r="E27" i="33"/>
  <c r="T26" i="33"/>
  <c r="S26" i="33"/>
  <c r="R26" i="33"/>
  <c r="Q26" i="33"/>
  <c r="P26" i="33"/>
  <c r="O26" i="33"/>
  <c r="N26" i="33"/>
  <c r="M26" i="33"/>
  <c r="L26" i="33"/>
  <c r="K26" i="33"/>
  <c r="J26" i="33"/>
  <c r="I26" i="33"/>
  <c r="H26" i="33"/>
  <c r="G26" i="33"/>
  <c r="F26" i="33"/>
  <c r="D26" i="33"/>
  <c r="C26" i="33"/>
  <c r="O24" i="33"/>
  <c r="O23" i="33" s="1"/>
  <c r="E24" i="33"/>
  <c r="T23" i="33"/>
  <c r="S23" i="33"/>
  <c r="R23" i="33"/>
  <c r="Q23" i="33"/>
  <c r="P23" i="33"/>
  <c r="N23" i="33"/>
  <c r="M23" i="33"/>
  <c r="L23" i="33"/>
  <c r="K23" i="33"/>
  <c r="J23" i="33"/>
  <c r="I23" i="33"/>
  <c r="H23" i="33"/>
  <c r="G23" i="33"/>
  <c r="F23" i="33"/>
  <c r="D23" i="33"/>
  <c r="C23" i="33"/>
  <c r="T22" i="33"/>
  <c r="S22" i="33"/>
  <c r="R22" i="33"/>
  <c r="R20" i="33" s="1"/>
  <c r="Q22" i="33"/>
  <c r="P22" i="33"/>
  <c r="O22" i="33"/>
  <c r="N22" i="33"/>
  <c r="M22" i="33"/>
  <c r="L22" i="33"/>
  <c r="L20" i="33" s="1"/>
  <c r="L19" i="33" s="1"/>
  <c r="K22" i="33"/>
  <c r="J22" i="33"/>
  <c r="J20" i="33" s="1"/>
  <c r="I22" i="33"/>
  <c r="H22" i="33"/>
  <c r="G22" i="33"/>
  <c r="F22" i="33"/>
  <c r="D22" i="33"/>
  <c r="C22" i="33"/>
  <c r="T21" i="33"/>
  <c r="T20" i="33" s="1"/>
  <c r="T19" i="33" s="1"/>
  <c r="S21" i="33"/>
  <c r="R21" i="33"/>
  <c r="Q21" i="33"/>
  <c r="P21" i="33"/>
  <c r="P20" i="33" s="1"/>
  <c r="O21" i="33"/>
  <c r="N21" i="33"/>
  <c r="N20" i="33" s="1"/>
  <c r="M21" i="33"/>
  <c r="L21" i="33"/>
  <c r="K21" i="33"/>
  <c r="J21" i="33"/>
  <c r="I21" i="33"/>
  <c r="H21" i="33"/>
  <c r="G21" i="33"/>
  <c r="F21" i="33"/>
  <c r="D21" i="33"/>
  <c r="C21" i="33"/>
  <c r="S20" i="33"/>
  <c r="Q20" i="33"/>
  <c r="Q19" i="33" s="1"/>
  <c r="M20" i="33"/>
  <c r="K20" i="33"/>
  <c r="I20" i="33"/>
  <c r="H20" i="33"/>
  <c r="G20" i="33"/>
  <c r="F20" i="33"/>
  <c r="C20" i="33"/>
  <c r="C15" i="33" s="1"/>
  <c r="U19" i="33"/>
  <c r="T18" i="33"/>
  <c r="S18" i="33"/>
  <c r="S16" i="33" s="1"/>
  <c r="S10" i="33" s="1"/>
  <c r="R18" i="33"/>
  <c r="Q18" i="33"/>
  <c r="P18" i="33"/>
  <c r="O18" i="33"/>
  <c r="O12" i="33" s="1"/>
  <c r="N18" i="33"/>
  <c r="M18" i="33"/>
  <c r="L18" i="33"/>
  <c r="K18" i="33"/>
  <c r="K16" i="33" s="1"/>
  <c r="J18" i="33"/>
  <c r="I18" i="33"/>
  <c r="H18" i="33"/>
  <c r="G18" i="33"/>
  <c r="G12" i="33" s="1"/>
  <c r="F18" i="33"/>
  <c r="D18" i="33"/>
  <c r="C18" i="33"/>
  <c r="C16" i="33" s="1"/>
  <c r="C10" i="33" s="1"/>
  <c r="T17" i="33"/>
  <c r="S17" i="33"/>
  <c r="R17" i="33"/>
  <c r="Q17" i="33"/>
  <c r="Q16" i="33" s="1"/>
  <c r="Q10" i="33" s="1"/>
  <c r="P17" i="33"/>
  <c r="O17" i="33"/>
  <c r="O16" i="33" s="1"/>
  <c r="N17" i="33"/>
  <c r="M17" i="33"/>
  <c r="L17" i="33"/>
  <c r="K17" i="33"/>
  <c r="J17" i="33"/>
  <c r="I17" i="33"/>
  <c r="H17" i="33"/>
  <c r="G17" i="33"/>
  <c r="F17" i="33"/>
  <c r="D17" i="33"/>
  <c r="C17" i="33"/>
  <c r="T16" i="33"/>
  <c r="R16" i="33"/>
  <c r="P16" i="33"/>
  <c r="N16" i="33"/>
  <c r="L16" i="33"/>
  <c r="J16" i="33"/>
  <c r="I16" i="33"/>
  <c r="H16" i="33"/>
  <c r="G16" i="33"/>
  <c r="F16" i="33"/>
  <c r="D16" i="33"/>
  <c r="T15" i="33"/>
  <c r="S15" i="33"/>
  <c r="R15" i="33"/>
  <c r="Q15" i="33"/>
  <c r="P15" i="33"/>
  <c r="P13" i="33" s="1"/>
  <c r="P10" i="33" s="1"/>
  <c r="O15" i="33"/>
  <c r="N15" i="33"/>
  <c r="N13" i="33" s="1"/>
  <c r="N10" i="33" s="1"/>
  <c r="M15" i="33"/>
  <c r="L15" i="33"/>
  <c r="K15" i="33"/>
  <c r="J15" i="33"/>
  <c r="J13" i="33" s="1"/>
  <c r="J10" i="33" s="1"/>
  <c r="I15" i="33"/>
  <c r="H15" i="33"/>
  <c r="H13" i="33" s="1"/>
  <c r="H10" i="33" s="1"/>
  <c r="G15" i="33"/>
  <c r="F15" i="33"/>
  <c r="F13" i="33" s="1"/>
  <c r="F10" i="33" s="1"/>
  <c r="T14" i="33"/>
  <c r="T11" i="33" s="1"/>
  <c r="S14" i="33"/>
  <c r="R14" i="33"/>
  <c r="Q14" i="33"/>
  <c r="P14" i="33"/>
  <c r="N14" i="33"/>
  <c r="M14" i="33"/>
  <c r="L14" i="33"/>
  <c r="K14" i="33"/>
  <c r="K11" i="33" s="1"/>
  <c r="J14" i="33"/>
  <c r="I14" i="33"/>
  <c r="H14" i="33"/>
  <c r="G14" i="33"/>
  <c r="G13" i="33" s="1"/>
  <c r="G10" i="33" s="1"/>
  <c r="F14" i="33"/>
  <c r="C14" i="33"/>
  <c r="T13" i="33"/>
  <c r="T10" i="33" s="1"/>
  <c r="S13" i="33"/>
  <c r="R13" i="33"/>
  <c r="R10" i="33" s="1"/>
  <c r="Q13" i="33"/>
  <c r="M13" i="33"/>
  <c r="L13" i="33"/>
  <c r="K13" i="33"/>
  <c r="K10" i="33" s="1"/>
  <c r="I13" i="33"/>
  <c r="I10" i="33" s="1"/>
  <c r="T12" i="33"/>
  <c r="R12" i="33"/>
  <c r="Q12" i="33"/>
  <c r="N12" i="33"/>
  <c r="L12" i="33"/>
  <c r="J12" i="33"/>
  <c r="I12" i="33"/>
  <c r="F12" i="33"/>
  <c r="S11" i="33"/>
  <c r="R11" i="33"/>
  <c r="P11" i="33"/>
  <c r="N11" i="33"/>
  <c r="M11" i="33"/>
  <c r="L11" i="33"/>
  <c r="J11" i="33"/>
  <c r="I11" i="33"/>
  <c r="H11" i="33"/>
  <c r="G11" i="33"/>
  <c r="F11" i="33"/>
  <c r="L10" i="33"/>
  <c r="D10" i="33"/>
  <c r="AF228" i="34"/>
  <c r="AA228" i="34"/>
  <c r="V228" i="34"/>
  <c r="U228" i="34"/>
  <c r="T228" i="34"/>
  <c r="S228" i="34"/>
  <c r="R228" i="34"/>
  <c r="Q228" i="34"/>
  <c r="P228" i="34"/>
  <c r="O228" i="34"/>
  <c r="N228" i="34"/>
  <c r="M228" i="34"/>
  <c r="L228" i="34"/>
  <c r="K228" i="34"/>
  <c r="J228" i="34"/>
  <c r="I228" i="34"/>
  <c r="H228" i="34"/>
  <c r="G228" i="34"/>
  <c r="F228" i="34"/>
  <c r="E228" i="34"/>
  <c r="D228" i="34"/>
  <c r="C228" i="34"/>
  <c r="AI227" i="34"/>
  <c r="AF227" i="34"/>
  <c r="AA227" i="34"/>
  <c r="E227" i="34"/>
  <c r="AI226" i="34"/>
  <c r="AF226" i="34"/>
  <c r="AA226" i="34"/>
  <c r="E226" i="34"/>
  <c r="C226" i="34"/>
  <c r="AF225" i="34"/>
  <c r="AA225" i="34"/>
  <c r="T225" i="34"/>
  <c r="S225" i="34"/>
  <c r="R225" i="34"/>
  <c r="Q225" i="34"/>
  <c r="P225" i="34"/>
  <c r="O225" i="34"/>
  <c r="N225" i="34"/>
  <c r="M225" i="34"/>
  <c r="L225" i="34"/>
  <c r="K225" i="34"/>
  <c r="J225" i="34"/>
  <c r="I225" i="34"/>
  <c r="H225" i="34"/>
  <c r="G225" i="34"/>
  <c r="F225" i="34"/>
  <c r="D225" i="34"/>
  <c r="E224" i="34"/>
  <c r="C224" i="34"/>
  <c r="E223" i="34"/>
  <c r="C223" i="34"/>
  <c r="E222" i="34"/>
  <c r="C222" i="34" s="1"/>
  <c r="E221" i="34"/>
  <c r="C221" i="34"/>
  <c r="C220" i="34" s="1"/>
  <c r="AA220" i="34"/>
  <c r="Z220" i="34"/>
  <c r="Z11" i="34" s="1"/>
  <c r="Y220" i="34"/>
  <c r="X220" i="34"/>
  <c r="W220" i="34"/>
  <c r="V220" i="34"/>
  <c r="U220" i="34"/>
  <c r="T220" i="34"/>
  <c r="S220" i="34"/>
  <c r="R220" i="34"/>
  <c r="R136" i="34" s="1"/>
  <c r="Q220" i="34"/>
  <c r="P220" i="34"/>
  <c r="O220" i="34"/>
  <c r="N220" i="34"/>
  <c r="M220" i="34"/>
  <c r="L220" i="34"/>
  <c r="K220" i="34"/>
  <c r="J220" i="34"/>
  <c r="J136" i="34" s="1"/>
  <c r="I220" i="34"/>
  <c r="H220" i="34"/>
  <c r="G220" i="34"/>
  <c r="F220" i="34"/>
  <c r="E220" i="34"/>
  <c r="D220" i="34"/>
  <c r="E219" i="34"/>
  <c r="C219" i="34" s="1"/>
  <c r="E218" i="34"/>
  <c r="C218" i="34" s="1"/>
  <c r="E217" i="34"/>
  <c r="C217" i="34" s="1"/>
  <c r="E216" i="34"/>
  <c r="C216" i="34" s="1"/>
  <c r="E215" i="34"/>
  <c r="C215" i="34" s="1"/>
  <c r="E214" i="34"/>
  <c r="C214" i="34" s="1"/>
  <c r="E213" i="34"/>
  <c r="C213" i="34" s="1"/>
  <c r="E212" i="34"/>
  <c r="C212" i="34" s="1"/>
  <c r="E211" i="34"/>
  <c r="C211" i="34" s="1"/>
  <c r="E210" i="34"/>
  <c r="C210" i="34" s="1"/>
  <c r="E209" i="34"/>
  <c r="C209" i="34" s="1"/>
  <c r="E208" i="34"/>
  <c r="C208" i="34" s="1"/>
  <c r="E207" i="34"/>
  <c r="C207" i="34" s="1"/>
  <c r="E206" i="34"/>
  <c r="C206" i="34" s="1"/>
  <c r="E205" i="34"/>
  <c r="C205" i="34" s="1"/>
  <c r="E204" i="34"/>
  <c r="C204" i="34" s="1"/>
  <c r="E203" i="34"/>
  <c r="C203" i="34" s="1"/>
  <c r="E202" i="34"/>
  <c r="C202" i="34" s="1"/>
  <c r="E201" i="34"/>
  <c r="C201" i="34" s="1"/>
  <c r="E200" i="34"/>
  <c r="C200" i="34" s="1"/>
  <c r="E199" i="34"/>
  <c r="C199" i="34" s="1"/>
  <c r="E198" i="34"/>
  <c r="C198" i="34" s="1"/>
  <c r="E197" i="34"/>
  <c r="C197" i="34" s="1"/>
  <c r="E196" i="34"/>
  <c r="C196" i="34" s="1"/>
  <c r="E195" i="34"/>
  <c r="C195" i="34" s="1"/>
  <c r="E194" i="34"/>
  <c r="C194" i="34" s="1"/>
  <c r="E193" i="34"/>
  <c r="C193" i="34" s="1"/>
  <c r="E192" i="34"/>
  <c r="C192" i="34" s="1"/>
  <c r="E191" i="34"/>
  <c r="C191" i="34" s="1"/>
  <c r="E190" i="34"/>
  <c r="C190" i="34" s="1"/>
  <c r="E189" i="34"/>
  <c r="C189" i="34" s="1"/>
  <c r="E188" i="34"/>
  <c r="C188" i="34" s="1"/>
  <c r="E187" i="34"/>
  <c r="C187" i="34" s="1"/>
  <c r="E186" i="34"/>
  <c r="C186" i="34" s="1"/>
  <c r="E185" i="34"/>
  <c r="C185" i="34" s="1"/>
  <c r="E184" i="34"/>
  <c r="C184" i="34" s="1"/>
  <c r="E183" i="34"/>
  <c r="C183" i="34" s="1"/>
  <c r="E182" i="34"/>
  <c r="C182" i="34" s="1"/>
  <c r="E181" i="34"/>
  <c r="C181" i="34" s="1"/>
  <c r="E180" i="34"/>
  <c r="C180" i="34" s="1"/>
  <c r="AG179" i="34"/>
  <c r="AF179" i="34"/>
  <c r="AA179" i="34"/>
  <c r="E179" i="34"/>
  <c r="C179" i="34"/>
  <c r="AG178" i="34"/>
  <c r="AF178" i="34"/>
  <c r="AA178" i="34"/>
  <c r="E178" i="34"/>
  <c r="AI178" i="34" s="1"/>
  <c r="C178" i="34"/>
  <c r="AF177" i="34"/>
  <c r="AA177" i="34"/>
  <c r="E177" i="34"/>
  <c r="AF176" i="34"/>
  <c r="AA176" i="34"/>
  <c r="T176" i="34"/>
  <c r="S176" i="34"/>
  <c r="R176" i="34"/>
  <c r="Q176" i="34"/>
  <c r="P176" i="34"/>
  <c r="O176" i="34"/>
  <c r="N176" i="34"/>
  <c r="M176" i="34"/>
  <c r="L176" i="34"/>
  <c r="K176" i="34"/>
  <c r="J176" i="34"/>
  <c r="I176" i="34"/>
  <c r="H176" i="34"/>
  <c r="G176" i="34"/>
  <c r="F176" i="34"/>
  <c r="D176" i="34"/>
  <c r="AF175" i="34"/>
  <c r="AA175" i="34"/>
  <c r="E175" i="34"/>
  <c r="AI174" i="34"/>
  <c r="AF174" i="34"/>
  <c r="AA174" i="34"/>
  <c r="E174" i="34"/>
  <c r="C174" i="34"/>
  <c r="AF173" i="34"/>
  <c r="AA173" i="34"/>
  <c r="T173" i="34"/>
  <c r="S173" i="34"/>
  <c r="R173" i="34"/>
  <c r="Q173" i="34"/>
  <c r="P173" i="34"/>
  <c r="O173" i="34"/>
  <c r="N173" i="34"/>
  <c r="M173" i="34"/>
  <c r="L173" i="34"/>
  <c r="K173" i="34"/>
  <c r="J173" i="34"/>
  <c r="I173" i="34"/>
  <c r="H173" i="34"/>
  <c r="G173" i="34"/>
  <c r="E173" i="34" s="1"/>
  <c r="F173" i="34"/>
  <c r="D173" i="34"/>
  <c r="AG172" i="34"/>
  <c r="AF172" i="34"/>
  <c r="AA172" i="34"/>
  <c r="E172" i="34"/>
  <c r="AI172" i="34" s="1"/>
  <c r="C172" i="34"/>
  <c r="AF171" i="34"/>
  <c r="AA171" i="34"/>
  <c r="E171" i="34"/>
  <c r="AI171" i="34" s="1"/>
  <c r="AF170" i="34"/>
  <c r="AA170" i="34"/>
  <c r="T170" i="34"/>
  <c r="S170" i="34"/>
  <c r="R170" i="34"/>
  <c r="Q170" i="34"/>
  <c r="P170" i="34"/>
  <c r="O170" i="34"/>
  <c r="N170" i="34"/>
  <c r="M170" i="34"/>
  <c r="L170" i="34"/>
  <c r="K170" i="34"/>
  <c r="J170" i="34"/>
  <c r="I170" i="34"/>
  <c r="H170" i="34"/>
  <c r="G170" i="34"/>
  <c r="F170" i="34"/>
  <c r="D170" i="34"/>
  <c r="AF169" i="34"/>
  <c r="AA169" i="34"/>
  <c r="E169" i="34"/>
  <c r="AI168" i="34"/>
  <c r="AF168" i="34"/>
  <c r="AA168" i="34"/>
  <c r="E168" i="34"/>
  <c r="C168" i="34"/>
  <c r="AF167" i="34"/>
  <c r="AA167" i="34"/>
  <c r="T167" i="34"/>
  <c r="S167" i="34"/>
  <c r="R167" i="34"/>
  <c r="Q167" i="34"/>
  <c r="P167" i="34"/>
  <c r="O167" i="34"/>
  <c r="N167" i="34"/>
  <c r="M167" i="34"/>
  <c r="L167" i="34"/>
  <c r="K167" i="34"/>
  <c r="E167" i="34" s="1"/>
  <c r="J167" i="34"/>
  <c r="I167" i="34"/>
  <c r="H167" i="34"/>
  <c r="G167" i="34"/>
  <c r="F167" i="34"/>
  <c r="D167" i="34"/>
  <c r="AG166" i="34"/>
  <c r="AF166" i="34"/>
  <c r="AA166" i="34"/>
  <c r="E166" i="34"/>
  <c r="AI166" i="34" s="1"/>
  <c r="C166" i="34"/>
  <c r="AF165" i="34"/>
  <c r="AA165" i="34"/>
  <c r="E165" i="34"/>
  <c r="AF164" i="34"/>
  <c r="AA164" i="34"/>
  <c r="T164" i="34"/>
  <c r="S164" i="34"/>
  <c r="R164" i="34"/>
  <c r="Q164" i="34"/>
  <c r="P164" i="34"/>
  <c r="O164" i="34"/>
  <c r="N164" i="34"/>
  <c r="M164" i="34"/>
  <c r="L164" i="34"/>
  <c r="K164" i="34"/>
  <c r="J164" i="34"/>
  <c r="I164" i="34"/>
  <c r="H164" i="34"/>
  <c r="G164" i="34"/>
  <c r="E164" i="34" s="1"/>
  <c r="F164" i="34"/>
  <c r="D164" i="34"/>
  <c r="AI163" i="34"/>
  <c r="AG163" i="34"/>
  <c r="AF163" i="34"/>
  <c r="AA163" i="34"/>
  <c r="AA160" i="34" s="1"/>
  <c r="E163" i="34"/>
  <c r="C163" i="34"/>
  <c r="AF162" i="34"/>
  <c r="AA162" i="34"/>
  <c r="E162" i="34"/>
  <c r="AI162" i="34" s="1"/>
  <c r="AF161" i="34"/>
  <c r="AA161" i="34"/>
  <c r="T161" i="34"/>
  <c r="S161" i="34"/>
  <c r="R161" i="34"/>
  <c r="Q161" i="34"/>
  <c r="P161" i="34"/>
  <c r="O161" i="34"/>
  <c r="N161" i="34"/>
  <c r="M161" i="34"/>
  <c r="L161" i="34"/>
  <c r="K161" i="34"/>
  <c r="J161" i="34"/>
  <c r="I161" i="34"/>
  <c r="H161" i="34"/>
  <c r="G161" i="34"/>
  <c r="F161" i="34"/>
  <c r="E161" i="34" s="1"/>
  <c r="D161" i="34"/>
  <c r="Z160" i="34"/>
  <c r="Y160" i="34"/>
  <c r="X160" i="34"/>
  <c r="W160" i="34"/>
  <c r="V160" i="34"/>
  <c r="U160" i="34"/>
  <c r="T160" i="34"/>
  <c r="S160" i="34"/>
  <c r="R160" i="34"/>
  <c r="Q160" i="34"/>
  <c r="P160" i="34"/>
  <c r="O160" i="34"/>
  <c r="O158" i="34" s="1"/>
  <c r="N160" i="34"/>
  <c r="M160" i="34"/>
  <c r="L160" i="34"/>
  <c r="K160" i="34"/>
  <c r="J160" i="34"/>
  <c r="I160" i="34"/>
  <c r="H160" i="34"/>
  <c r="G160" i="34"/>
  <c r="G12" i="34" s="1"/>
  <c r="F160" i="34"/>
  <c r="D160" i="34"/>
  <c r="V159" i="34"/>
  <c r="V158" i="34" s="1"/>
  <c r="V136" i="34" s="1"/>
  <c r="U159" i="34"/>
  <c r="U158" i="34" s="1"/>
  <c r="U136" i="34" s="1"/>
  <c r="T159" i="34"/>
  <c r="T158" i="34" s="1"/>
  <c r="S159" i="34"/>
  <c r="S158" i="34" s="1"/>
  <c r="R159" i="34"/>
  <c r="Q159" i="34"/>
  <c r="P159" i="34"/>
  <c r="O159" i="34"/>
  <c r="N159" i="34"/>
  <c r="N158" i="34" s="1"/>
  <c r="M159" i="34"/>
  <c r="M158" i="34" s="1"/>
  <c r="L159" i="34"/>
  <c r="L158" i="34" s="1"/>
  <c r="K159" i="34"/>
  <c r="J159" i="34"/>
  <c r="I159" i="34"/>
  <c r="H159" i="34"/>
  <c r="G159" i="34"/>
  <c r="F159" i="34"/>
  <c r="F158" i="34" s="1"/>
  <c r="D159" i="34"/>
  <c r="D158" i="34" s="1"/>
  <c r="R158" i="34"/>
  <c r="Q158" i="34"/>
  <c r="P158" i="34"/>
  <c r="J158" i="34"/>
  <c r="I158" i="34"/>
  <c r="H158" i="34"/>
  <c r="AI157" i="34"/>
  <c r="AG157" i="34"/>
  <c r="AF157" i="34"/>
  <c r="AA157" i="34"/>
  <c r="E157" i="34"/>
  <c r="C157" i="34"/>
  <c r="AF156" i="34"/>
  <c r="AA156" i="34"/>
  <c r="E156" i="34"/>
  <c r="AI156" i="34" s="1"/>
  <c r="AF155" i="34"/>
  <c r="AA155" i="34"/>
  <c r="T155" i="34"/>
  <c r="S155" i="34"/>
  <c r="R155" i="34"/>
  <c r="Q155" i="34"/>
  <c r="P155" i="34"/>
  <c r="O155" i="34"/>
  <c r="N155" i="34"/>
  <c r="M155" i="34"/>
  <c r="L155" i="34"/>
  <c r="K155" i="34"/>
  <c r="J155" i="34"/>
  <c r="I155" i="34"/>
  <c r="H155" i="34"/>
  <c r="G155" i="34"/>
  <c r="F155" i="34"/>
  <c r="E155" i="34" s="1"/>
  <c r="D155" i="34"/>
  <c r="AF154" i="34"/>
  <c r="AA154" i="34"/>
  <c r="E154" i="34"/>
  <c r="AF153" i="34"/>
  <c r="AA153" i="34"/>
  <c r="I153" i="34"/>
  <c r="E153" i="34"/>
  <c r="AI153" i="34" s="1"/>
  <c r="AF152" i="34"/>
  <c r="AA152" i="34"/>
  <c r="T152" i="34"/>
  <c r="T136" i="34" s="1"/>
  <c r="S152" i="34"/>
  <c r="R152" i="34"/>
  <c r="Q152" i="34"/>
  <c r="P152" i="34"/>
  <c r="O152" i="34"/>
  <c r="N152" i="34"/>
  <c r="M152" i="34"/>
  <c r="L152" i="34"/>
  <c r="L136" i="34" s="1"/>
  <c r="K152" i="34"/>
  <c r="J152" i="34"/>
  <c r="I152" i="34"/>
  <c r="H152" i="34"/>
  <c r="G152" i="34"/>
  <c r="F152" i="34"/>
  <c r="E152" i="34" s="1"/>
  <c r="D152" i="34"/>
  <c r="AF151" i="34"/>
  <c r="AA151" i="34"/>
  <c r="E151" i="34"/>
  <c r="AI150" i="34"/>
  <c r="AF150" i="34"/>
  <c r="AA150" i="34"/>
  <c r="E150" i="34"/>
  <c r="C150" i="34"/>
  <c r="AF149" i="34"/>
  <c r="AA149" i="34"/>
  <c r="AA136" i="34" s="1"/>
  <c r="T149" i="34"/>
  <c r="S149" i="34"/>
  <c r="R149" i="34"/>
  <c r="Q149" i="34"/>
  <c r="P149" i="34"/>
  <c r="O149" i="34"/>
  <c r="N149" i="34"/>
  <c r="M149" i="34"/>
  <c r="L149" i="34"/>
  <c r="K149" i="34"/>
  <c r="J149" i="34"/>
  <c r="I149" i="34"/>
  <c r="H149" i="34"/>
  <c r="G149" i="34"/>
  <c r="F149" i="34"/>
  <c r="E149" i="34"/>
  <c r="D149" i="34"/>
  <c r="AF148" i="34"/>
  <c r="AA148" i="34"/>
  <c r="E148" i="34"/>
  <c r="AI148" i="34" s="1"/>
  <c r="AI147" i="34"/>
  <c r="AF147" i="34"/>
  <c r="AA147" i="34"/>
  <c r="E147" i="34"/>
  <c r="C147" i="34" s="1"/>
  <c r="AF146" i="34"/>
  <c r="AA146" i="34"/>
  <c r="E146" i="34"/>
  <c r="AF145" i="34"/>
  <c r="AA145" i="34"/>
  <c r="F145" i="34"/>
  <c r="E145" i="34"/>
  <c r="AG145" i="34" s="1"/>
  <c r="AI144" i="34"/>
  <c r="AF144" i="34"/>
  <c r="AA144" i="34"/>
  <c r="E144" i="34"/>
  <c r="C144" i="34" s="1"/>
  <c r="AF143" i="34"/>
  <c r="AA143" i="34"/>
  <c r="T143" i="34"/>
  <c r="S143" i="34"/>
  <c r="R143" i="34"/>
  <c r="Q143" i="34"/>
  <c r="P143" i="34"/>
  <c r="O143" i="34"/>
  <c r="N143" i="34"/>
  <c r="M143" i="34"/>
  <c r="L143" i="34"/>
  <c r="K143" i="34"/>
  <c r="J143" i="34"/>
  <c r="I143" i="34"/>
  <c r="H143" i="34"/>
  <c r="G143" i="34"/>
  <c r="F143" i="34"/>
  <c r="D143" i="34"/>
  <c r="AF142" i="34"/>
  <c r="AA142" i="34"/>
  <c r="F142" i="34"/>
  <c r="E142" i="34"/>
  <c r="AG142" i="34" s="1"/>
  <c r="C142" i="34"/>
  <c r="AF141" i="34"/>
  <c r="AA141" i="34"/>
  <c r="F141" i="34"/>
  <c r="E141" i="34" s="1"/>
  <c r="AF140" i="34"/>
  <c r="AA140" i="34"/>
  <c r="T140" i="34"/>
  <c r="S140" i="34"/>
  <c r="R140" i="34"/>
  <c r="Q140" i="34"/>
  <c r="P140" i="34"/>
  <c r="P136" i="34" s="1"/>
  <c r="O140" i="34"/>
  <c r="N140" i="34"/>
  <c r="N136" i="34" s="1"/>
  <c r="M140" i="34"/>
  <c r="M136" i="34" s="1"/>
  <c r="L140" i="34"/>
  <c r="K140" i="34"/>
  <c r="J140" i="34"/>
  <c r="I140" i="34"/>
  <c r="H140" i="34"/>
  <c r="H136" i="34" s="1"/>
  <c r="G140" i="34"/>
  <c r="D140" i="34"/>
  <c r="AF139" i="34"/>
  <c r="AA139" i="34"/>
  <c r="E139" i="34"/>
  <c r="AG139" i="34" s="1"/>
  <c r="C139" i="34"/>
  <c r="AI138" i="34"/>
  <c r="AF138" i="34"/>
  <c r="AA138" i="34"/>
  <c r="E138" i="34"/>
  <c r="C138" i="34"/>
  <c r="AF137" i="34"/>
  <c r="AA137" i="34"/>
  <c r="T137" i="34"/>
  <c r="S137" i="34"/>
  <c r="R137" i="34"/>
  <c r="Q137" i="34"/>
  <c r="Q136" i="34" s="1"/>
  <c r="P137" i="34"/>
  <c r="O137" i="34"/>
  <c r="N137" i="34"/>
  <c r="M137" i="34"/>
  <c r="L137" i="34"/>
  <c r="K137" i="34"/>
  <c r="J137" i="34"/>
  <c r="I137" i="34"/>
  <c r="I136" i="34" s="1"/>
  <c r="H137" i="34"/>
  <c r="G137" i="34"/>
  <c r="F137" i="34"/>
  <c r="E137" i="34"/>
  <c r="D137" i="34"/>
  <c r="C137" i="34"/>
  <c r="AH136" i="34"/>
  <c r="AG136" i="34"/>
  <c r="AF136" i="34"/>
  <c r="AE136" i="34"/>
  <c r="AD136" i="34"/>
  <c r="AC136" i="34"/>
  <c r="Z136" i="34"/>
  <c r="Y136" i="34"/>
  <c r="X136" i="34"/>
  <c r="W136" i="34"/>
  <c r="L135" i="34"/>
  <c r="E135" i="34"/>
  <c r="C135" i="34" s="1"/>
  <c r="R134" i="34"/>
  <c r="E134" i="34" s="1"/>
  <c r="D134" i="34"/>
  <c r="AF133" i="34"/>
  <c r="AA133" i="34"/>
  <c r="V133" i="34"/>
  <c r="U133" i="34"/>
  <c r="T133" i="34"/>
  <c r="S133" i="34"/>
  <c r="Q133" i="34"/>
  <c r="P133" i="34"/>
  <c r="O133" i="34"/>
  <c r="N133" i="34"/>
  <c r="M133" i="34"/>
  <c r="L133" i="34"/>
  <c r="K133" i="34"/>
  <c r="J133" i="34"/>
  <c r="I133" i="34"/>
  <c r="H133" i="34"/>
  <c r="G133" i="34"/>
  <c r="F133" i="34"/>
  <c r="D133" i="34"/>
  <c r="AF132" i="34"/>
  <c r="AA132" i="34"/>
  <c r="E132" i="34"/>
  <c r="C132" i="34" s="1"/>
  <c r="C131" i="34" s="1"/>
  <c r="AF131" i="34"/>
  <c r="AA131" i="34"/>
  <c r="T131" i="34"/>
  <c r="S131" i="34"/>
  <c r="R131" i="34"/>
  <c r="Q131" i="34"/>
  <c r="P131" i="34"/>
  <c r="O131" i="34"/>
  <c r="N131" i="34"/>
  <c r="M131" i="34"/>
  <c r="L131" i="34"/>
  <c r="K131" i="34"/>
  <c r="J131" i="34"/>
  <c r="I131" i="34"/>
  <c r="H131" i="34"/>
  <c r="G131" i="34"/>
  <c r="F131" i="34"/>
  <c r="D131" i="34"/>
  <c r="AG130" i="34"/>
  <c r="AF130" i="34"/>
  <c r="AA130" i="34"/>
  <c r="E130" i="34"/>
  <c r="C130" i="34" s="1"/>
  <c r="AF129" i="34"/>
  <c r="AA129" i="34"/>
  <c r="E129" i="34"/>
  <c r="AF128" i="34"/>
  <c r="AA128" i="34"/>
  <c r="T128" i="34"/>
  <c r="S128" i="34"/>
  <c r="R128" i="34"/>
  <c r="Q128" i="34"/>
  <c r="P128" i="34"/>
  <c r="O128" i="34"/>
  <c r="N128" i="34"/>
  <c r="M128" i="34"/>
  <c r="L128" i="34"/>
  <c r="K128" i="34"/>
  <c r="J128" i="34"/>
  <c r="I128" i="34"/>
  <c r="H128" i="34"/>
  <c r="G128" i="34"/>
  <c r="F128" i="34"/>
  <c r="D128" i="34"/>
  <c r="AI127" i="34"/>
  <c r="AF127" i="34"/>
  <c r="AA127" i="34"/>
  <c r="E127" i="34"/>
  <c r="C127" i="34"/>
  <c r="AF126" i="34"/>
  <c r="AA126" i="34"/>
  <c r="T126" i="34"/>
  <c r="S126" i="34"/>
  <c r="R126" i="34"/>
  <c r="Q126" i="34"/>
  <c r="P126" i="34"/>
  <c r="O126" i="34"/>
  <c r="N126" i="34"/>
  <c r="M126" i="34"/>
  <c r="L126" i="34"/>
  <c r="K126" i="34"/>
  <c r="J126" i="34"/>
  <c r="I126" i="34"/>
  <c r="H126" i="34"/>
  <c r="G126" i="34"/>
  <c r="F126" i="34"/>
  <c r="E126" i="34"/>
  <c r="D126" i="34"/>
  <c r="C126" i="34"/>
  <c r="AF125" i="34"/>
  <c r="AA125" i="34"/>
  <c r="E125" i="34"/>
  <c r="C125" i="34" s="1"/>
  <c r="C124" i="34" s="1"/>
  <c r="AF124" i="34"/>
  <c r="AA124" i="34"/>
  <c r="T124" i="34"/>
  <c r="S124" i="34"/>
  <c r="R124" i="34"/>
  <c r="Q124" i="34"/>
  <c r="P124" i="34"/>
  <c r="O124" i="34"/>
  <c r="N124" i="34"/>
  <c r="M124" i="34"/>
  <c r="L124" i="34"/>
  <c r="K124" i="34"/>
  <c r="J124" i="34"/>
  <c r="I124" i="34"/>
  <c r="H124" i="34"/>
  <c r="G124" i="34"/>
  <c r="F124" i="34"/>
  <c r="D124" i="34"/>
  <c r="AI123" i="34"/>
  <c r="AF123" i="34"/>
  <c r="AA123" i="34"/>
  <c r="E123" i="34"/>
  <c r="C123" i="34" s="1"/>
  <c r="AF122" i="34"/>
  <c r="AA122" i="34"/>
  <c r="T122" i="34"/>
  <c r="S122" i="34"/>
  <c r="R122" i="34"/>
  <c r="Q122" i="34"/>
  <c r="P122" i="34"/>
  <c r="O122" i="34"/>
  <c r="N122" i="34"/>
  <c r="M122" i="34"/>
  <c r="L122" i="34"/>
  <c r="K122" i="34"/>
  <c r="J122" i="34"/>
  <c r="I122" i="34"/>
  <c r="H122" i="34"/>
  <c r="G122" i="34"/>
  <c r="F122" i="34"/>
  <c r="E122" i="34"/>
  <c r="D122" i="34"/>
  <c r="C122" i="34"/>
  <c r="AF121" i="34"/>
  <c r="AA121" i="34"/>
  <c r="E121" i="34"/>
  <c r="AI121" i="34" s="1"/>
  <c r="C121" i="34"/>
  <c r="C120" i="34" s="1"/>
  <c r="AF120" i="34"/>
  <c r="AA120" i="34"/>
  <c r="T120" i="34"/>
  <c r="S120" i="34"/>
  <c r="R120" i="34"/>
  <c r="Q120" i="34"/>
  <c r="P120" i="34"/>
  <c r="O120" i="34"/>
  <c r="N120" i="34"/>
  <c r="M120" i="34"/>
  <c r="L120" i="34"/>
  <c r="K120" i="34"/>
  <c r="J120" i="34"/>
  <c r="I120" i="34"/>
  <c r="H120" i="34"/>
  <c r="G120" i="34"/>
  <c r="F120" i="34"/>
  <c r="E120" i="34"/>
  <c r="D120" i="34"/>
  <c r="AG119" i="34"/>
  <c r="AF119" i="34"/>
  <c r="AA119" i="34"/>
  <c r="E119" i="34"/>
  <c r="C119" i="34"/>
  <c r="AF118" i="34"/>
  <c r="AA118" i="34"/>
  <c r="E118" i="34"/>
  <c r="C118" i="34" s="1"/>
  <c r="C117" i="34" s="1"/>
  <c r="AF117" i="34"/>
  <c r="AA117" i="34"/>
  <c r="T117" i="34"/>
  <c r="S117" i="34"/>
  <c r="R117" i="34"/>
  <c r="Q117" i="34"/>
  <c r="P117" i="34"/>
  <c r="O117" i="34"/>
  <c r="N117" i="34"/>
  <c r="M117" i="34"/>
  <c r="L117" i="34"/>
  <c r="K117" i="34"/>
  <c r="J117" i="34"/>
  <c r="I117" i="34"/>
  <c r="H117" i="34"/>
  <c r="G117" i="34"/>
  <c r="F117" i="34"/>
  <c r="D117" i="34"/>
  <c r="AG116" i="34"/>
  <c r="AF116" i="34"/>
  <c r="AA116" i="34"/>
  <c r="E116" i="34"/>
  <c r="C116" i="34" s="1"/>
  <c r="AF115" i="34"/>
  <c r="AA115" i="34"/>
  <c r="E115" i="34"/>
  <c r="AF114" i="34"/>
  <c r="AA114" i="34"/>
  <c r="T114" i="34"/>
  <c r="S114" i="34"/>
  <c r="R114" i="34"/>
  <c r="Q114" i="34"/>
  <c r="P114" i="34"/>
  <c r="O114" i="34"/>
  <c r="N114" i="34"/>
  <c r="M114" i="34"/>
  <c r="L114" i="34"/>
  <c r="K114" i="34"/>
  <c r="J114" i="34"/>
  <c r="I114" i="34"/>
  <c r="H114" i="34"/>
  <c r="G114" i="34"/>
  <c r="F114" i="34"/>
  <c r="D114" i="34"/>
  <c r="AG113" i="34"/>
  <c r="AF113" i="34"/>
  <c r="AA113" i="34"/>
  <c r="E113" i="34"/>
  <c r="C113" i="34"/>
  <c r="AF112" i="34"/>
  <c r="AA112" i="34"/>
  <c r="E112" i="34"/>
  <c r="AF111" i="34"/>
  <c r="AA111" i="34"/>
  <c r="T111" i="34"/>
  <c r="S111" i="34"/>
  <c r="R111" i="34"/>
  <c r="Q111" i="34"/>
  <c r="P111" i="34"/>
  <c r="O111" i="34"/>
  <c r="N111" i="34"/>
  <c r="M111" i="34"/>
  <c r="L111" i="34"/>
  <c r="K111" i="34"/>
  <c r="J111" i="34"/>
  <c r="I111" i="34"/>
  <c r="H111" i="34"/>
  <c r="G111" i="34"/>
  <c r="F111" i="34"/>
  <c r="D111" i="34"/>
  <c r="AF110" i="34"/>
  <c r="AA110" i="34"/>
  <c r="E110" i="34"/>
  <c r="AG110" i="34" s="1"/>
  <c r="C110" i="34"/>
  <c r="AF109" i="34"/>
  <c r="AA109" i="34"/>
  <c r="E109" i="34"/>
  <c r="AI109" i="34" s="1"/>
  <c r="C109" i="34"/>
  <c r="AF108" i="34"/>
  <c r="AA108" i="34"/>
  <c r="T108" i="34"/>
  <c r="S108" i="34"/>
  <c r="R108" i="34"/>
  <c r="Q108" i="34"/>
  <c r="P108" i="34"/>
  <c r="O108" i="34"/>
  <c r="N108" i="34"/>
  <c r="M108" i="34"/>
  <c r="L108" i="34"/>
  <c r="K108" i="34"/>
  <c r="J108" i="34"/>
  <c r="I108" i="34"/>
  <c r="H108" i="34"/>
  <c r="G108" i="34"/>
  <c r="F108" i="34"/>
  <c r="E108" i="34"/>
  <c r="D108" i="34"/>
  <c r="AG107" i="34"/>
  <c r="AF107" i="34"/>
  <c r="AA107" i="34"/>
  <c r="E107" i="34"/>
  <c r="C107" i="34"/>
  <c r="AF106" i="34"/>
  <c r="AA106" i="34"/>
  <c r="T106" i="34"/>
  <c r="E106" i="34" s="1"/>
  <c r="AF105" i="34"/>
  <c r="AA105" i="34"/>
  <c r="S105" i="34"/>
  <c r="R105" i="34"/>
  <c r="Q105" i="34"/>
  <c r="P105" i="34"/>
  <c r="O105" i="34"/>
  <c r="N105" i="34"/>
  <c r="M105" i="34"/>
  <c r="L105" i="34"/>
  <c r="K105" i="34"/>
  <c r="J105" i="34"/>
  <c r="I105" i="34"/>
  <c r="H105" i="34"/>
  <c r="G105" i="34"/>
  <c r="F105" i="34"/>
  <c r="E105" i="34"/>
  <c r="D105" i="34"/>
  <c r="AF104" i="34"/>
  <c r="AA104" i="34"/>
  <c r="E104" i="34"/>
  <c r="AI104" i="34" s="1"/>
  <c r="C104" i="34"/>
  <c r="C103" i="34" s="1"/>
  <c r="AF103" i="34"/>
  <c r="AA103" i="34"/>
  <c r="T103" i="34"/>
  <c r="S103" i="34"/>
  <c r="R103" i="34"/>
  <c r="Q103" i="34"/>
  <c r="P103" i="34"/>
  <c r="O103" i="34"/>
  <c r="N103" i="34"/>
  <c r="M103" i="34"/>
  <c r="L103" i="34"/>
  <c r="K103" i="34"/>
  <c r="J103" i="34"/>
  <c r="I103" i="34"/>
  <c r="H103" i="34"/>
  <c r="G103" i="34"/>
  <c r="F103" i="34"/>
  <c r="E103" i="34"/>
  <c r="D103" i="34"/>
  <c r="AG102" i="34"/>
  <c r="AF102" i="34"/>
  <c r="AA102" i="34"/>
  <c r="E102" i="34"/>
  <c r="C102" i="34"/>
  <c r="AF101" i="34"/>
  <c r="AA101" i="34"/>
  <c r="T101" i="34"/>
  <c r="E101" i="34" s="1"/>
  <c r="AF100" i="34"/>
  <c r="AA100" i="34"/>
  <c r="S100" i="34"/>
  <c r="R100" i="34"/>
  <c r="Q100" i="34"/>
  <c r="P100" i="34"/>
  <c r="O100" i="34"/>
  <c r="N100" i="34"/>
  <c r="M100" i="34"/>
  <c r="L100" i="34"/>
  <c r="K100" i="34"/>
  <c r="J100" i="34"/>
  <c r="I100" i="34"/>
  <c r="H100" i="34"/>
  <c r="G100" i="34"/>
  <c r="F100" i="34"/>
  <c r="E100" i="34"/>
  <c r="D100" i="34"/>
  <c r="AF99" i="34"/>
  <c r="AA99" i="34"/>
  <c r="R99" i="34"/>
  <c r="E99" i="34"/>
  <c r="AG99" i="34" s="1"/>
  <c r="C99" i="34"/>
  <c r="AF98" i="34"/>
  <c r="AA98" i="34"/>
  <c r="E98" i="34"/>
  <c r="C98" i="34" s="1"/>
  <c r="C97" i="34" s="1"/>
  <c r="AF97" i="34"/>
  <c r="AA97" i="34"/>
  <c r="T97" i="34"/>
  <c r="S97" i="34"/>
  <c r="R97" i="34"/>
  <c r="Q97" i="34"/>
  <c r="P97" i="34"/>
  <c r="O97" i="34"/>
  <c r="N97" i="34"/>
  <c r="M97" i="34"/>
  <c r="L97" i="34"/>
  <c r="K97" i="34"/>
  <c r="J97" i="34"/>
  <c r="I97" i="34"/>
  <c r="H97" i="34"/>
  <c r="G97" i="34"/>
  <c r="F97" i="34"/>
  <c r="D97" i="34"/>
  <c r="AG96" i="34"/>
  <c r="AF96" i="34"/>
  <c r="AA96" i="34"/>
  <c r="E96" i="34"/>
  <c r="C96" i="34" s="1"/>
  <c r="AF95" i="34"/>
  <c r="AA95" i="34"/>
  <c r="E95" i="34"/>
  <c r="AF94" i="34"/>
  <c r="AA94" i="34"/>
  <c r="T94" i="34"/>
  <c r="S94" i="34"/>
  <c r="R94" i="34"/>
  <c r="Q94" i="34"/>
  <c r="P94" i="34"/>
  <c r="O94" i="34"/>
  <c r="N94" i="34"/>
  <c r="M94" i="34"/>
  <c r="L94" i="34"/>
  <c r="K94" i="34"/>
  <c r="J94" i="34"/>
  <c r="J63" i="34" s="1"/>
  <c r="I94" i="34"/>
  <c r="H94" i="34"/>
  <c r="G94" i="34"/>
  <c r="F94" i="34"/>
  <c r="D94" i="34"/>
  <c r="AG93" i="34"/>
  <c r="AF93" i="34"/>
  <c r="AA93" i="34"/>
  <c r="R93" i="34"/>
  <c r="E93" i="34"/>
  <c r="C93" i="34" s="1"/>
  <c r="AF92" i="34"/>
  <c r="AA92" i="34"/>
  <c r="E92" i="34"/>
  <c r="AI92" i="34" s="1"/>
  <c r="C92" i="34"/>
  <c r="C91" i="34" s="1"/>
  <c r="AF91" i="34"/>
  <c r="AA91" i="34"/>
  <c r="T91" i="34"/>
  <c r="S91" i="34"/>
  <c r="R91" i="34"/>
  <c r="Q91" i="34"/>
  <c r="P91" i="34"/>
  <c r="O91" i="34"/>
  <c r="N91" i="34"/>
  <c r="M91" i="34"/>
  <c r="L91" i="34"/>
  <c r="K91" i="34"/>
  <c r="J91" i="34"/>
  <c r="I91" i="34"/>
  <c r="H91" i="34"/>
  <c r="G91" i="34"/>
  <c r="F91" i="34"/>
  <c r="E91" i="34"/>
  <c r="D91" i="34"/>
  <c r="AF90" i="34"/>
  <c r="AA90" i="34"/>
  <c r="R90" i="34"/>
  <c r="AF89" i="34"/>
  <c r="AA89" i="34"/>
  <c r="E89" i="34"/>
  <c r="AF88" i="34"/>
  <c r="AA88" i="34"/>
  <c r="T88" i="34"/>
  <c r="S88" i="34"/>
  <c r="Q88" i="34"/>
  <c r="P88" i="34"/>
  <c r="O88" i="34"/>
  <c r="N88" i="34"/>
  <c r="M88" i="34"/>
  <c r="L88" i="34"/>
  <c r="K88" i="34"/>
  <c r="J88" i="34"/>
  <c r="I88" i="34"/>
  <c r="H88" i="34"/>
  <c r="G88" i="34"/>
  <c r="F88" i="34"/>
  <c r="D88" i="34"/>
  <c r="AI87" i="34"/>
  <c r="AF87" i="34"/>
  <c r="AG87" i="34" s="1"/>
  <c r="AA87" i="34"/>
  <c r="AI86" i="34"/>
  <c r="AF86" i="34"/>
  <c r="AG86" i="34" s="1"/>
  <c r="AA86" i="34"/>
  <c r="AF85" i="34"/>
  <c r="AA85" i="34"/>
  <c r="E85" i="34"/>
  <c r="AG85" i="34" s="1"/>
  <c r="C85" i="34"/>
  <c r="AF84" i="34"/>
  <c r="AA84" i="34"/>
  <c r="E84" i="34"/>
  <c r="AI84" i="34" s="1"/>
  <c r="C84" i="34"/>
  <c r="C83" i="34" s="1"/>
  <c r="AF83" i="34"/>
  <c r="AA83" i="34"/>
  <c r="T83" i="34"/>
  <c r="S83" i="34"/>
  <c r="R83" i="34"/>
  <c r="Q83" i="34"/>
  <c r="P83" i="34"/>
  <c r="O83" i="34"/>
  <c r="N83" i="34"/>
  <c r="M83" i="34"/>
  <c r="L83" i="34"/>
  <c r="K83" i="34"/>
  <c r="J83" i="34"/>
  <c r="I83" i="34"/>
  <c r="H83" i="34"/>
  <c r="G83" i="34"/>
  <c r="F83" i="34"/>
  <c r="E83" i="34"/>
  <c r="D83" i="34"/>
  <c r="AF82" i="34"/>
  <c r="AA82" i="34"/>
  <c r="R82" i="34"/>
  <c r="O82" i="34"/>
  <c r="AF81" i="34"/>
  <c r="AA81" i="34"/>
  <c r="E81" i="34"/>
  <c r="AI81" i="34" s="1"/>
  <c r="C81" i="34"/>
  <c r="AF80" i="34"/>
  <c r="AA80" i="34"/>
  <c r="T80" i="34"/>
  <c r="S80" i="34"/>
  <c r="R80" i="34"/>
  <c r="Q80" i="34"/>
  <c r="P80" i="34"/>
  <c r="N80" i="34"/>
  <c r="M80" i="34"/>
  <c r="L80" i="34"/>
  <c r="K80" i="34"/>
  <c r="J80" i="34"/>
  <c r="I80" i="34"/>
  <c r="H80" i="34"/>
  <c r="G80" i="34"/>
  <c r="F80" i="34"/>
  <c r="D80" i="34"/>
  <c r="AF79" i="34"/>
  <c r="AA79" i="34"/>
  <c r="R79" i="34"/>
  <c r="R77" i="34" s="1"/>
  <c r="E79" i="34"/>
  <c r="AI78" i="34"/>
  <c r="AF78" i="34"/>
  <c r="AA78" i="34"/>
  <c r="E78" i="34"/>
  <c r="C78" i="34"/>
  <c r="AF77" i="34"/>
  <c r="AA77" i="34"/>
  <c r="T77" i="34"/>
  <c r="S77" i="34"/>
  <c r="Q77" i="34"/>
  <c r="P77" i="34"/>
  <c r="O77" i="34"/>
  <c r="N77" i="34"/>
  <c r="M77" i="34"/>
  <c r="L77" i="34"/>
  <c r="K77" i="34"/>
  <c r="J77" i="34"/>
  <c r="I77" i="34"/>
  <c r="H77" i="34"/>
  <c r="G77" i="34"/>
  <c r="F77" i="34"/>
  <c r="E77" i="34"/>
  <c r="D77" i="34"/>
  <c r="AF76" i="34"/>
  <c r="AA76" i="34"/>
  <c r="R76" i="34"/>
  <c r="E76" i="34"/>
  <c r="AG76" i="34" s="1"/>
  <c r="C76" i="34"/>
  <c r="AF75" i="34"/>
  <c r="AA75" i="34"/>
  <c r="E75" i="34"/>
  <c r="C75" i="34" s="1"/>
  <c r="C74" i="34" s="1"/>
  <c r="AF74" i="34"/>
  <c r="AA74" i="34"/>
  <c r="T74" i="34"/>
  <c r="T64" i="34" s="1"/>
  <c r="S74" i="34"/>
  <c r="R74" i="34"/>
  <c r="Q74" i="34"/>
  <c r="P74" i="34"/>
  <c r="O74" i="34"/>
  <c r="N74" i="34"/>
  <c r="M74" i="34"/>
  <c r="L74" i="34"/>
  <c r="L64" i="34" s="1"/>
  <c r="L63" i="34" s="1"/>
  <c r="K74" i="34"/>
  <c r="J74" i="34"/>
  <c r="I74" i="34"/>
  <c r="H74" i="34"/>
  <c r="G74" i="34"/>
  <c r="F74" i="34"/>
  <c r="D74" i="34"/>
  <c r="D64" i="34" s="1"/>
  <c r="AG73" i="34"/>
  <c r="AF73" i="34"/>
  <c r="AA73" i="34"/>
  <c r="R73" i="34"/>
  <c r="E73" i="34"/>
  <c r="C73" i="34"/>
  <c r="AI72" i="34"/>
  <c r="AF72" i="34"/>
  <c r="AA72" i="34"/>
  <c r="E72" i="34"/>
  <c r="C72" i="34"/>
  <c r="AF71" i="34"/>
  <c r="AA71" i="34"/>
  <c r="T71" i="34"/>
  <c r="S71" i="34"/>
  <c r="S64" i="34" s="1"/>
  <c r="S63" i="34" s="1"/>
  <c r="R71" i="34"/>
  <c r="Q71" i="34"/>
  <c r="P71" i="34"/>
  <c r="O71" i="34"/>
  <c r="N71" i="34"/>
  <c r="M71" i="34"/>
  <c r="L71" i="34"/>
  <c r="K71" i="34"/>
  <c r="K64" i="34" s="1"/>
  <c r="K63" i="34" s="1"/>
  <c r="J71" i="34"/>
  <c r="I71" i="34"/>
  <c r="H71" i="34"/>
  <c r="G71" i="34"/>
  <c r="F71" i="34"/>
  <c r="E71" i="34"/>
  <c r="D71" i="34"/>
  <c r="C71" i="34"/>
  <c r="AF70" i="34"/>
  <c r="AA70" i="34"/>
  <c r="R70" i="34"/>
  <c r="E70" i="34" s="1"/>
  <c r="AF69" i="34"/>
  <c r="AA69" i="34"/>
  <c r="E69" i="34"/>
  <c r="AF68" i="34"/>
  <c r="AA68" i="34"/>
  <c r="T68" i="34"/>
  <c r="S68" i="34"/>
  <c r="R68" i="34"/>
  <c r="Q68" i="34"/>
  <c r="P68" i="34"/>
  <c r="O68" i="34"/>
  <c r="N68" i="34"/>
  <c r="N64" i="34" s="1"/>
  <c r="M68" i="34"/>
  <c r="L68" i="34"/>
  <c r="K68" i="34"/>
  <c r="J68" i="34"/>
  <c r="I68" i="34"/>
  <c r="H68" i="34"/>
  <c r="G68" i="34"/>
  <c r="F68" i="34"/>
  <c r="F64" i="34" s="1"/>
  <c r="D68" i="34"/>
  <c r="AG67" i="34"/>
  <c r="AF67" i="34"/>
  <c r="AA67" i="34"/>
  <c r="R67" i="34"/>
  <c r="E67" i="34"/>
  <c r="C67" i="34" s="1"/>
  <c r="AF66" i="34"/>
  <c r="AA66" i="34"/>
  <c r="E66" i="34"/>
  <c r="AI66" i="34" s="1"/>
  <c r="C66" i="34"/>
  <c r="C65" i="34" s="1"/>
  <c r="AF65" i="34"/>
  <c r="AA65" i="34"/>
  <c r="T65" i="34"/>
  <c r="S65" i="34"/>
  <c r="R65" i="34"/>
  <c r="R64" i="34" s="1"/>
  <c r="Q65" i="34"/>
  <c r="P65" i="34"/>
  <c r="P64" i="34" s="1"/>
  <c r="P63" i="34" s="1"/>
  <c r="O65" i="34"/>
  <c r="O64" i="34" s="1"/>
  <c r="N65" i="34"/>
  <c r="M65" i="34"/>
  <c r="L65" i="34"/>
  <c r="K65" i="34"/>
  <c r="J65" i="34"/>
  <c r="J64" i="34" s="1"/>
  <c r="I65" i="34"/>
  <c r="I64" i="34" s="1"/>
  <c r="I63" i="34" s="1"/>
  <c r="H65" i="34"/>
  <c r="H64" i="34" s="1"/>
  <c r="H63" i="34" s="1"/>
  <c r="G65" i="34"/>
  <c r="G64" i="34" s="1"/>
  <c r="F65" i="34"/>
  <c r="D65" i="34"/>
  <c r="AF64" i="34"/>
  <c r="AA64" i="34"/>
  <c r="Q64" i="34"/>
  <c r="Q63" i="34" s="1"/>
  <c r="M64" i="34"/>
  <c r="AF63" i="34"/>
  <c r="AA63" i="34"/>
  <c r="V63" i="34"/>
  <c r="U63" i="34"/>
  <c r="D63" i="34"/>
  <c r="AI62" i="34"/>
  <c r="AF62" i="34"/>
  <c r="AG62" i="34" s="1"/>
  <c r="AA62" i="34"/>
  <c r="AI61" i="34"/>
  <c r="AF61" i="34"/>
  <c r="AG61" i="34" s="1"/>
  <c r="AA61" i="34"/>
  <c r="AG60" i="34"/>
  <c r="AF60" i="34"/>
  <c r="AA60" i="34"/>
  <c r="E60" i="34"/>
  <c r="C60" i="34"/>
  <c r="AF59" i="34"/>
  <c r="AA59" i="34"/>
  <c r="T59" i="34"/>
  <c r="S59" i="34"/>
  <c r="R59" i="34"/>
  <c r="Q59" i="34"/>
  <c r="P59" i="34"/>
  <c r="O59" i="34"/>
  <c r="N59" i="34"/>
  <c r="M59" i="34"/>
  <c r="L59" i="34"/>
  <c r="K59" i="34"/>
  <c r="J59" i="34"/>
  <c r="I59" i="34"/>
  <c r="H59" i="34"/>
  <c r="G59" i="34"/>
  <c r="F59" i="34"/>
  <c r="E59" i="34"/>
  <c r="D59" i="34"/>
  <c r="C59" i="34"/>
  <c r="AF58" i="34"/>
  <c r="AA58" i="34"/>
  <c r="R58" i="34"/>
  <c r="E58" i="34"/>
  <c r="C58" i="34"/>
  <c r="AF57" i="34"/>
  <c r="AA57" i="34"/>
  <c r="E57" i="34"/>
  <c r="AF56" i="34"/>
  <c r="AA56" i="34"/>
  <c r="T56" i="34"/>
  <c r="S56" i="34"/>
  <c r="R56" i="34"/>
  <c r="Q56" i="34"/>
  <c r="P56" i="34"/>
  <c r="O56" i="34"/>
  <c r="N56" i="34"/>
  <c r="M56" i="34"/>
  <c r="L56" i="34"/>
  <c r="K56" i="34"/>
  <c r="J56" i="34"/>
  <c r="I56" i="34"/>
  <c r="H56" i="34"/>
  <c r="G56" i="34"/>
  <c r="F56" i="34"/>
  <c r="D56" i="34"/>
  <c r="AG55" i="34"/>
  <c r="AF55" i="34"/>
  <c r="AA55" i="34"/>
  <c r="W55" i="34"/>
  <c r="R55" i="34"/>
  <c r="E55" i="34"/>
  <c r="C55" i="34"/>
  <c r="AF54" i="34"/>
  <c r="AA54" i="34"/>
  <c r="R54" i="34"/>
  <c r="AF53" i="34"/>
  <c r="AA53" i="34"/>
  <c r="T53" i="34"/>
  <c r="S53" i="34"/>
  <c r="Q53" i="34"/>
  <c r="P53" i="34"/>
  <c r="O53" i="34"/>
  <c r="N53" i="34"/>
  <c r="M53" i="34"/>
  <c r="L53" i="34"/>
  <c r="K53" i="34"/>
  <c r="J53" i="34"/>
  <c r="I53" i="34"/>
  <c r="H53" i="34"/>
  <c r="G53" i="34"/>
  <c r="F53" i="34"/>
  <c r="D53" i="34"/>
  <c r="AF52" i="34"/>
  <c r="W52" i="34"/>
  <c r="AA52" i="34" s="1"/>
  <c r="R52" i="34"/>
  <c r="E52" i="34"/>
  <c r="AI51" i="34"/>
  <c r="AF51" i="34"/>
  <c r="AA51" i="34"/>
  <c r="U51" i="34"/>
  <c r="R51" i="34"/>
  <c r="R50" i="34" s="1"/>
  <c r="E51" i="34"/>
  <c r="C51" i="34"/>
  <c r="AF50" i="34"/>
  <c r="AA50" i="34"/>
  <c r="T50" i="34"/>
  <c r="S50" i="34"/>
  <c r="Q50" i="34"/>
  <c r="P50" i="34"/>
  <c r="O50" i="34"/>
  <c r="N50" i="34"/>
  <c r="M50" i="34"/>
  <c r="L50" i="34"/>
  <c r="K50" i="34"/>
  <c r="J50" i="34"/>
  <c r="I50" i="34"/>
  <c r="H50" i="34"/>
  <c r="G50" i="34"/>
  <c r="F50" i="34"/>
  <c r="E50" i="34"/>
  <c r="D50" i="34"/>
  <c r="AF49" i="34"/>
  <c r="W49" i="34"/>
  <c r="AA49" i="34" s="1"/>
  <c r="T49" i="34"/>
  <c r="T47" i="34" s="1"/>
  <c r="R49" i="34"/>
  <c r="O49" i="34"/>
  <c r="AF48" i="34"/>
  <c r="AA48" i="34"/>
  <c r="R48" i="34"/>
  <c r="E48" i="34"/>
  <c r="AF47" i="34"/>
  <c r="AA47" i="34"/>
  <c r="S47" i="34"/>
  <c r="Q47" i="34"/>
  <c r="P47" i="34"/>
  <c r="O47" i="34"/>
  <c r="N47" i="34"/>
  <c r="M47" i="34"/>
  <c r="L47" i="34"/>
  <c r="K47" i="34"/>
  <c r="J47" i="34"/>
  <c r="I47" i="34"/>
  <c r="H47" i="34"/>
  <c r="G47" i="34"/>
  <c r="F47" i="34"/>
  <c r="D47" i="34"/>
  <c r="AF46" i="34"/>
  <c r="AA46" i="34"/>
  <c r="Y46" i="34"/>
  <c r="W46" i="34"/>
  <c r="R46" i="34"/>
  <c r="O46" i="34"/>
  <c r="K46" i="34"/>
  <c r="E46" i="34"/>
  <c r="C46" i="34" s="1"/>
  <c r="AI45" i="34"/>
  <c r="AF45" i="34"/>
  <c r="AA45" i="34"/>
  <c r="R45" i="34"/>
  <c r="M45" i="34"/>
  <c r="M44" i="34" s="1"/>
  <c r="K45" i="34"/>
  <c r="K44" i="34" s="1"/>
  <c r="E45" i="34"/>
  <c r="AF44" i="34"/>
  <c r="AA44" i="34"/>
  <c r="T44" i="34"/>
  <c r="S44" i="34"/>
  <c r="R44" i="34"/>
  <c r="Q44" i="34"/>
  <c r="P44" i="34"/>
  <c r="O44" i="34"/>
  <c r="N44" i="34"/>
  <c r="N13" i="34" s="1"/>
  <c r="L44" i="34"/>
  <c r="J44" i="34"/>
  <c r="I44" i="34"/>
  <c r="H44" i="34"/>
  <c r="G44" i="34"/>
  <c r="F44" i="34"/>
  <c r="F13" i="34" s="1"/>
  <c r="D44" i="34"/>
  <c r="AF43" i="34"/>
  <c r="AA43" i="34"/>
  <c r="W43" i="34"/>
  <c r="R43" i="34"/>
  <c r="R41" i="34" s="1"/>
  <c r="J43" i="34"/>
  <c r="E43" i="34"/>
  <c r="AF42" i="34"/>
  <c r="AA42" i="34"/>
  <c r="U42" i="34"/>
  <c r="R42" i="34"/>
  <c r="J42" i="34"/>
  <c r="AF41" i="34"/>
  <c r="AA41" i="34"/>
  <c r="T41" i="34"/>
  <c r="S41" i="34"/>
  <c r="Q41" i="34"/>
  <c r="P41" i="34"/>
  <c r="O41" i="34"/>
  <c r="N41" i="34"/>
  <c r="M41" i="34"/>
  <c r="L41" i="34"/>
  <c r="K41" i="34"/>
  <c r="I41" i="34"/>
  <c r="H41" i="34"/>
  <c r="G41" i="34"/>
  <c r="F41" i="34"/>
  <c r="D41" i="34"/>
  <c r="AF40" i="34"/>
  <c r="W40" i="34"/>
  <c r="AA40" i="34" s="1"/>
  <c r="R40" i="34"/>
  <c r="F40" i="34"/>
  <c r="E40" i="34"/>
  <c r="AG40" i="34" s="1"/>
  <c r="C40" i="34"/>
  <c r="AF39" i="34"/>
  <c r="AA39" i="34"/>
  <c r="U39" i="34"/>
  <c r="R39" i="34"/>
  <c r="F39" i="34"/>
  <c r="E39" i="34"/>
  <c r="AI39" i="34" s="1"/>
  <c r="C39" i="34"/>
  <c r="C38" i="34" s="1"/>
  <c r="AF38" i="34"/>
  <c r="AA38" i="34"/>
  <c r="T38" i="34"/>
  <c r="S38" i="34"/>
  <c r="R38" i="34"/>
  <c r="Q38" i="34"/>
  <c r="P38" i="34"/>
  <c r="O38" i="34"/>
  <c r="N38" i="34"/>
  <c r="M38" i="34"/>
  <c r="L38" i="34"/>
  <c r="K38" i="34"/>
  <c r="J38" i="34"/>
  <c r="I38" i="34"/>
  <c r="H38" i="34"/>
  <c r="G38" i="34"/>
  <c r="F38" i="34"/>
  <c r="E38" i="34"/>
  <c r="D38" i="34"/>
  <c r="AE37" i="34"/>
  <c r="AF37" i="34" s="1"/>
  <c r="AA37" i="34"/>
  <c r="W37" i="34"/>
  <c r="R37" i="34"/>
  <c r="P37" i="34"/>
  <c r="O37" i="34"/>
  <c r="I37" i="34"/>
  <c r="D37" i="34"/>
  <c r="AF36" i="34"/>
  <c r="AA36" i="34"/>
  <c r="R36" i="34"/>
  <c r="O36" i="34"/>
  <c r="D36" i="34"/>
  <c r="D35" i="34" s="1"/>
  <c r="AF35" i="34"/>
  <c r="AA35" i="34"/>
  <c r="T35" i="34"/>
  <c r="S35" i="34"/>
  <c r="Q35" i="34"/>
  <c r="P35" i="34"/>
  <c r="O35" i="34"/>
  <c r="N35" i="34"/>
  <c r="M35" i="34"/>
  <c r="L35" i="34"/>
  <c r="K35" i="34"/>
  <c r="J35" i="34"/>
  <c r="I35" i="34"/>
  <c r="H35" i="34"/>
  <c r="G35" i="34"/>
  <c r="F35" i="34"/>
  <c r="AF34" i="34"/>
  <c r="AA34" i="34"/>
  <c r="R34" i="34"/>
  <c r="R32" i="34" s="1"/>
  <c r="O34" i="34"/>
  <c r="AF33" i="34"/>
  <c r="AA33" i="34"/>
  <c r="R33" i="34"/>
  <c r="O33" i="34"/>
  <c r="AF32" i="34"/>
  <c r="AA32" i="34"/>
  <c r="T32" i="34"/>
  <c r="S32" i="34"/>
  <c r="Q32" i="34"/>
  <c r="P32" i="34"/>
  <c r="O32" i="34"/>
  <c r="N32" i="34"/>
  <c r="M32" i="34"/>
  <c r="L32" i="34"/>
  <c r="K32" i="34"/>
  <c r="J32" i="34"/>
  <c r="I32" i="34"/>
  <c r="H32" i="34"/>
  <c r="G32" i="34"/>
  <c r="F32" i="34"/>
  <c r="D32" i="34"/>
  <c r="AF31" i="34"/>
  <c r="W31" i="34"/>
  <c r="AA31" i="34" s="1"/>
  <c r="R31" i="34"/>
  <c r="K31" i="34"/>
  <c r="E31" i="34" s="1"/>
  <c r="G31" i="34"/>
  <c r="AI30" i="34"/>
  <c r="AF30" i="34"/>
  <c r="AA30" i="34"/>
  <c r="R30" i="34"/>
  <c r="K30" i="34"/>
  <c r="E30" i="34" s="1"/>
  <c r="C30" i="34" s="1"/>
  <c r="AF29" i="34"/>
  <c r="AA29" i="34"/>
  <c r="T29" i="34"/>
  <c r="S29" i="34"/>
  <c r="R29" i="34"/>
  <c r="Q29" i="34"/>
  <c r="P29" i="34"/>
  <c r="O29" i="34"/>
  <c r="N29" i="34"/>
  <c r="M29" i="34"/>
  <c r="L29" i="34"/>
  <c r="K29" i="34"/>
  <c r="J29" i="34"/>
  <c r="I29" i="34"/>
  <c r="H29" i="34"/>
  <c r="G29" i="34"/>
  <c r="F29" i="34"/>
  <c r="D29" i="34"/>
  <c r="AF28" i="34"/>
  <c r="W28" i="34"/>
  <c r="AA28" i="34" s="1"/>
  <c r="R28" i="34"/>
  <c r="O28" i="34"/>
  <c r="E28" i="34" s="1"/>
  <c r="C28" i="34"/>
  <c r="AF27" i="34"/>
  <c r="AA27" i="34"/>
  <c r="R27" i="34"/>
  <c r="R26" i="34" s="1"/>
  <c r="E27" i="34"/>
  <c r="AI27" i="34" s="1"/>
  <c r="C27" i="34"/>
  <c r="AF26" i="34"/>
  <c r="AA26" i="34"/>
  <c r="T26" i="34"/>
  <c r="S26" i="34"/>
  <c r="Q26" i="34"/>
  <c r="P26" i="34"/>
  <c r="O26" i="34"/>
  <c r="N26" i="34"/>
  <c r="M26" i="34"/>
  <c r="L26" i="34"/>
  <c r="K26" i="34"/>
  <c r="J26" i="34"/>
  <c r="I26" i="34"/>
  <c r="H26" i="34"/>
  <c r="G26" i="34"/>
  <c r="F26" i="34"/>
  <c r="D26" i="34"/>
  <c r="C26" i="34"/>
  <c r="AF25" i="34"/>
  <c r="W25" i="34"/>
  <c r="AA25" i="34" s="1"/>
  <c r="R25" i="34"/>
  <c r="R23" i="34" s="1"/>
  <c r="E25" i="34"/>
  <c r="AI24" i="34"/>
  <c r="AF24" i="34"/>
  <c r="AA24" i="34"/>
  <c r="E24" i="34"/>
  <c r="C24" i="34"/>
  <c r="AF23" i="34"/>
  <c r="AA23" i="34"/>
  <c r="T23" i="34"/>
  <c r="S23" i="34"/>
  <c r="Q23" i="34"/>
  <c r="P23" i="34"/>
  <c r="O23" i="34"/>
  <c r="N23" i="34"/>
  <c r="M23" i="34"/>
  <c r="M13" i="34" s="1"/>
  <c r="L23" i="34"/>
  <c r="K23" i="34"/>
  <c r="J23" i="34"/>
  <c r="I23" i="34"/>
  <c r="H23" i="34"/>
  <c r="G23" i="34"/>
  <c r="F23" i="34"/>
  <c r="E23" i="34"/>
  <c r="D23" i="34"/>
  <c r="AF22" i="34"/>
  <c r="W22" i="34"/>
  <c r="AA22" i="34" s="1"/>
  <c r="R22" i="34"/>
  <c r="O22" i="34"/>
  <c r="O20" i="34" s="1"/>
  <c r="N22" i="34"/>
  <c r="E22" i="34"/>
  <c r="AF21" i="34"/>
  <c r="AA21" i="34"/>
  <c r="R21" i="34"/>
  <c r="E21" i="34"/>
  <c r="AF20" i="34"/>
  <c r="AA20" i="34"/>
  <c r="T20" i="34"/>
  <c r="S20" i="34"/>
  <c r="R20" i="34"/>
  <c r="Q20" i="34"/>
  <c r="P20" i="34"/>
  <c r="N20" i="34"/>
  <c r="M20" i="34"/>
  <c r="L20" i="34"/>
  <c r="K20" i="34"/>
  <c r="J20" i="34"/>
  <c r="I20" i="34"/>
  <c r="H20" i="34"/>
  <c r="H13" i="34" s="1"/>
  <c r="G20" i="34"/>
  <c r="F20" i="34"/>
  <c r="D20" i="34"/>
  <c r="AF19" i="34"/>
  <c r="AA19" i="34"/>
  <c r="AA12" i="34" s="1"/>
  <c r="Y19" i="34"/>
  <c r="W19" i="34"/>
  <c r="R19" i="34"/>
  <c r="O19" i="34"/>
  <c r="K19" i="34"/>
  <c r="K17" i="34" s="1"/>
  <c r="E19" i="34"/>
  <c r="AI18" i="34"/>
  <c r="AF18" i="34"/>
  <c r="AA18" i="34"/>
  <c r="R18" i="34"/>
  <c r="E18" i="34"/>
  <c r="C18" i="34"/>
  <c r="AF17" i="34"/>
  <c r="AA17" i="34"/>
  <c r="T17" i="34"/>
  <c r="S17" i="34"/>
  <c r="R17" i="34"/>
  <c r="Q17" i="34"/>
  <c r="P17" i="34"/>
  <c r="O17" i="34"/>
  <c r="N17" i="34"/>
  <c r="M17" i="34"/>
  <c r="L17" i="34"/>
  <c r="L13" i="34" s="1"/>
  <c r="J17" i="34"/>
  <c r="I17" i="34"/>
  <c r="H17" i="34"/>
  <c r="G17" i="34"/>
  <c r="F17" i="34"/>
  <c r="D17" i="34"/>
  <c r="AG16" i="34"/>
  <c r="AF16" i="34"/>
  <c r="AA16" i="34"/>
  <c r="R16" i="34"/>
  <c r="R14" i="34" s="1"/>
  <c r="E16" i="34"/>
  <c r="C16" i="34" s="1"/>
  <c r="AA15" i="34"/>
  <c r="E15" i="34"/>
  <c r="AA14" i="34"/>
  <c r="T14" i="34"/>
  <c r="S14" i="34"/>
  <c r="S13" i="34" s="1"/>
  <c r="Q14" i="34"/>
  <c r="P14" i="34"/>
  <c r="O14" i="34"/>
  <c r="N14" i="34"/>
  <c r="M14" i="34"/>
  <c r="L14" i="34"/>
  <c r="K14" i="34"/>
  <c r="J14" i="34"/>
  <c r="I14" i="34"/>
  <c r="H14" i="34"/>
  <c r="G14" i="34"/>
  <c r="F14" i="34"/>
  <c r="D14" i="34"/>
  <c r="AA13" i="34"/>
  <c r="T13" i="34"/>
  <c r="D13" i="34"/>
  <c r="AE12" i="34"/>
  <c r="AD12" i="34"/>
  <c r="AC12" i="34"/>
  <c r="AC10" i="34" s="1"/>
  <c r="Z12" i="34"/>
  <c r="Y12" i="34"/>
  <c r="X12" i="34"/>
  <c r="V12" i="34"/>
  <c r="U12" i="34"/>
  <c r="T12" i="34"/>
  <c r="S12" i="34"/>
  <c r="Q12" i="34"/>
  <c r="P12" i="34"/>
  <c r="N12" i="34"/>
  <c r="M12" i="34"/>
  <c r="M10" i="34" s="1"/>
  <c r="L12" i="34"/>
  <c r="K12" i="34"/>
  <c r="J12" i="34"/>
  <c r="I12" i="34"/>
  <c r="H12" i="34"/>
  <c r="F12" i="34"/>
  <c r="D12" i="34"/>
  <c r="D10" i="34" s="1"/>
  <c r="AA11" i="34"/>
  <c r="Y11" i="34"/>
  <c r="X11" i="34"/>
  <c r="W11" i="34"/>
  <c r="V11" i="34"/>
  <c r="T11" i="34"/>
  <c r="S11" i="34"/>
  <c r="Q11" i="34"/>
  <c r="Q10" i="34" s="1"/>
  <c r="P11" i="34"/>
  <c r="N11" i="34"/>
  <c r="M11" i="34"/>
  <c r="L11" i="34"/>
  <c r="L10" i="34" s="1"/>
  <c r="K11" i="34"/>
  <c r="K10" i="34" s="1"/>
  <c r="I11" i="34"/>
  <c r="I10" i="34" s="1"/>
  <c r="H11" i="34"/>
  <c r="G11" i="34"/>
  <c r="F11" i="34"/>
  <c r="D11" i="34"/>
  <c r="AI10" i="34"/>
  <c r="Y10" i="34"/>
  <c r="X10" i="34"/>
  <c r="V10" i="34"/>
  <c r="S10" i="34"/>
  <c r="P10" i="34"/>
  <c r="N10" i="34"/>
  <c r="H10" i="34"/>
  <c r="G10" i="34"/>
  <c r="F10" i="34"/>
  <c r="C43" i="21"/>
  <c r="C42" i="21"/>
  <c r="C41" i="21"/>
  <c r="C40" i="21"/>
  <c r="C39" i="21"/>
  <c r="C38" i="21"/>
  <c r="C37" i="21"/>
  <c r="C36" i="21"/>
  <c r="C35" i="21"/>
  <c r="C34" i="21"/>
  <c r="C33" i="21"/>
  <c r="C32" i="21"/>
  <c r="C31" i="21"/>
  <c r="C30" i="21"/>
  <c r="C29" i="21"/>
  <c r="C28" i="21"/>
  <c r="C27" i="21" s="1"/>
  <c r="C26" i="21"/>
  <c r="C11" i="21"/>
  <c r="C10" i="21" s="1"/>
  <c r="C9" i="21" s="1"/>
  <c r="C8" i="21"/>
  <c r="D7" i="21"/>
  <c r="N235" i="5"/>
  <c r="M235" i="5"/>
  <c r="L235" i="5"/>
  <c r="K235" i="5"/>
  <c r="I235" i="5"/>
  <c r="H235" i="5"/>
  <c r="F235" i="5" s="1"/>
  <c r="G235" i="5"/>
  <c r="E235" i="5"/>
  <c r="C235" i="5"/>
  <c r="M234" i="5"/>
  <c r="L234" i="5"/>
  <c r="K234" i="5"/>
  <c r="H234" i="5"/>
  <c r="G234" i="5"/>
  <c r="F234" i="5" s="1"/>
  <c r="D234" i="5" s="1"/>
  <c r="E234" i="5"/>
  <c r="M233" i="5"/>
  <c r="M232" i="5" s="1"/>
  <c r="L233" i="5"/>
  <c r="K233" i="5"/>
  <c r="H233" i="5"/>
  <c r="H232" i="5" s="1"/>
  <c r="G233" i="5"/>
  <c r="E233" i="5"/>
  <c r="E232" i="5" s="1"/>
  <c r="I232" i="5"/>
  <c r="C232" i="5"/>
  <c r="M231" i="5"/>
  <c r="L231" i="5"/>
  <c r="K231" i="5"/>
  <c r="H231" i="5"/>
  <c r="H229" i="5" s="1"/>
  <c r="G231" i="5"/>
  <c r="E231" i="5"/>
  <c r="M230" i="5"/>
  <c r="L230" i="5"/>
  <c r="K230" i="5"/>
  <c r="K229" i="5" s="1"/>
  <c r="J230" i="5"/>
  <c r="H230" i="5"/>
  <c r="G230" i="5"/>
  <c r="E230" i="5"/>
  <c r="N229" i="5"/>
  <c r="I229" i="5"/>
  <c r="G229" i="5"/>
  <c r="C229" i="5"/>
  <c r="M228" i="5"/>
  <c r="M226" i="5" s="1"/>
  <c r="L228" i="5"/>
  <c r="K228" i="5"/>
  <c r="H228" i="5"/>
  <c r="G228" i="5"/>
  <c r="F228" i="5" s="1"/>
  <c r="E228" i="5"/>
  <c r="E226" i="5" s="1"/>
  <c r="M227" i="5"/>
  <c r="L227" i="5"/>
  <c r="L226" i="5" s="1"/>
  <c r="K227" i="5"/>
  <c r="H227" i="5"/>
  <c r="G227" i="5"/>
  <c r="F227" i="5"/>
  <c r="D227" i="5" s="1"/>
  <c r="E227" i="5"/>
  <c r="N226" i="5"/>
  <c r="I226" i="5"/>
  <c r="C226" i="5"/>
  <c r="M225" i="5"/>
  <c r="L225" i="5"/>
  <c r="L223" i="5" s="1"/>
  <c r="K225" i="5"/>
  <c r="H225" i="5"/>
  <c r="G225" i="5"/>
  <c r="E225" i="5"/>
  <c r="M224" i="5"/>
  <c r="L224" i="5"/>
  <c r="K224" i="5"/>
  <c r="K223" i="5" s="1"/>
  <c r="H224" i="5"/>
  <c r="F224" i="5" s="1"/>
  <c r="G224" i="5"/>
  <c r="E224" i="5"/>
  <c r="E223" i="5" s="1"/>
  <c r="N223" i="5"/>
  <c r="I223" i="5"/>
  <c r="C223" i="5"/>
  <c r="M222" i="5"/>
  <c r="L222" i="5"/>
  <c r="K222" i="5"/>
  <c r="H222" i="5"/>
  <c r="F222" i="5" s="1"/>
  <c r="G222" i="5"/>
  <c r="E222" i="5"/>
  <c r="M221" i="5"/>
  <c r="L221" i="5"/>
  <c r="K221" i="5"/>
  <c r="K219" i="5" s="1"/>
  <c r="H221" i="5"/>
  <c r="G221" i="5"/>
  <c r="G219" i="5" s="1"/>
  <c r="E221" i="5"/>
  <c r="M220" i="5"/>
  <c r="L220" i="5"/>
  <c r="K220" i="5"/>
  <c r="H220" i="5"/>
  <c r="H219" i="5" s="1"/>
  <c r="G220" i="5"/>
  <c r="E220" i="5"/>
  <c r="E219" i="5" s="1"/>
  <c r="N219" i="5"/>
  <c r="I219" i="5"/>
  <c r="C219" i="5"/>
  <c r="M218" i="5"/>
  <c r="L218" i="5"/>
  <c r="K218" i="5"/>
  <c r="H218" i="5"/>
  <c r="G218" i="5"/>
  <c r="E218" i="5"/>
  <c r="M217" i="5"/>
  <c r="L217" i="5"/>
  <c r="K217" i="5"/>
  <c r="J217" i="5" s="1"/>
  <c r="H217" i="5"/>
  <c r="F217" i="5" s="1"/>
  <c r="G217" i="5"/>
  <c r="E217" i="5"/>
  <c r="M216" i="5"/>
  <c r="L216" i="5"/>
  <c r="L215" i="5" s="1"/>
  <c r="K216" i="5"/>
  <c r="H216" i="5"/>
  <c r="G216" i="5"/>
  <c r="E216" i="5"/>
  <c r="E215" i="5" s="1"/>
  <c r="N215" i="5"/>
  <c r="I215" i="5"/>
  <c r="C215" i="5"/>
  <c r="M214" i="5"/>
  <c r="L214" i="5"/>
  <c r="K214" i="5"/>
  <c r="H214" i="5"/>
  <c r="G214" i="5"/>
  <c r="E214" i="5"/>
  <c r="M213" i="5"/>
  <c r="L213" i="5"/>
  <c r="K213" i="5"/>
  <c r="K212" i="5" s="1"/>
  <c r="H213" i="5"/>
  <c r="G213" i="5"/>
  <c r="E213" i="5"/>
  <c r="E212" i="5" s="1"/>
  <c r="N212" i="5"/>
  <c r="I212" i="5"/>
  <c r="G212" i="5"/>
  <c r="C212" i="5"/>
  <c r="M211" i="5"/>
  <c r="J211" i="5" s="1"/>
  <c r="L211" i="5"/>
  <c r="K211" i="5"/>
  <c r="H211" i="5"/>
  <c r="G211" i="5"/>
  <c r="F211" i="5"/>
  <c r="E211" i="5"/>
  <c r="M210" i="5"/>
  <c r="M209" i="5" s="1"/>
  <c r="L210" i="5"/>
  <c r="L209" i="5" s="1"/>
  <c r="K210" i="5"/>
  <c r="H210" i="5"/>
  <c r="G210" i="5"/>
  <c r="G209" i="5" s="1"/>
  <c r="E210" i="5"/>
  <c r="N209" i="5"/>
  <c r="I209" i="5"/>
  <c r="C209" i="5"/>
  <c r="M208" i="5"/>
  <c r="M206" i="5" s="1"/>
  <c r="L208" i="5"/>
  <c r="K208" i="5"/>
  <c r="H208" i="5"/>
  <c r="G208" i="5"/>
  <c r="E208" i="5"/>
  <c r="M207" i="5"/>
  <c r="L207" i="5"/>
  <c r="K207" i="5"/>
  <c r="H207" i="5"/>
  <c r="H206" i="5" s="1"/>
  <c r="G207" i="5"/>
  <c r="F207" i="5"/>
  <c r="E207" i="5"/>
  <c r="N206" i="5"/>
  <c r="I206" i="5"/>
  <c r="C206" i="5"/>
  <c r="M205" i="5"/>
  <c r="L205" i="5"/>
  <c r="J205" i="5" s="1"/>
  <c r="K205" i="5"/>
  <c r="H205" i="5"/>
  <c r="G205" i="5"/>
  <c r="F205" i="5"/>
  <c r="E205" i="5"/>
  <c r="D205" i="5" s="1"/>
  <c r="M204" i="5"/>
  <c r="M203" i="5" s="1"/>
  <c r="L204" i="5"/>
  <c r="K204" i="5"/>
  <c r="H204" i="5"/>
  <c r="H203" i="5" s="1"/>
  <c r="G204" i="5"/>
  <c r="E204" i="5"/>
  <c r="N203" i="5"/>
  <c r="K203" i="5"/>
  <c r="I203" i="5"/>
  <c r="E203" i="5"/>
  <c r="C203" i="5"/>
  <c r="M202" i="5"/>
  <c r="L202" i="5"/>
  <c r="K202" i="5"/>
  <c r="H202" i="5"/>
  <c r="G202" i="5"/>
  <c r="F202" i="5" s="1"/>
  <c r="E202" i="5"/>
  <c r="M201" i="5"/>
  <c r="M199" i="5" s="1"/>
  <c r="L201" i="5"/>
  <c r="K201" i="5"/>
  <c r="H201" i="5"/>
  <c r="G201" i="5"/>
  <c r="F201" i="5"/>
  <c r="E201" i="5"/>
  <c r="M200" i="5"/>
  <c r="L200" i="5"/>
  <c r="K200" i="5"/>
  <c r="H200" i="5"/>
  <c r="G200" i="5"/>
  <c r="E200" i="5"/>
  <c r="N199" i="5"/>
  <c r="I199" i="5"/>
  <c r="H199" i="5"/>
  <c r="C199" i="5"/>
  <c r="M198" i="5"/>
  <c r="L198" i="5"/>
  <c r="K198" i="5"/>
  <c r="H198" i="5"/>
  <c r="G198" i="5"/>
  <c r="E198" i="5"/>
  <c r="M197" i="5"/>
  <c r="L197" i="5"/>
  <c r="K197" i="5"/>
  <c r="J197" i="5" s="1"/>
  <c r="H197" i="5"/>
  <c r="G197" i="5"/>
  <c r="F197" i="5" s="1"/>
  <c r="E197" i="5"/>
  <c r="D197" i="5" s="1"/>
  <c r="M196" i="5"/>
  <c r="L196" i="5"/>
  <c r="K196" i="5"/>
  <c r="K195" i="5" s="1"/>
  <c r="H196" i="5"/>
  <c r="G196" i="5"/>
  <c r="G195" i="5" s="1"/>
  <c r="F196" i="5"/>
  <c r="E196" i="5"/>
  <c r="N195" i="5"/>
  <c r="L195" i="5"/>
  <c r="I195" i="5"/>
  <c r="C195" i="5"/>
  <c r="M194" i="5"/>
  <c r="L194" i="5"/>
  <c r="K194" i="5"/>
  <c r="J194" i="5" s="1"/>
  <c r="H194" i="5"/>
  <c r="F194" i="5" s="1"/>
  <c r="G194" i="5"/>
  <c r="E194" i="5"/>
  <c r="M193" i="5"/>
  <c r="L193" i="5"/>
  <c r="K193" i="5"/>
  <c r="H193" i="5"/>
  <c r="G193" i="5"/>
  <c r="E193" i="5"/>
  <c r="M192" i="5"/>
  <c r="L192" i="5"/>
  <c r="L190" i="5" s="1"/>
  <c r="K192" i="5"/>
  <c r="H192" i="5"/>
  <c r="G192" i="5"/>
  <c r="E192" i="5"/>
  <c r="M191" i="5"/>
  <c r="L191" i="5"/>
  <c r="K191" i="5"/>
  <c r="H191" i="5"/>
  <c r="G191" i="5"/>
  <c r="E191" i="5"/>
  <c r="E190" i="5" s="1"/>
  <c r="N190" i="5"/>
  <c r="I190" i="5"/>
  <c r="C190" i="5"/>
  <c r="M189" i="5"/>
  <c r="L189" i="5"/>
  <c r="K189" i="5"/>
  <c r="K185" i="5" s="1"/>
  <c r="H189" i="5"/>
  <c r="G189" i="5"/>
  <c r="F189" i="5" s="1"/>
  <c r="E189" i="5"/>
  <c r="M188" i="5"/>
  <c r="L188" i="5"/>
  <c r="K188" i="5"/>
  <c r="H188" i="5"/>
  <c r="G188" i="5"/>
  <c r="F188" i="5" s="1"/>
  <c r="D188" i="5" s="1"/>
  <c r="E188" i="5"/>
  <c r="M187" i="5"/>
  <c r="L187" i="5"/>
  <c r="K187" i="5"/>
  <c r="H187" i="5"/>
  <c r="G187" i="5"/>
  <c r="E187" i="5"/>
  <c r="M186" i="5"/>
  <c r="L186" i="5"/>
  <c r="K186" i="5"/>
  <c r="H186" i="5"/>
  <c r="G186" i="5"/>
  <c r="E186" i="5"/>
  <c r="N185" i="5"/>
  <c r="I185" i="5"/>
  <c r="C185" i="5"/>
  <c r="M184" i="5"/>
  <c r="K184" i="5"/>
  <c r="J184" i="5"/>
  <c r="H184" i="5"/>
  <c r="G184" i="5"/>
  <c r="E184" i="5"/>
  <c r="M183" i="5"/>
  <c r="K183" i="5"/>
  <c r="J183" i="5"/>
  <c r="H183" i="5"/>
  <c r="H181" i="5" s="1"/>
  <c r="G183" i="5"/>
  <c r="F183" i="5"/>
  <c r="E183" i="5"/>
  <c r="M182" i="5"/>
  <c r="J182" i="5" s="1"/>
  <c r="K182" i="5"/>
  <c r="H182" i="5"/>
  <c r="G182" i="5"/>
  <c r="F182" i="5" s="1"/>
  <c r="E182" i="5"/>
  <c r="N181" i="5"/>
  <c r="M181" i="5"/>
  <c r="L181" i="5"/>
  <c r="I181" i="5"/>
  <c r="C181" i="5"/>
  <c r="M180" i="5"/>
  <c r="J180" i="5" s="1"/>
  <c r="K180" i="5"/>
  <c r="H180" i="5"/>
  <c r="G180" i="5"/>
  <c r="E180" i="5"/>
  <c r="M179" i="5"/>
  <c r="K179" i="5"/>
  <c r="J179" i="5"/>
  <c r="H179" i="5"/>
  <c r="G179" i="5"/>
  <c r="E179" i="5"/>
  <c r="M178" i="5"/>
  <c r="M177" i="5" s="1"/>
  <c r="K178" i="5"/>
  <c r="J178" i="5"/>
  <c r="H178" i="5"/>
  <c r="G178" i="5"/>
  <c r="E178" i="5"/>
  <c r="E177" i="5" s="1"/>
  <c r="N177" i="5"/>
  <c r="L177" i="5"/>
  <c r="K177" i="5"/>
  <c r="I177" i="5"/>
  <c r="C177" i="5"/>
  <c r="M176" i="5"/>
  <c r="K176" i="5"/>
  <c r="J176" i="5" s="1"/>
  <c r="H176" i="5"/>
  <c r="G176" i="5"/>
  <c r="F176" i="5" s="1"/>
  <c r="E176" i="5"/>
  <c r="D176" i="5" s="1"/>
  <c r="M175" i="5"/>
  <c r="J175" i="5" s="1"/>
  <c r="K175" i="5"/>
  <c r="H175" i="5"/>
  <c r="G175" i="5"/>
  <c r="E175" i="5"/>
  <c r="M174" i="5"/>
  <c r="K174" i="5"/>
  <c r="J174" i="5"/>
  <c r="H174" i="5"/>
  <c r="G174" i="5"/>
  <c r="F174" i="5" s="1"/>
  <c r="D174" i="5" s="1"/>
  <c r="E174" i="5"/>
  <c r="M173" i="5"/>
  <c r="K173" i="5"/>
  <c r="J173" i="5"/>
  <c r="H173" i="5"/>
  <c r="G173" i="5"/>
  <c r="G172" i="5" s="1"/>
  <c r="E173" i="5"/>
  <c r="N172" i="5"/>
  <c r="L172" i="5"/>
  <c r="I172" i="5"/>
  <c r="C172" i="5"/>
  <c r="M171" i="5"/>
  <c r="J171" i="5" s="1"/>
  <c r="K171" i="5"/>
  <c r="H171" i="5"/>
  <c r="G171" i="5"/>
  <c r="F171" i="5" s="1"/>
  <c r="D171" i="5" s="1"/>
  <c r="E171" i="5"/>
  <c r="M170" i="5"/>
  <c r="K170" i="5"/>
  <c r="J170" i="5"/>
  <c r="H170" i="5"/>
  <c r="G170" i="5"/>
  <c r="E170" i="5"/>
  <c r="M169" i="5"/>
  <c r="K169" i="5"/>
  <c r="J169" i="5"/>
  <c r="H169" i="5"/>
  <c r="G169" i="5"/>
  <c r="E169" i="5"/>
  <c r="M168" i="5"/>
  <c r="K168" i="5"/>
  <c r="K167" i="5" s="1"/>
  <c r="H168" i="5"/>
  <c r="H167" i="5" s="1"/>
  <c r="G168" i="5"/>
  <c r="E168" i="5"/>
  <c r="E167" i="5" s="1"/>
  <c r="N167" i="5"/>
  <c r="L167" i="5"/>
  <c r="I167" i="5"/>
  <c r="C167" i="5"/>
  <c r="M166" i="5"/>
  <c r="K166" i="5"/>
  <c r="H166" i="5"/>
  <c r="G166" i="5"/>
  <c r="E166" i="5"/>
  <c r="M165" i="5"/>
  <c r="K165" i="5"/>
  <c r="J165" i="5"/>
  <c r="H165" i="5"/>
  <c r="G165" i="5"/>
  <c r="E165" i="5"/>
  <c r="M164" i="5"/>
  <c r="K164" i="5"/>
  <c r="J164" i="5"/>
  <c r="H164" i="5"/>
  <c r="G164" i="5"/>
  <c r="E164" i="5"/>
  <c r="N163" i="5"/>
  <c r="L163" i="5"/>
  <c r="I163" i="5"/>
  <c r="C163" i="5"/>
  <c r="M162" i="5"/>
  <c r="J162" i="5" s="1"/>
  <c r="K162" i="5"/>
  <c r="H162" i="5"/>
  <c r="G162" i="5"/>
  <c r="E162" i="5"/>
  <c r="M161" i="5"/>
  <c r="K161" i="5"/>
  <c r="J161" i="5"/>
  <c r="H161" i="5"/>
  <c r="G161" i="5"/>
  <c r="F161" i="5" s="1"/>
  <c r="D161" i="5" s="1"/>
  <c r="E161" i="5"/>
  <c r="M160" i="5"/>
  <c r="K160" i="5"/>
  <c r="J160" i="5"/>
  <c r="H160" i="5"/>
  <c r="G160" i="5"/>
  <c r="G159" i="5" s="1"/>
  <c r="E160" i="5"/>
  <c r="E159" i="5" s="1"/>
  <c r="N159" i="5"/>
  <c r="L159" i="5"/>
  <c r="K159" i="5"/>
  <c r="I159" i="5"/>
  <c r="C159" i="5"/>
  <c r="M158" i="5"/>
  <c r="J158" i="5" s="1"/>
  <c r="K158" i="5"/>
  <c r="H158" i="5"/>
  <c r="G158" i="5"/>
  <c r="F158" i="5" s="1"/>
  <c r="D158" i="5" s="1"/>
  <c r="E158" i="5"/>
  <c r="M157" i="5"/>
  <c r="M155" i="5" s="1"/>
  <c r="K157" i="5"/>
  <c r="J157" i="5"/>
  <c r="H157" i="5"/>
  <c r="G157" i="5"/>
  <c r="E157" i="5"/>
  <c r="M156" i="5"/>
  <c r="K156" i="5"/>
  <c r="J156" i="5"/>
  <c r="H156" i="5"/>
  <c r="G156" i="5"/>
  <c r="F156" i="5" s="1"/>
  <c r="D156" i="5" s="1"/>
  <c r="E156" i="5"/>
  <c r="E155" i="5" s="1"/>
  <c r="N155" i="5"/>
  <c r="L155" i="5"/>
  <c r="K155" i="5"/>
  <c r="I155" i="5"/>
  <c r="G155" i="5"/>
  <c r="C155" i="5"/>
  <c r="M154" i="5"/>
  <c r="J154" i="5" s="1"/>
  <c r="K154" i="5"/>
  <c r="H154" i="5"/>
  <c r="G154" i="5"/>
  <c r="F154" i="5" s="1"/>
  <c r="D154" i="5" s="1"/>
  <c r="E154" i="5"/>
  <c r="M153" i="5"/>
  <c r="K153" i="5"/>
  <c r="H153" i="5"/>
  <c r="G153" i="5"/>
  <c r="G152" i="5" s="1"/>
  <c r="E153" i="5"/>
  <c r="N152" i="5"/>
  <c r="L152" i="5"/>
  <c r="K152" i="5"/>
  <c r="I152" i="5"/>
  <c r="H152" i="5"/>
  <c r="C152" i="5"/>
  <c r="M151" i="5"/>
  <c r="K151" i="5"/>
  <c r="K149" i="5" s="1"/>
  <c r="J149" i="5" s="1"/>
  <c r="H151" i="5"/>
  <c r="G151" i="5"/>
  <c r="E151" i="5"/>
  <c r="M150" i="5"/>
  <c r="M149" i="5" s="1"/>
  <c r="K150" i="5"/>
  <c r="J150" i="5"/>
  <c r="H150" i="5"/>
  <c r="G150" i="5"/>
  <c r="G149" i="5" s="1"/>
  <c r="E150" i="5"/>
  <c r="N149" i="5"/>
  <c r="L149" i="5"/>
  <c r="I149" i="5"/>
  <c r="C149" i="5"/>
  <c r="M148" i="5"/>
  <c r="J148" i="5" s="1"/>
  <c r="K148" i="5"/>
  <c r="H148" i="5"/>
  <c r="G148" i="5"/>
  <c r="F148" i="5" s="1"/>
  <c r="D148" i="5" s="1"/>
  <c r="E148" i="5"/>
  <c r="M147" i="5"/>
  <c r="K147" i="5"/>
  <c r="J147" i="5"/>
  <c r="H147" i="5"/>
  <c r="G147" i="5"/>
  <c r="G146" i="5" s="1"/>
  <c r="E147" i="5"/>
  <c r="N146" i="5"/>
  <c r="L146" i="5"/>
  <c r="K146" i="5"/>
  <c r="I146" i="5"/>
  <c r="H146" i="5"/>
  <c r="C146" i="5"/>
  <c r="M145" i="5"/>
  <c r="K145" i="5"/>
  <c r="J145" i="5" s="1"/>
  <c r="H145" i="5"/>
  <c r="G145" i="5"/>
  <c r="E145" i="5"/>
  <c r="M144" i="5"/>
  <c r="M143" i="5" s="1"/>
  <c r="K144" i="5"/>
  <c r="H144" i="5"/>
  <c r="G144" i="5"/>
  <c r="G143" i="5" s="1"/>
  <c r="E144" i="5"/>
  <c r="N143" i="5"/>
  <c r="L143" i="5"/>
  <c r="K143" i="5"/>
  <c r="I143" i="5"/>
  <c r="C143" i="5"/>
  <c r="M142" i="5"/>
  <c r="K142" i="5"/>
  <c r="J142" i="5"/>
  <c r="H142" i="5"/>
  <c r="G142" i="5"/>
  <c r="F142" i="5" s="1"/>
  <c r="D142" i="5" s="1"/>
  <c r="E142" i="5"/>
  <c r="M141" i="5"/>
  <c r="K141" i="5"/>
  <c r="J141" i="5"/>
  <c r="H141" i="5"/>
  <c r="G141" i="5"/>
  <c r="G140" i="5" s="1"/>
  <c r="E141" i="5"/>
  <c r="N140" i="5"/>
  <c r="L140" i="5"/>
  <c r="K140" i="5"/>
  <c r="I140" i="5"/>
  <c r="H140" i="5"/>
  <c r="C140" i="5"/>
  <c r="M139" i="5"/>
  <c r="K139" i="5"/>
  <c r="J139" i="5" s="1"/>
  <c r="H139" i="5"/>
  <c r="G139" i="5"/>
  <c r="E139" i="5"/>
  <c r="M138" i="5"/>
  <c r="J138" i="5" s="1"/>
  <c r="K138" i="5"/>
  <c r="H138" i="5"/>
  <c r="G138" i="5"/>
  <c r="E138" i="5"/>
  <c r="M137" i="5"/>
  <c r="K137" i="5"/>
  <c r="J137" i="5"/>
  <c r="H137" i="5"/>
  <c r="G137" i="5"/>
  <c r="F137" i="5" s="1"/>
  <c r="D137" i="5" s="1"/>
  <c r="E137" i="5"/>
  <c r="M136" i="5"/>
  <c r="K136" i="5"/>
  <c r="J136" i="5"/>
  <c r="H136" i="5"/>
  <c r="G136" i="5"/>
  <c r="G135" i="5" s="1"/>
  <c r="E136" i="5"/>
  <c r="N135" i="5"/>
  <c r="L135" i="5"/>
  <c r="I135" i="5"/>
  <c r="C135" i="5"/>
  <c r="M134" i="5"/>
  <c r="J134" i="5" s="1"/>
  <c r="K134" i="5"/>
  <c r="H134" i="5"/>
  <c r="G134" i="5"/>
  <c r="F134" i="5" s="1"/>
  <c r="E134" i="5"/>
  <c r="D134" i="5"/>
  <c r="M133" i="5"/>
  <c r="K133" i="5"/>
  <c r="J133" i="5" s="1"/>
  <c r="H133" i="5"/>
  <c r="G133" i="5"/>
  <c r="E133" i="5"/>
  <c r="M132" i="5"/>
  <c r="K132" i="5"/>
  <c r="K131" i="5" s="1"/>
  <c r="H132" i="5"/>
  <c r="G132" i="5"/>
  <c r="E132" i="5"/>
  <c r="N131" i="5"/>
  <c r="L131" i="5"/>
  <c r="I131" i="5"/>
  <c r="G131" i="5"/>
  <c r="C131" i="5"/>
  <c r="M130" i="5"/>
  <c r="K130" i="5"/>
  <c r="J130" i="5" s="1"/>
  <c r="H130" i="5"/>
  <c r="G130" i="5"/>
  <c r="E130" i="5"/>
  <c r="M129" i="5"/>
  <c r="K129" i="5"/>
  <c r="J129" i="5" s="1"/>
  <c r="H129" i="5"/>
  <c r="G129" i="5"/>
  <c r="E129" i="5"/>
  <c r="M128" i="5"/>
  <c r="K128" i="5"/>
  <c r="J128" i="5" s="1"/>
  <c r="H128" i="5"/>
  <c r="H125" i="5" s="1"/>
  <c r="G128" i="5"/>
  <c r="E128" i="5"/>
  <c r="M127" i="5"/>
  <c r="K127" i="5"/>
  <c r="J127" i="5" s="1"/>
  <c r="H127" i="5"/>
  <c r="G127" i="5"/>
  <c r="E127" i="5"/>
  <c r="M126" i="5"/>
  <c r="K126" i="5"/>
  <c r="H126" i="5"/>
  <c r="G126" i="5"/>
  <c r="G125" i="5" s="1"/>
  <c r="E126" i="5"/>
  <c r="N125" i="5"/>
  <c r="L125" i="5"/>
  <c r="I125" i="5"/>
  <c r="C125" i="5"/>
  <c r="M124" i="5"/>
  <c r="K124" i="5"/>
  <c r="J124" i="5" s="1"/>
  <c r="H124" i="5"/>
  <c r="G124" i="5"/>
  <c r="E124" i="5"/>
  <c r="M123" i="5"/>
  <c r="K123" i="5"/>
  <c r="J123" i="5"/>
  <c r="H123" i="5"/>
  <c r="G123" i="5"/>
  <c r="E123" i="5"/>
  <c r="M122" i="5"/>
  <c r="J122" i="5" s="1"/>
  <c r="K122" i="5"/>
  <c r="H122" i="5"/>
  <c r="G122" i="5"/>
  <c r="F122" i="5" s="1"/>
  <c r="D122" i="5" s="1"/>
  <c r="E122" i="5"/>
  <c r="M121" i="5"/>
  <c r="K121" i="5"/>
  <c r="H121" i="5"/>
  <c r="G121" i="5"/>
  <c r="E121" i="5"/>
  <c r="N120" i="5"/>
  <c r="L120" i="5"/>
  <c r="K120" i="5"/>
  <c r="I120" i="5"/>
  <c r="C120" i="5"/>
  <c r="M119" i="5"/>
  <c r="K119" i="5"/>
  <c r="J119" i="5"/>
  <c r="H119" i="5"/>
  <c r="G119" i="5"/>
  <c r="F119" i="5" s="1"/>
  <c r="D119" i="5" s="1"/>
  <c r="E119" i="5"/>
  <c r="M118" i="5"/>
  <c r="K118" i="5"/>
  <c r="J118" i="5" s="1"/>
  <c r="H118" i="5"/>
  <c r="H116" i="5" s="1"/>
  <c r="G118" i="5"/>
  <c r="E118" i="5"/>
  <c r="M117" i="5"/>
  <c r="M116" i="5" s="1"/>
  <c r="K117" i="5"/>
  <c r="K116" i="5" s="1"/>
  <c r="H117" i="5"/>
  <c r="G117" i="5"/>
  <c r="E117" i="5"/>
  <c r="N116" i="5"/>
  <c r="L116" i="5"/>
  <c r="I116" i="5"/>
  <c r="C116" i="5"/>
  <c r="M115" i="5"/>
  <c r="K115" i="5"/>
  <c r="J115" i="5" s="1"/>
  <c r="H115" i="5"/>
  <c r="G115" i="5"/>
  <c r="E115" i="5"/>
  <c r="M114" i="5"/>
  <c r="K114" i="5"/>
  <c r="J114" i="5" s="1"/>
  <c r="H114" i="5"/>
  <c r="G114" i="5"/>
  <c r="E114" i="5"/>
  <c r="M113" i="5"/>
  <c r="K113" i="5"/>
  <c r="J113" i="5" s="1"/>
  <c r="H113" i="5"/>
  <c r="G113" i="5"/>
  <c r="E113" i="5"/>
  <c r="M112" i="5"/>
  <c r="K112" i="5"/>
  <c r="J112" i="5" s="1"/>
  <c r="H112" i="5"/>
  <c r="G112" i="5"/>
  <c r="E112" i="5"/>
  <c r="M111" i="5"/>
  <c r="K111" i="5"/>
  <c r="H111" i="5"/>
  <c r="G111" i="5"/>
  <c r="E111" i="5"/>
  <c r="N110" i="5"/>
  <c r="L110" i="5"/>
  <c r="I110" i="5"/>
  <c r="G110" i="5"/>
  <c r="C110" i="5"/>
  <c r="N109" i="5"/>
  <c r="M109" i="5"/>
  <c r="K109" i="5"/>
  <c r="I109" i="5"/>
  <c r="H109" i="5"/>
  <c r="G109" i="5"/>
  <c r="E109" i="5"/>
  <c r="N108" i="5"/>
  <c r="N107" i="5" s="1"/>
  <c r="M108" i="5"/>
  <c r="K108" i="5"/>
  <c r="I108" i="5"/>
  <c r="I107" i="5" s="1"/>
  <c r="H108" i="5"/>
  <c r="G108" i="5"/>
  <c r="F108" i="5" s="1"/>
  <c r="E108" i="5"/>
  <c r="E107" i="5" s="1"/>
  <c r="L107" i="5"/>
  <c r="H107" i="5"/>
  <c r="C107" i="5"/>
  <c r="N106" i="5"/>
  <c r="M106" i="5"/>
  <c r="J106" i="5" s="1"/>
  <c r="K106" i="5"/>
  <c r="I106" i="5"/>
  <c r="H106" i="5"/>
  <c r="G106" i="5"/>
  <c r="F106" i="5" s="1"/>
  <c r="E106" i="5"/>
  <c r="N105" i="5"/>
  <c r="M105" i="5"/>
  <c r="K105" i="5"/>
  <c r="J105" i="5" s="1"/>
  <c r="I105" i="5"/>
  <c r="I103" i="5" s="1"/>
  <c r="H105" i="5"/>
  <c r="G105" i="5"/>
  <c r="E105" i="5"/>
  <c r="N104" i="5"/>
  <c r="M104" i="5"/>
  <c r="M103" i="5" s="1"/>
  <c r="K104" i="5"/>
  <c r="I104" i="5"/>
  <c r="H104" i="5"/>
  <c r="G104" i="5"/>
  <c r="E104" i="5"/>
  <c r="L103" i="5"/>
  <c r="C103" i="5"/>
  <c r="N102" i="5"/>
  <c r="M102" i="5"/>
  <c r="K102" i="5"/>
  <c r="K98" i="5" s="1"/>
  <c r="I102" i="5"/>
  <c r="H102" i="5"/>
  <c r="G102" i="5"/>
  <c r="E102" i="5"/>
  <c r="N101" i="5"/>
  <c r="M101" i="5"/>
  <c r="K101" i="5"/>
  <c r="J101" i="5" s="1"/>
  <c r="I101" i="5"/>
  <c r="H101" i="5"/>
  <c r="G101" i="5"/>
  <c r="F101" i="5" s="1"/>
  <c r="E101" i="5"/>
  <c r="N100" i="5"/>
  <c r="N98" i="5" s="1"/>
  <c r="M100" i="5"/>
  <c r="K100" i="5"/>
  <c r="I100" i="5"/>
  <c r="H100" i="5"/>
  <c r="G100" i="5"/>
  <c r="E100" i="5"/>
  <c r="E98" i="5" s="1"/>
  <c r="N99" i="5"/>
  <c r="M99" i="5"/>
  <c r="K99" i="5"/>
  <c r="I99" i="5"/>
  <c r="H99" i="5"/>
  <c r="G99" i="5"/>
  <c r="F99" i="5" s="1"/>
  <c r="E99" i="5"/>
  <c r="O98" i="5"/>
  <c r="L98" i="5"/>
  <c r="C98" i="5"/>
  <c r="N97" i="5"/>
  <c r="M97" i="5"/>
  <c r="K97" i="5"/>
  <c r="J97" i="5"/>
  <c r="I97" i="5"/>
  <c r="H97" i="5"/>
  <c r="G97" i="5"/>
  <c r="F97" i="5" s="1"/>
  <c r="E97" i="5"/>
  <c r="N96" i="5"/>
  <c r="N93" i="5" s="1"/>
  <c r="M96" i="5"/>
  <c r="K96" i="5"/>
  <c r="J96" i="5" s="1"/>
  <c r="I96" i="5"/>
  <c r="H96" i="5"/>
  <c r="G96" i="5"/>
  <c r="E96" i="5"/>
  <c r="N95" i="5"/>
  <c r="M95" i="5"/>
  <c r="M93" i="5" s="1"/>
  <c r="K95" i="5"/>
  <c r="I95" i="5"/>
  <c r="I93" i="5" s="1"/>
  <c r="H95" i="5"/>
  <c r="G95" i="5"/>
  <c r="F95" i="5" s="1"/>
  <c r="E95" i="5"/>
  <c r="N94" i="5"/>
  <c r="M94" i="5"/>
  <c r="K94" i="5"/>
  <c r="I94" i="5"/>
  <c r="H94" i="5"/>
  <c r="H93" i="5" s="1"/>
  <c r="G94" i="5"/>
  <c r="E94" i="5"/>
  <c r="L93" i="5"/>
  <c r="C93" i="5"/>
  <c r="N92" i="5"/>
  <c r="M92" i="5"/>
  <c r="K92" i="5"/>
  <c r="I92" i="5"/>
  <c r="H92" i="5"/>
  <c r="G92" i="5"/>
  <c r="F92" i="5" s="1"/>
  <c r="E92" i="5"/>
  <c r="N91" i="5"/>
  <c r="M91" i="5"/>
  <c r="K91" i="5"/>
  <c r="I91" i="5"/>
  <c r="H91" i="5"/>
  <c r="G91" i="5"/>
  <c r="F91" i="5" s="1"/>
  <c r="E91" i="5"/>
  <c r="N90" i="5"/>
  <c r="M90" i="5"/>
  <c r="K90" i="5"/>
  <c r="I90" i="5"/>
  <c r="H90" i="5"/>
  <c r="G90" i="5"/>
  <c r="E90" i="5"/>
  <c r="N89" i="5"/>
  <c r="M89" i="5"/>
  <c r="K89" i="5"/>
  <c r="I89" i="5"/>
  <c r="H89" i="5"/>
  <c r="G89" i="5"/>
  <c r="E89" i="5"/>
  <c r="L88" i="5"/>
  <c r="H88" i="5"/>
  <c r="C88" i="5"/>
  <c r="M87" i="5"/>
  <c r="K87" i="5"/>
  <c r="H87" i="5"/>
  <c r="G87" i="5"/>
  <c r="F87" i="5"/>
  <c r="E87" i="5"/>
  <c r="D87" i="5" s="1"/>
  <c r="M86" i="5"/>
  <c r="K86" i="5"/>
  <c r="H86" i="5"/>
  <c r="G86" i="5"/>
  <c r="G85" i="5" s="1"/>
  <c r="E86" i="5"/>
  <c r="N85" i="5"/>
  <c r="L85" i="5"/>
  <c r="I85" i="5"/>
  <c r="H85" i="5"/>
  <c r="C85" i="5"/>
  <c r="M84" i="5"/>
  <c r="M82" i="5" s="1"/>
  <c r="K84" i="5"/>
  <c r="J84" i="5" s="1"/>
  <c r="H84" i="5"/>
  <c r="G84" i="5"/>
  <c r="F84" i="5" s="1"/>
  <c r="E84" i="5"/>
  <c r="M83" i="5"/>
  <c r="K83" i="5"/>
  <c r="H83" i="5"/>
  <c r="G83" i="5"/>
  <c r="E83" i="5"/>
  <c r="N82" i="5"/>
  <c r="L82" i="5"/>
  <c r="I82" i="5"/>
  <c r="H82" i="5"/>
  <c r="C82" i="5"/>
  <c r="M81" i="5"/>
  <c r="K81" i="5"/>
  <c r="J81" i="5"/>
  <c r="H81" i="5"/>
  <c r="G81" i="5"/>
  <c r="F81" i="5" s="1"/>
  <c r="E81" i="5"/>
  <c r="M80" i="5"/>
  <c r="J80" i="5" s="1"/>
  <c r="K80" i="5"/>
  <c r="H80" i="5"/>
  <c r="G80" i="5"/>
  <c r="E80" i="5"/>
  <c r="N79" i="5"/>
  <c r="M79" i="5"/>
  <c r="L79" i="5"/>
  <c r="I79" i="5"/>
  <c r="H79" i="5"/>
  <c r="C79" i="5"/>
  <c r="M78" i="5"/>
  <c r="K78" i="5"/>
  <c r="J78" i="5"/>
  <c r="H78" i="5"/>
  <c r="G78" i="5"/>
  <c r="F78" i="5" s="1"/>
  <c r="E78" i="5"/>
  <c r="M77" i="5"/>
  <c r="K77" i="5"/>
  <c r="H77" i="5"/>
  <c r="G77" i="5"/>
  <c r="F77" i="5" s="1"/>
  <c r="E77" i="5"/>
  <c r="M76" i="5"/>
  <c r="K76" i="5"/>
  <c r="H76" i="5"/>
  <c r="H75" i="5" s="1"/>
  <c r="G76" i="5"/>
  <c r="E76" i="5"/>
  <c r="N75" i="5"/>
  <c r="L75" i="5"/>
  <c r="I75" i="5"/>
  <c r="C75" i="5"/>
  <c r="M74" i="5"/>
  <c r="K74" i="5"/>
  <c r="J74" i="5" s="1"/>
  <c r="H74" i="5"/>
  <c r="G74" i="5"/>
  <c r="F74" i="5" s="1"/>
  <c r="D74" i="5" s="1"/>
  <c r="E74" i="5"/>
  <c r="M73" i="5"/>
  <c r="K73" i="5"/>
  <c r="H73" i="5"/>
  <c r="H71" i="5" s="1"/>
  <c r="G73" i="5"/>
  <c r="E73" i="5"/>
  <c r="M72" i="5"/>
  <c r="K72" i="5"/>
  <c r="J72" i="5" s="1"/>
  <c r="H72" i="5"/>
  <c r="G72" i="5"/>
  <c r="G71" i="5" s="1"/>
  <c r="F71" i="5" s="1"/>
  <c r="E72" i="5"/>
  <c r="N71" i="5"/>
  <c r="L71" i="5"/>
  <c r="I71" i="5"/>
  <c r="E71" i="5"/>
  <c r="C71" i="5"/>
  <c r="M70" i="5"/>
  <c r="K70" i="5"/>
  <c r="H70" i="5"/>
  <c r="G70" i="5"/>
  <c r="E70" i="5"/>
  <c r="M69" i="5"/>
  <c r="K69" i="5"/>
  <c r="J69" i="5" s="1"/>
  <c r="H69" i="5"/>
  <c r="G69" i="5"/>
  <c r="F69" i="5" s="1"/>
  <c r="E69" i="5"/>
  <c r="M68" i="5"/>
  <c r="K68" i="5"/>
  <c r="H68" i="5"/>
  <c r="G68" i="5"/>
  <c r="E68" i="5"/>
  <c r="E67" i="5" s="1"/>
  <c r="N67" i="5"/>
  <c r="L67" i="5"/>
  <c r="I67" i="5"/>
  <c r="H67" i="5"/>
  <c r="C67" i="5"/>
  <c r="M66" i="5"/>
  <c r="K66" i="5"/>
  <c r="J66" i="5" s="1"/>
  <c r="H66" i="5"/>
  <c r="G66" i="5"/>
  <c r="F66" i="5" s="1"/>
  <c r="E66" i="5"/>
  <c r="M65" i="5"/>
  <c r="K65" i="5"/>
  <c r="H65" i="5"/>
  <c r="H63" i="5" s="1"/>
  <c r="G65" i="5"/>
  <c r="F65" i="5" s="1"/>
  <c r="E65" i="5"/>
  <c r="D65" i="5" s="1"/>
  <c r="M64" i="5"/>
  <c r="K64" i="5"/>
  <c r="J64" i="5" s="1"/>
  <c r="H64" i="5"/>
  <c r="G64" i="5"/>
  <c r="E64" i="5"/>
  <c r="N63" i="5"/>
  <c r="L63" i="5"/>
  <c r="I63" i="5"/>
  <c r="E63" i="5"/>
  <c r="C63" i="5"/>
  <c r="M62" i="5"/>
  <c r="K62" i="5"/>
  <c r="H62" i="5"/>
  <c r="G62" i="5"/>
  <c r="F62" i="5" s="1"/>
  <c r="E62" i="5"/>
  <c r="D62" i="5" s="1"/>
  <c r="M61" i="5"/>
  <c r="K61" i="5"/>
  <c r="J61" i="5" s="1"/>
  <c r="H61" i="5"/>
  <c r="G61" i="5"/>
  <c r="F61" i="5" s="1"/>
  <c r="E61" i="5"/>
  <c r="M60" i="5"/>
  <c r="K60" i="5"/>
  <c r="J60" i="5" s="1"/>
  <c r="H60" i="5"/>
  <c r="H59" i="5" s="1"/>
  <c r="G60" i="5"/>
  <c r="E60" i="5"/>
  <c r="E59" i="5" s="1"/>
  <c r="N59" i="5"/>
  <c r="L59" i="5"/>
  <c r="I59" i="5"/>
  <c r="C59" i="5"/>
  <c r="M58" i="5"/>
  <c r="K58" i="5"/>
  <c r="J58" i="5" s="1"/>
  <c r="H58" i="5"/>
  <c r="G58" i="5"/>
  <c r="F58" i="5" s="1"/>
  <c r="E58" i="5"/>
  <c r="M57" i="5"/>
  <c r="K57" i="5"/>
  <c r="J57" i="5" s="1"/>
  <c r="H57" i="5"/>
  <c r="G57" i="5"/>
  <c r="E57" i="5"/>
  <c r="M56" i="5"/>
  <c r="K56" i="5"/>
  <c r="J56" i="5" s="1"/>
  <c r="H56" i="5"/>
  <c r="G56" i="5"/>
  <c r="F56" i="5" s="1"/>
  <c r="E56" i="5"/>
  <c r="M55" i="5"/>
  <c r="M54" i="5" s="1"/>
  <c r="K55" i="5"/>
  <c r="H55" i="5"/>
  <c r="H54" i="5" s="1"/>
  <c r="G55" i="5"/>
  <c r="E55" i="5"/>
  <c r="E54" i="5" s="1"/>
  <c r="N54" i="5"/>
  <c r="L54" i="5"/>
  <c r="I54" i="5"/>
  <c r="C54" i="5"/>
  <c r="M53" i="5"/>
  <c r="K53" i="5"/>
  <c r="J53" i="5" s="1"/>
  <c r="H53" i="5"/>
  <c r="G53" i="5"/>
  <c r="F53" i="5" s="1"/>
  <c r="E53" i="5"/>
  <c r="M52" i="5"/>
  <c r="K52" i="5"/>
  <c r="H52" i="5"/>
  <c r="G52" i="5"/>
  <c r="E52" i="5"/>
  <c r="N51" i="5"/>
  <c r="M51" i="5"/>
  <c r="K51" i="5"/>
  <c r="I51" i="5"/>
  <c r="I48" i="5" s="1"/>
  <c r="H51" i="5"/>
  <c r="G51" i="5"/>
  <c r="F51" i="5" s="1"/>
  <c r="E51" i="5"/>
  <c r="M50" i="5"/>
  <c r="J50" i="5" s="1"/>
  <c r="K50" i="5"/>
  <c r="I50" i="5"/>
  <c r="H50" i="5"/>
  <c r="G50" i="5"/>
  <c r="F50" i="5"/>
  <c r="E50" i="5"/>
  <c r="M49" i="5"/>
  <c r="M48" i="5" s="1"/>
  <c r="K49" i="5"/>
  <c r="I49" i="5"/>
  <c r="H49" i="5"/>
  <c r="G49" i="5"/>
  <c r="E49" i="5"/>
  <c r="N48" i="5"/>
  <c r="L48" i="5"/>
  <c r="C48" i="5"/>
  <c r="M47" i="5"/>
  <c r="K47" i="5"/>
  <c r="J47" i="5" s="1"/>
  <c r="H47" i="5"/>
  <c r="G47" i="5"/>
  <c r="E47" i="5"/>
  <c r="M46" i="5"/>
  <c r="K46" i="5"/>
  <c r="J46" i="5" s="1"/>
  <c r="I46" i="5"/>
  <c r="H46" i="5"/>
  <c r="G46" i="5"/>
  <c r="F46" i="5" s="1"/>
  <c r="E46" i="5"/>
  <c r="M45" i="5"/>
  <c r="M44" i="5" s="1"/>
  <c r="K45" i="5"/>
  <c r="I45" i="5"/>
  <c r="I44" i="5" s="1"/>
  <c r="H45" i="5"/>
  <c r="G45" i="5"/>
  <c r="E45" i="5"/>
  <c r="N44" i="5"/>
  <c r="L44" i="5"/>
  <c r="H44" i="5"/>
  <c r="C44" i="5"/>
  <c r="M43" i="5"/>
  <c r="J43" i="5" s="1"/>
  <c r="K43" i="5"/>
  <c r="I43" i="5"/>
  <c r="H43" i="5"/>
  <c r="G43" i="5"/>
  <c r="F43" i="5"/>
  <c r="E43" i="5"/>
  <c r="M42" i="5"/>
  <c r="K42" i="5"/>
  <c r="I42" i="5"/>
  <c r="H42" i="5"/>
  <c r="G42" i="5"/>
  <c r="F42" i="5" s="1"/>
  <c r="E42" i="5"/>
  <c r="M41" i="5"/>
  <c r="K41" i="5"/>
  <c r="I41" i="5"/>
  <c r="H41" i="5"/>
  <c r="G41" i="5"/>
  <c r="F41" i="5" s="1"/>
  <c r="D41" i="5" s="1"/>
  <c r="E41" i="5"/>
  <c r="M40" i="5"/>
  <c r="K40" i="5"/>
  <c r="I40" i="5"/>
  <c r="I39" i="5" s="1"/>
  <c r="H40" i="5"/>
  <c r="G40" i="5"/>
  <c r="F40" i="5" s="1"/>
  <c r="E40" i="5"/>
  <c r="E39" i="5" s="1"/>
  <c r="N39" i="5"/>
  <c r="L39" i="5"/>
  <c r="H39" i="5"/>
  <c r="C39" i="5"/>
  <c r="N38" i="5"/>
  <c r="M38" i="5"/>
  <c r="K38" i="5"/>
  <c r="I38" i="5"/>
  <c r="H38" i="5"/>
  <c r="G38" i="5"/>
  <c r="E38" i="5"/>
  <c r="N37" i="5"/>
  <c r="M37" i="5"/>
  <c r="K37" i="5"/>
  <c r="I37" i="5"/>
  <c r="I35" i="5" s="1"/>
  <c r="H37" i="5"/>
  <c r="G37" i="5"/>
  <c r="E37" i="5"/>
  <c r="N36" i="5"/>
  <c r="M36" i="5"/>
  <c r="K36" i="5"/>
  <c r="K35" i="5" s="1"/>
  <c r="I36" i="5"/>
  <c r="H36" i="5"/>
  <c r="H35" i="5" s="1"/>
  <c r="G36" i="5"/>
  <c r="E36" i="5"/>
  <c r="L35" i="5"/>
  <c r="C35" i="5"/>
  <c r="M34" i="5"/>
  <c r="K34" i="5"/>
  <c r="J34" i="5" s="1"/>
  <c r="I34" i="5"/>
  <c r="H34" i="5"/>
  <c r="G34" i="5"/>
  <c r="F34" i="5" s="1"/>
  <c r="E34" i="5"/>
  <c r="M33" i="5"/>
  <c r="K33" i="5"/>
  <c r="I33" i="5"/>
  <c r="H33" i="5"/>
  <c r="G33" i="5"/>
  <c r="E33" i="5"/>
  <c r="M32" i="5"/>
  <c r="K32" i="5"/>
  <c r="I32" i="5"/>
  <c r="H32" i="5"/>
  <c r="F32" i="5" s="1"/>
  <c r="D32" i="5" s="1"/>
  <c r="G32" i="5"/>
  <c r="E32" i="5"/>
  <c r="M31" i="5"/>
  <c r="K31" i="5"/>
  <c r="I31" i="5"/>
  <c r="I30" i="5" s="1"/>
  <c r="H31" i="5"/>
  <c r="G31" i="5"/>
  <c r="G30" i="5" s="1"/>
  <c r="E31" i="5"/>
  <c r="N30" i="5"/>
  <c r="L30" i="5"/>
  <c r="C30" i="5"/>
  <c r="M29" i="5"/>
  <c r="K29" i="5"/>
  <c r="J29" i="5" s="1"/>
  <c r="I29" i="5"/>
  <c r="H29" i="5"/>
  <c r="G29" i="5"/>
  <c r="F29" i="5" s="1"/>
  <c r="D29" i="5" s="1"/>
  <c r="E29" i="5"/>
  <c r="M28" i="5"/>
  <c r="K28" i="5"/>
  <c r="I28" i="5"/>
  <c r="H28" i="5"/>
  <c r="G28" i="5"/>
  <c r="E28" i="5"/>
  <c r="M27" i="5"/>
  <c r="K27" i="5"/>
  <c r="I27" i="5"/>
  <c r="H27" i="5"/>
  <c r="F27" i="5" s="1"/>
  <c r="G27" i="5"/>
  <c r="E27" i="5"/>
  <c r="M26" i="5"/>
  <c r="K26" i="5"/>
  <c r="J26" i="5" s="1"/>
  <c r="I26" i="5"/>
  <c r="H26" i="5"/>
  <c r="G26" i="5"/>
  <c r="F26" i="5" s="1"/>
  <c r="E26" i="5"/>
  <c r="M25" i="5"/>
  <c r="K25" i="5"/>
  <c r="J25" i="5" s="1"/>
  <c r="I25" i="5"/>
  <c r="H25" i="5"/>
  <c r="G25" i="5"/>
  <c r="F25" i="5"/>
  <c r="E25" i="5"/>
  <c r="N24" i="5"/>
  <c r="L24" i="5"/>
  <c r="C24" i="5"/>
  <c r="M23" i="5"/>
  <c r="K23" i="5"/>
  <c r="I23" i="5"/>
  <c r="H23" i="5"/>
  <c r="G23" i="5"/>
  <c r="E23" i="5"/>
  <c r="M22" i="5"/>
  <c r="K22" i="5"/>
  <c r="I22" i="5"/>
  <c r="H22" i="5"/>
  <c r="G22" i="5"/>
  <c r="E22" i="5"/>
  <c r="M21" i="5"/>
  <c r="K21" i="5"/>
  <c r="J21" i="5" s="1"/>
  <c r="I21" i="5"/>
  <c r="H21" i="5"/>
  <c r="G21" i="5"/>
  <c r="E21" i="5"/>
  <c r="M20" i="5"/>
  <c r="K20" i="5"/>
  <c r="J20" i="5" s="1"/>
  <c r="I20" i="5"/>
  <c r="H20" i="5"/>
  <c r="G20" i="5"/>
  <c r="F20" i="5"/>
  <c r="E20" i="5"/>
  <c r="M19" i="5"/>
  <c r="K19" i="5"/>
  <c r="I19" i="5"/>
  <c r="H19" i="5"/>
  <c r="G19" i="5"/>
  <c r="E19" i="5"/>
  <c r="N18" i="5"/>
  <c r="L18" i="5"/>
  <c r="C18" i="5"/>
  <c r="N17" i="5"/>
  <c r="M17" i="5"/>
  <c r="K17" i="5"/>
  <c r="H17" i="5"/>
  <c r="G17" i="5"/>
  <c r="E17" i="5"/>
  <c r="N16" i="5"/>
  <c r="M16" i="5"/>
  <c r="K16" i="5"/>
  <c r="J16" i="5"/>
  <c r="H16" i="5"/>
  <c r="G16" i="5"/>
  <c r="F16" i="5" s="1"/>
  <c r="E16" i="5"/>
  <c r="N15" i="5"/>
  <c r="M15" i="5"/>
  <c r="K15" i="5"/>
  <c r="J15" i="5" s="1"/>
  <c r="H15" i="5"/>
  <c r="G15" i="5"/>
  <c r="E15" i="5"/>
  <c r="N14" i="5"/>
  <c r="M14" i="5"/>
  <c r="K14" i="5"/>
  <c r="H14" i="5"/>
  <c r="G14" i="5"/>
  <c r="E14" i="5"/>
  <c r="N13" i="5"/>
  <c r="M13" i="5"/>
  <c r="K13" i="5"/>
  <c r="H13" i="5"/>
  <c r="F13" i="5" s="1"/>
  <c r="G13" i="5"/>
  <c r="E13" i="5"/>
  <c r="N12" i="5"/>
  <c r="M12" i="5"/>
  <c r="J12" i="5" s="1"/>
  <c r="K12" i="5"/>
  <c r="H12" i="5"/>
  <c r="G12" i="5"/>
  <c r="F12" i="5" s="1"/>
  <c r="E12" i="5"/>
  <c r="N11" i="5"/>
  <c r="M11" i="5"/>
  <c r="K11" i="5"/>
  <c r="J11" i="5" s="1"/>
  <c r="H11" i="5"/>
  <c r="G11" i="5"/>
  <c r="E11" i="5"/>
  <c r="L10" i="5"/>
  <c r="I10" i="5"/>
  <c r="C10" i="5"/>
  <c r="C9" i="5" s="1"/>
  <c r="C5" i="3"/>
  <c r="E2" i="3"/>
  <c r="D2" i="3"/>
  <c r="C2" i="3"/>
  <c r="N63" i="4"/>
  <c r="M63" i="4"/>
  <c r="L63" i="4"/>
  <c r="K63" i="4"/>
  <c r="J63" i="4"/>
  <c r="I63" i="4"/>
  <c r="H63" i="4"/>
  <c r="F63" i="4" s="1"/>
  <c r="G63" i="4"/>
  <c r="E63" i="4"/>
  <c r="C63" i="4"/>
  <c r="N62" i="4"/>
  <c r="M62" i="4"/>
  <c r="L62" i="4"/>
  <c r="K62" i="4"/>
  <c r="J62" i="4"/>
  <c r="I62" i="4"/>
  <c r="H62" i="4"/>
  <c r="G62" i="4"/>
  <c r="E62" i="4"/>
  <c r="C62" i="4"/>
  <c r="N61" i="4"/>
  <c r="M61" i="4"/>
  <c r="L61" i="4"/>
  <c r="K61" i="4"/>
  <c r="J61" i="4"/>
  <c r="I61" i="4"/>
  <c r="H61" i="4"/>
  <c r="G61" i="4"/>
  <c r="E61" i="4"/>
  <c r="C61" i="4"/>
  <c r="N60" i="4"/>
  <c r="M60" i="4"/>
  <c r="L60" i="4"/>
  <c r="K60" i="4"/>
  <c r="J60" i="4"/>
  <c r="I60" i="4"/>
  <c r="H60" i="4"/>
  <c r="G60" i="4"/>
  <c r="E60" i="4"/>
  <c r="C60" i="4"/>
  <c r="N59" i="4"/>
  <c r="M59" i="4"/>
  <c r="L59" i="4"/>
  <c r="K59" i="4"/>
  <c r="J59" i="4"/>
  <c r="I59" i="4"/>
  <c r="H59" i="4"/>
  <c r="F59" i="4" s="1"/>
  <c r="D59" i="4" s="1"/>
  <c r="G59" i="4"/>
  <c r="E59" i="4"/>
  <c r="C59" i="4"/>
  <c r="N58" i="4"/>
  <c r="M58" i="4"/>
  <c r="L58" i="4"/>
  <c r="K58" i="4"/>
  <c r="J58" i="4"/>
  <c r="I58" i="4"/>
  <c r="H58" i="4"/>
  <c r="G58" i="4"/>
  <c r="E58" i="4"/>
  <c r="C58" i="4"/>
  <c r="N57" i="4"/>
  <c r="M57" i="4"/>
  <c r="L57" i="4"/>
  <c r="K57" i="4"/>
  <c r="J57" i="4"/>
  <c r="I57" i="4"/>
  <c r="H57" i="4"/>
  <c r="G57" i="4"/>
  <c r="E57" i="4"/>
  <c r="C57" i="4"/>
  <c r="N56" i="4"/>
  <c r="M56" i="4"/>
  <c r="L56" i="4"/>
  <c r="K56" i="4"/>
  <c r="J56" i="4"/>
  <c r="I56" i="4"/>
  <c r="H56" i="4"/>
  <c r="G56" i="4"/>
  <c r="E56" i="4"/>
  <c r="C56" i="4"/>
  <c r="N55" i="4"/>
  <c r="M55" i="4"/>
  <c r="L55" i="4"/>
  <c r="K55" i="4"/>
  <c r="J55" i="4"/>
  <c r="I55" i="4"/>
  <c r="H55" i="4"/>
  <c r="F55" i="4" s="1"/>
  <c r="D55" i="4" s="1"/>
  <c r="G55" i="4"/>
  <c r="E55" i="4"/>
  <c r="C55" i="4"/>
  <c r="N54" i="4"/>
  <c r="M54" i="4"/>
  <c r="L54" i="4"/>
  <c r="K54" i="4"/>
  <c r="J54" i="4"/>
  <c r="I54" i="4"/>
  <c r="H54" i="4"/>
  <c r="G54" i="4"/>
  <c r="E54" i="4"/>
  <c r="C54" i="4"/>
  <c r="N53" i="4"/>
  <c r="M53" i="4"/>
  <c r="L53" i="4"/>
  <c r="K53" i="4"/>
  <c r="J53" i="4"/>
  <c r="I53" i="4"/>
  <c r="H53" i="4"/>
  <c r="G53" i="4"/>
  <c r="E53" i="4"/>
  <c r="C53" i="4"/>
  <c r="N52" i="4"/>
  <c r="M52" i="4"/>
  <c r="L52" i="4"/>
  <c r="K52" i="4"/>
  <c r="J52" i="4"/>
  <c r="I52" i="4"/>
  <c r="H52" i="4"/>
  <c r="G52" i="4"/>
  <c r="E52" i="4"/>
  <c r="C52" i="4"/>
  <c r="N51" i="4"/>
  <c r="M51" i="4"/>
  <c r="L51" i="4"/>
  <c r="K51" i="4"/>
  <c r="J51" i="4"/>
  <c r="I51" i="4"/>
  <c r="H51" i="4"/>
  <c r="F51" i="4" s="1"/>
  <c r="D51" i="4" s="1"/>
  <c r="G51" i="4"/>
  <c r="E51" i="4"/>
  <c r="C51" i="4"/>
  <c r="N50" i="4"/>
  <c r="M50" i="4"/>
  <c r="L50" i="4"/>
  <c r="K50" i="4"/>
  <c r="J50" i="4"/>
  <c r="I50" i="4"/>
  <c r="H50" i="4"/>
  <c r="G50" i="4"/>
  <c r="E50" i="4"/>
  <c r="C50" i="4"/>
  <c r="N49" i="4"/>
  <c r="M49" i="4"/>
  <c r="L49" i="4"/>
  <c r="K49" i="4"/>
  <c r="J49" i="4"/>
  <c r="I49" i="4"/>
  <c r="H49" i="4"/>
  <c r="G49" i="4"/>
  <c r="E49" i="4"/>
  <c r="C49" i="4"/>
  <c r="N48" i="4"/>
  <c r="M48" i="4"/>
  <c r="L48" i="4"/>
  <c r="K48" i="4"/>
  <c r="J48" i="4"/>
  <c r="I48" i="4"/>
  <c r="H48" i="4"/>
  <c r="F48" i="4" s="1"/>
  <c r="G48" i="4"/>
  <c r="E48" i="4"/>
  <c r="C48" i="4"/>
  <c r="N47" i="4"/>
  <c r="M47" i="4"/>
  <c r="L47" i="4"/>
  <c r="K47" i="4"/>
  <c r="J47" i="4"/>
  <c r="I47" i="4"/>
  <c r="H47" i="4"/>
  <c r="F47" i="4" s="1"/>
  <c r="D47" i="4" s="1"/>
  <c r="G47" i="4"/>
  <c r="E47" i="4"/>
  <c r="C47" i="4"/>
  <c r="N46" i="4"/>
  <c r="M46" i="4"/>
  <c r="L46" i="4"/>
  <c r="K46" i="4"/>
  <c r="J46" i="4"/>
  <c r="I46" i="4"/>
  <c r="H46" i="4"/>
  <c r="G46" i="4"/>
  <c r="E46" i="4"/>
  <c r="C46" i="4"/>
  <c r="N45" i="4"/>
  <c r="M45" i="4"/>
  <c r="L45" i="4"/>
  <c r="K45" i="4"/>
  <c r="J45" i="4"/>
  <c r="I45" i="4"/>
  <c r="H45" i="4"/>
  <c r="G45" i="4"/>
  <c r="E45" i="4"/>
  <c r="C45" i="4"/>
  <c r="N44" i="4"/>
  <c r="M44" i="4"/>
  <c r="L44" i="4"/>
  <c r="K44" i="4"/>
  <c r="J44" i="4"/>
  <c r="I44" i="4"/>
  <c r="H44" i="4"/>
  <c r="F44" i="4" s="1"/>
  <c r="G44" i="4"/>
  <c r="E44" i="4"/>
  <c r="C44" i="4"/>
  <c r="N43" i="4"/>
  <c r="M43" i="4"/>
  <c r="L43" i="4"/>
  <c r="K43" i="4"/>
  <c r="J43" i="4"/>
  <c r="I43" i="4"/>
  <c r="H43" i="4"/>
  <c r="F43" i="4" s="1"/>
  <c r="G43" i="4"/>
  <c r="E43" i="4"/>
  <c r="C43" i="4"/>
  <c r="N42" i="4"/>
  <c r="M42" i="4"/>
  <c r="L42" i="4"/>
  <c r="K42" i="4"/>
  <c r="J42" i="4"/>
  <c r="I42" i="4"/>
  <c r="H42" i="4"/>
  <c r="G42" i="4"/>
  <c r="E42" i="4"/>
  <c r="C42" i="4"/>
  <c r="N41" i="4"/>
  <c r="M41" i="4"/>
  <c r="L41" i="4"/>
  <c r="K41" i="4"/>
  <c r="J41" i="4"/>
  <c r="I41" i="4"/>
  <c r="H41" i="4"/>
  <c r="G41" i="4"/>
  <c r="E41" i="4"/>
  <c r="C41" i="4"/>
  <c r="N40" i="4"/>
  <c r="M40" i="4"/>
  <c r="L40" i="4"/>
  <c r="K40" i="4"/>
  <c r="J40" i="4"/>
  <c r="I40" i="4"/>
  <c r="H40" i="4"/>
  <c r="F40" i="4" s="1"/>
  <c r="G40" i="4"/>
  <c r="E40" i="4"/>
  <c r="C40" i="4"/>
  <c r="N39" i="4"/>
  <c r="M39" i="4"/>
  <c r="L39" i="4"/>
  <c r="K39" i="4"/>
  <c r="J39" i="4"/>
  <c r="I39" i="4"/>
  <c r="H39" i="4"/>
  <c r="F39" i="4" s="1"/>
  <c r="G39" i="4"/>
  <c r="E39" i="4"/>
  <c r="C39" i="4"/>
  <c r="N38" i="4"/>
  <c r="M38" i="4"/>
  <c r="L38" i="4"/>
  <c r="K38" i="4"/>
  <c r="J38" i="4"/>
  <c r="I38" i="4"/>
  <c r="H38" i="4"/>
  <c r="G38" i="4"/>
  <c r="E38" i="4"/>
  <c r="C38" i="4"/>
  <c r="N37" i="4"/>
  <c r="M37" i="4"/>
  <c r="L37" i="4"/>
  <c r="K37" i="4"/>
  <c r="J37" i="4"/>
  <c r="I37" i="4"/>
  <c r="H37" i="4"/>
  <c r="G37" i="4"/>
  <c r="E37" i="4"/>
  <c r="C37" i="4"/>
  <c r="N36" i="4"/>
  <c r="M36" i="4"/>
  <c r="L36" i="4"/>
  <c r="K36" i="4"/>
  <c r="J36" i="4"/>
  <c r="I36" i="4"/>
  <c r="H36" i="4"/>
  <c r="F36" i="4" s="1"/>
  <c r="G36" i="4"/>
  <c r="E36" i="4"/>
  <c r="C36" i="4"/>
  <c r="N35" i="4"/>
  <c r="M35" i="4"/>
  <c r="L35" i="4"/>
  <c r="K35" i="4"/>
  <c r="J35" i="4"/>
  <c r="I35" i="4"/>
  <c r="H35" i="4"/>
  <c r="F35" i="4" s="1"/>
  <c r="G35" i="4"/>
  <c r="E35" i="4"/>
  <c r="C35" i="4"/>
  <c r="N34" i="4"/>
  <c r="M34" i="4"/>
  <c r="L34" i="4"/>
  <c r="K34" i="4"/>
  <c r="J34" i="4"/>
  <c r="I34" i="4"/>
  <c r="H34" i="4"/>
  <c r="G34" i="4"/>
  <c r="E34" i="4"/>
  <c r="C34" i="4"/>
  <c r="N33" i="4"/>
  <c r="M33" i="4"/>
  <c r="L33" i="4"/>
  <c r="K33" i="4"/>
  <c r="J33" i="4"/>
  <c r="I33" i="4"/>
  <c r="H33" i="4"/>
  <c r="G33" i="4"/>
  <c r="E33" i="4"/>
  <c r="C33" i="4"/>
  <c r="N32" i="4"/>
  <c r="M32" i="4"/>
  <c r="L32" i="4"/>
  <c r="K32" i="4"/>
  <c r="J32" i="4"/>
  <c r="I32" i="4"/>
  <c r="H32" i="4"/>
  <c r="F32" i="4" s="1"/>
  <c r="G32" i="4"/>
  <c r="E32" i="4"/>
  <c r="C32" i="4"/>
  <c r="N31" i="4"/>
  <c r="M31" i="4"/>
  <c r="L31" i="4"/>
  <c r="K31" i="4"/>
  <c r="J31" i="4"/>
  <c r="I31" i="4"/>
  <c r="H31" i="4"/>
  <c r="F31" i="4" s="1"/>
  <c r="G31" i="4"/>
  <c r="E31" i="4"/>
  <c r="C31" i="4"/>
  <c r="N30" i="4"/>
  <c r="M30" i="4"/>
  <c r="L30" i="4"/>
  <c r="K30" i="4"/>
  <c r="J30" i="4"/>
  <c r="I30" i="4"/>
  <c r="H30" i="4"/>
  <c r="F30" i="4" s="1"/>
  <c r="G30" i="4"/>
  <c r="E30" i="4"/>
  <c r="C30" i="4"/>
  <c r="N29" i="4"/>
  <c r="M29" i="4"/>
  <c r="L29" i="4"/>
  <c r="K29" i="4"/>
  <c r="J29" i="4"/>
  <c r="I29" i="4"/>
  <c r="H29" i="4"/>
  <c r="G29" i="4"/>
  <c r="E29" i="4"/>
  <c r="C29" i="4"/>
  <c r="N28" i="4"/>
  <c r="M28" i="4"/>
  <c r="L28" i="4"/>
  <c r="K28" i="4"/>
  <c r="J28" i="4"/>
  <c r="I28" i="4"/>
  <c r="H28" i="4"/>
  <c r="F28" i="4" s="1"/>
  <c r="G28" i="4"/>
  <c r="E28" i="4"/>
  <c r="C28" i="4"/>
  <c r="N27" i="4"/>
  <c r="M27" i="4"/>
  <c r="L27" i="4"/>
  <c r="K27" i="4"/>
  <c r="J27" i="4"/>
  <c r="I27" i="4"/>
  <c r="H27" i="4"/>
  <c r="F27" i="4" s="1"/>
  <c r="G27" i="4"/>
  <c r="E27" i="4"/>
  <c r="C27" i="4"/>
  <c r="N26" i="4"/>
  <c r="M26" i="4"/>
  <c r="L26" i="4"/>
  <c r="K26" i="4"/>
  <c r="J26" i="4"/>
  <c r="I26" i="4"/>
  <c r="H26" i="4"/>
  <c r="F26" i="4" s="1"/>
  <c r="G26" i="4"/>
  <c r="E26" i="4"/>
  <c r="C26" i="4"/>
  <c r="N25" i="4"/>
  <c r="M25" i="4"/>
  <c r="L25" i="4"/>
  <c r="K25" i="4"/>
  <c r="J25" i="4"/>
  <c r="I25" i="4"/>
  <c r="H25" i="4"/>
  <c r="G25" i="4"/>
  <c r="E25" i="4"/>
  <c r="C25" i="4"/>
  <c r="N24" i="4"/>
  <c r="M24" i="4"/>
  <c r="L24" i="4"/>
  <c r="K24" i="4"/>
  <c r="J24" i="4"/>
  <c r="I24" i="4"/>
  <c r="H24" i="4"/>
  <c r="F24" i="4" s="1"/>
  <c r="G24" i="4"/>
  <c r="E24" i="4"/>
  <c r="C24" i="4"/>
  <c r="N23" i="4"/>
  <c r="M23" i="4"/>
  <c r="L23" i="4"/>
  <c r="K23" i="4"/>
  <c r="J23" i="4"/>
  <c r="I23" i="4"/>
  <c r="H23" i="4"/>
  <c r="F23" i="4" s="1"/>
  <c r="G23" i="4"/>
  <c r="E23" i="4"/>
  <c r="C23" i="4"/>
  <c r="N22" i="4"/>
  <c r="M22" i="4"/>
  <c r="L22" i="4"/>
  <c r="K22" i="4"/>
  <c r="J22" i="4"/>
  <c r="I22" i="4"/>
  <c r="H22" i="4"/>
  <c r="F22" i="4" s="1"/>
  <c r="G22" i="4"/>
  <c r="E22" i="4"/>
  <c r="C22" i="4"/>
  <c r="N21" i="4"/>
  <c r="M21" i="4"/>
  <c r="L21" i="4"/>
  <c r="K21" i="4"/>
  <c r="J21" i="4"/>
  <c r="I21" i="4"/>
  <c r="H21" i="4"/>
  <c r="G21" i="4"/>
  <c r="E21" i="4"/>
  <c r="C21" i="4"/>
  <c r="N20" i="4"/>
  <c r="M20" i="4"/>
  <c r="L20" i="4"/>
  <c r="K20" i="4"/>
  <c r="J20" i="4"/>
  <c r="I20" i="4"/>
  <c r="H20" i="4"/>
  <c r="F20" i="4" s="1"/>
  <c r="G20" i="4"/>
  <c r="E20" i="4"/>
  <c r="C20" i="4"/>
  <c r="N19" i="4"/>
  <c r="M19" i="4"/>
  <c r="L19" i="4"/>
  <c r="K19" i="4"/>
  <c r="J19" i="4"/>
  <c r="I19" i="4"/>
  <c r="H19" i="4"/>
  <c r="F19" i="4" s="1"/>
  <c r="G19" i="4"/>
  <c r="E19" i="4"/>
  <c r="C19" i="4"/>
  <c r="N18" i="4"/>
  <c r="M18" i="4"/>
  <c r="L18" i="4"/>
  <c r="K18" i="4"/>
  <c r="J18" i="4"/>
  <c r="I18" i="4"/>
  <c r="H18" i="4"/>
  <c r="F18" i="4" s="1"/>
  <c r="G18" i="4"/>
  <c r="E18" i="4"/>
  <c r="C18" i="4"/>
  <c r="N17" i="4"/>
  <c r="M17" i="4"/>
  <c r="L17" i="4"/>
  <c r="K17" i="4"/>
  <c r="J17" i="4"/>
  <c r="I17" i="4"/>
  <c r="H17" i="4"/>
  <c r="G17" i="4"/>
  <c r="E17" i="4"/>
  <c r="C17" i="4"/>
  <c r="N16" i="4"/>
  <c r="M16" i="4"/>
  <c r="L16" i="4"/>
  <c r="K16" i="4"/>
  <c r="J16" i="4"/>
  <c r="I16" i="4"/>
  <c r="H16" i="4"/>
  <c r="F16" i="4" s="1"/>
  <c r="G16" i="4"/>
  <c r="E16" i="4"/>
  <c r="C16" i="4"/>
  <c r="N15" i="4"/>
  <c r="M15" i="4"/>
  <c r="L15" i="4"/>
  <c r="K15" i="4"/>
  <c r="J15" i="4"/>
  <c r="I15" i="4"/>
  <c r="H15" i="4"/>
  <c r="F15" i="4" s="1"/>
  <c r="G15" i="4"/>
  <c r="E15" i="4"/>
  <c r="C15" i="4"/>
  <c r="N14" i="4"/>
  <c r="M14" i="4"/>
  <c r="L14" i="4"/>
  <c r="K14" i="4"/>
  <c r="J14" i="4"/>
  <c r="I14" i="4"/>
  <c r="H14" i="4"/>
  <c r="F14" i="4" s="1"/>
  <c r="G14" i="4"/>
  <c r="E14" i="4"/>
  <c r="C14" i="4"/>
  <c r="N13" i="4"/>
  <c r="M13" i="4"/>
  <c r="L13" i="4"/>
  <c r="K13" i="4"/>
  <c r="J13" i="4"/>
  <c r="I13" i="4"/>
  <c r="H13" i="4"/>
  <c r="G13" i="4"/>
  <c r="E13" i="4"/>
  <c r="C13" i="4"/>
  <c r="N12" i="4"/>
  <c r="M12" i="4"/>
  <c r="L12" i="4"/>
  <c r="K12" i="4"/>
  <c r="J12" i="4"/>
  <c r="I12" i="4"/>
  <c r="H12" i="4"/>
  <c r="F12" i="4" s="1"/>
  <c r="G12" i="4"/>
  <c r="E12" i="4"/>
  <c r="C12" i="4"/>
  <c r="N11" i="4"/>
  <c r="M11" i="4"/>
  <c r="L11" i="4"/>
  <c r="L8" i="4" s="1"/>
  <c r="K11" i="4"/>
  <c r="K8" i="4" s="1"/>
  <c r="J11" i="4"/>
  <c r="I11" i="4"/>
  <c r="H11" i="4"/>
  <c r="F11" i="4" s="1"/>
  <c r="G11" i="4"/>
  <c r="E11" i="4"/>
  <c r="C11" i="4"/>
  <c r="N10" i="4"/>
  <c r="M10" i="4"/>
  <c r="M8" i="4" s="1"/>
  <c r="L10" i="4"/>
  <c r="K10" i="4"/>
  <c r="J10" i="4"/>
  <c r="I10" i="4"/>
  <c r="H10" i="4"/>
  <c r="F10" i="4" s="1"/>
  <c r="G10" i="4"/>
  <c r="E10" i="4"/>
  <c r="C10" i="4"/>
  <c r="N9" i="4"/>
  <c r="N8" i="4" s="1"/>
  <c r="M9" i="4"/>
  <c r="L9" i="4"/>
  <c r="K9" i="4"/>
  <c r="J9" i="4"/>
  <c r="I9" i="4"/>
  <c r="H9" i="4"/>
  <c r="G9" i="4"/>
  <c r="G8" i="4" s="1"/>
  <c r="C4" i="3" s="1"/>
  <c r="E9" i="4"/>
  <c r="E8" i="4" s="1"/>
  <c r="D3" i="3" s="1"/>
  <c r="C9" i="4"/>
  <c r="J8" i="4"/>
  <c r="I8" i="4"/>
  <c r="C6" i="3" s="1"/>
  <c r="D6" i="3" s="1"/>
  <c r="E6" i="3" s="1"/>
  <c r="C8" i="4"/>
  <c r="V17" i="45"/>
  <c r="V9" i="45" s="1"/>
  <c r="U17" i="45"/>
  <c r="T17" i="45"/>
  <c r="S17" i="45"/>
  <c r="R17" i="45"/>
  <c r="Q17" i="45"/>
  <c r="P17" i="45"/>
  <c r="O17" i="45"/>
  <c r="N17" i="45"/>
  <c r="N9" i="45" s="1"/>
  <c r="M17" i="45"/>
  <c r="L17" i="45"/>
  <c r="K17" i="45"/>
  <c r="J17" i="45"/>
  <c r="I17" i="45"/>
  <c r="H17" i="45"/>
  <c r="G17" i="45"/>
  <c r="F17" i="45"/>
  <c r="F9" i="45" s="1"/>
  <c r="E17" i="45"/>
  <c r="D17" i="45"/>
  <c r="C17" i="45"/>
  <c r="V13" i="45"/>
  <c r="U13" i="45"/>
  <c r="T13" i="45"/>
  <c r="S13" i="45"/>
  <c r="R13" i="45"/>
  <c r="Q13" i="45"/>
  <c r="P13" i="45"/>
  <c r="P9" i="45" s="1"/>
  <c r="O13" i="45"/>
  <c r="N13" i="45"/>
  <c r="M13" i="45"/>
  <c r="L13" i="45"/>
  <c r="K13" i="45"/>
  <c r="J13" i="45"/>
  <c r="I13" i="45"/>
  <c r="H13" i="45"/>
  <c r="H9" i="45" s="1"/>
  <c r="G13" i="45"/>
  <c r="F13" i="45"/>
  <c r="E13" i="45"/>
  <c r="D13" i="45"/>
  <c r="C13" i="45"/>
  <c r="V10" i="45"/>
  <c r="U10" i="45"/>
  <c r="U9" i="45" s="1"/>
  <c r="T10" i="45"/>
  <c r="T9" i="45" s="1"/>
  <c r="S10" i="45"/>
  <c r="S9" i="45" s="1"/>
  <c r="R10" i="45"/>
  <c r="Q10" i="45"/>
  <c r="P10" i="45"/>
  <c r="O10" i="45"/>
  <c r="O9" i="45" s="1"/>
  <c r="N10" i="45"/>
  <c r="M10" i="45"/>
  <c r="M9" i="45" s="1"/>
  <c r="L10" i="45"/>
  <c r="L9" i="45" s="1"/>
  <c r="K10" i="45"/>
  <c r="K9" i="45" s="1"/>
  <c r="J10" i="45"/>
  <c r="I10" i="45"/>
  <c r="H10" i="45"/>
  <c r="G10" i="45"/>
  <c r="G9" i="45" s="1"/>
  <c r="F10" i="45"/>
  <c r="E10" i="45"/>
  <c r="E9" i="45" s="1"/>
  <c r="D10" i="45"/>
  <c r="D9" i="45" s="1"/>
  <c r="C10" i="45"/>
  <c r="C9" i="45" s="1"/>
  <c r="R9" i="45"/>
  <c r="Q9" i="45"/>
  <c r="J9" i="45"/>
  <c r="I9" i="45"/>
  <c r="A3" i="45"/>
  <c r="V13" i="46"/>
  <c r="V11" i="46"/>
  <c r="V7" i="46"/>
  <c r="AL6" i="46"/>
  <c r="AM6" i="46" s="1"/>
  <c r="S6" i="46"/>
  <c r="R6" i="46"/>
  <c r="Q6" i="46"/>
  <c r="P6" i="46"/>
  <c r="O6" i="46"/>
  <c r="N6" i="46"/>
  <c r="M6" i="46"/>
  <c r="L6" i="46"/>
  <c r="K6" i="46"/>
  <c r="J6" i="46"/>
  <c r="I6" i="46"/>
  <c r="H6" i="46"/>
  <c r="A3" i="46"/>
  <c r="Z11" i="42"/>
  <c r="V11" i="42" s="1"/>
  <c r="V10" i="42" s="1"/>
  <c r="V9" i="42" s="1"/>
  <c r="W11" i="42"/>
  <c r="S11" i="42"/>
  <c r="P11" i="42"/>
  <c r="O11" i="42" s="1"/>
  <c r="O10" i="42" s="1"/>
  <c r="O9" i="42" s="1"/>
  <c r="L11" i="42"/>
  <c r="G11" i="42" s="1"/>
  <c r="G10" i="42" s="1"/>
  <c r="G9" i="42" s="1"/>
  <c r="I11" i="42"/>
  <c r="H11" i="42" s="1"/>
  <c r="H10" i="42" s="1"/>
  <c r="H9" i="42" s="1"/>
  <c r="AB10" i="42"/>
  <c r="AA10" i="42"/>
  <c r="Z10" i="42"/>
  <c r="Z9" i="42" s="1"/>
  <c r="Y10" i="42"/>
  <c r="Y9" i="42" s="1"/>
  <c r="X10" i="42"/>
  <c r="W10" i="42"/>
  <c r="U10" i="42"/>
  <c r="T10" i="42"/>
  <c r="S10" i="42"/>
  <c r="R10" i="42"/>
  <c r="R9" i="42" s="1"/>
  <c r="Q10" i="42"/>
  <c r="P10" i="42"/>
  <c r="N10" i="42"/>
  <c r="M10" i="42"/>
  <c r="K10" i="42"/>
  <c r="J10" i="42"/>
  <c r="J9" i="42" s="1"/>
  <c r="I10" i="42"/>
  <c r="I9" i="42" s="1"/>
  <c r="AB9" i="42"/>
  <c r="AA9" i="42"/>
  <c r="X9" i="42"/>
  <c r="W9" i="42"/>
  <c r="U9" i="42"/>
  <c r="T9" i="42"/>
  <c r="S9" i="42"/>
  <c r="Q9" i="42"/>
  <c r="P9" i="42"/>
  <c r="N9" i="42"/>
  <c r="M9" i="42"/>
  <c r="K9" i="42"/>
  <c r="D9" i="42"/>
  <c r="E125" i="39"/>
  <c r="E124" i="39"/>
  <c r="C124" i="39" s="1"/>
  <c r="E123" i="39"/>
  <c r="E122" i="39"/>
  <c r="E121" i="39"/>
  <c r="R121" i="39" s="1"/>
  <c r="Q120" i="39"/>
  <c r="P120" i="39"/>
  <c r="O120" i="39"/>
  <c r="N120" i="39"/>
  <c r="E120" i="39" s="1"/>
  <c r="M120" i="39"/>
  <c r="L120" i="39"/>
  <c r="K120" i="39"/>
  <c r="J120" i="39"/>
  <c r="I120" i="39"/>
  <c r="G120" i="39"/>
  <c r="F120" i="39"/>
  <c r="D120" i="39"/>
  <c r="E118" i="39"/>
  <c r="C118" i="39" s="1"/>
  <c r="E117" i="39"/>
  <c r="E116" i="39"/>
  <c r="E115" i="39"/>
  <c r="C115" i="39" s="1"/>
  <c r="E114" i="39"/>
  <c r="C114" i="39" s="1"/>
  <c r="Q113" i="39"/>
  <c r="P113" i="39"/>
  <c r="O113" i="39"/>
  <c r="N113" i="39"/>
  <c r="M113" i="39"/>
  <c r="L113" i="39"/>
  <c r="K113" i="39"/>
  <c r="J113" i="39"/>
  <c r="I113" i="39"/>
  <c r="G113" i="39"/>
  <c r="D113" i="39"/>
  <c r="E112" i="39"/>
  <c r="E111" i="39"/>
  <c r="E110" i="39"/>
  <c r="E109" i="39"/>
  <c r="E108" i="39"/>
  <c r="R108" i="39" s="1"/>
  <c r="E107" i="39"/>
  <c r="C107" i="39" s="1"/>
  <c r="E106" i="39"/>
  <c r="C106" i="39" s="1"/>
  <c r="E105" i="39"/>
  <c r="R105" i="39" s="1"/>
  <c r="Q104" i="39"/>
  <c r="P104" i="39"/>
  <c r="O104" i="39"/>
  <c r="M104" i="39"/>
  <c r="L104" i="39"/>
  <c r="K104" i="39"/>
  <c r="J104" i="39"/>
  <c r="I104" i="39"/>
  <c r="H104" i="39"/>
  <c r="G104" i="39"/>
  <c r="F104" i="39"/>
  <c r="D104" i="39"/>
  <c r="E103" i="39"/>
  <c r="E102" i="39"/>
  <c r="R102" i="39" s="1"/>
  <c r="C102" i="39"/>
  <c r="E101" i="39"/>
  <c r="R101" i="39" s="1"/>
  <c r="C101" i="39"/>
  <c r="Q100" i="39"/>
  <c r="P100" i="39"/>
  <c r="O100" i="39"/>
  <c r="M100" i="39"/>
  <c r="L100" i="39"/>
  <c r="K100" i="39"/>
  <c r="J100" i="39"/>
  <c r="I100" i="39"/>
  <c r="G100" i="39"/>
  <c r="F100" i="39"/>
  <c r="E100" i="39"/>
  <c r="R100" i="39" s="1"/>
  <c r="D100" i="39"/>
  <c r="E99" i="39"/>
  <c r="E98" i="39"/>
  <c r="E97" i="39"/>
  <c r="E96" i="39"/>
  <c r="R96" i="39" s="1"/>
  <c r="E95" i="39"/>
  <c r="R95" i="39" s="1"/>
  <c r="C95" i="39"/>
  <c r="Q94" i="39"/>
  <c r="P94" i="39"/>
  <c r="O94" i="39"/>
  <c r="O78" i="39" s="1"/>
  <c r="N94" i="39"/>
  <c r="N78" i="39" s="1"/>
  <c r="M94" i="39"/>
  <c r="L94" i="39"/>
  <c r="K94" i="39"/>
  <c r="K78" i="39" s="1"/>
  <c r="J94" i="39"/>
  <c r="J78" i="39" s="1"/>
  <c r="I94" i="39"/>
  <c r="H94" i="39"/>
  <c r="G94" i="39"/>
  <c r="G78" i="39" s="1"/>
  <c r="F94" i="39"/>
  <c r="F78" i="39" s="1"/>
  <c r="D94" i="39"/>
  <c r="E93" i="39"/>
  <c r="E92" i="39"/>
  <c r="R92" i="39" s="1"/>
  <c r="C92" i="39"/>
  <c r="E91" i="39"/>
  <c r="E90" i="39"/>
  <c r="E89" i="39"/>
  <c r="E88" i="39"/>
  <c r="E87" i="39"/>
  <c r="E86" i="39"/>
  <c r="E85" i="39"/>
  <c r="M84" i="39"/>
  <c r="E84" i="39" s="1"/>
  <c r="D84" i="39"/>
  <c r="E83" i="39"/>
  <c r="M82" i="39"/>
  <c r="E82" i="39" s="1"/>
  <c r="E81" i="39"/>
  <c r="E80" i="39"/>
  <c r="E79" i="39"/>
  <c r="C79" i="39" s="1"/>
  <c r="Q78" i="39"/>
  <c r="P78" i="39"/>
  <c r="L78" i="39"/>
  <c r="I78" i="39"/>
  <c r="H78" i="39"/>
  <c r="D78" i="39"/>
  <c r="E77" i="39"/>
  <c r="E76" i="39"/>
  <c r="C76" i="39" s="1"/>
  <c r="E75" i="39"/>
  <c r="E74" i="39"/>
  <c r="E73" i="39"/>
  <c r="E72" i="39"/>
  <c r="E71" i="39"/>
  <c r="Q70" i="39"/>
  <c r="P70" i="39"/>
  <c r="O70" i="39"/>
  <c r="N70" i="39"/>
  <c r="M70" i="39"/>
  <c r="L70" i="39"/>
  <c r="K70" i="39"/>
  <c r="J70" i="39"/>
  <c r="I70" i="39"/>
  <c r="G70" i="39"/>
  <c r="F70" i="39"/>
  <c r="E69" i="39"/>
  <c r="E68" i="39"/>
  <c r="R68" i="39" s="1"/>
  <c r="C68" i="39"/>
  <c r="E67" i="39"/>
  <c r="R67" i="39" s="1"/>
  <c r="E66" i="39"/>
  <c r="E65" i="39"/>
  <c r="E64" i="39"/>
  <c r="F63" i="39"/>
  <c r="F61" i="39" s="1"/>
  <c r="E63" i="39"/>
  <c r="E62" i="39"/>
  <c r="Q61" i="39"/>
  <c r="P61" i="39"/>
  <c r="O61" i="39"/>
  <c r="N61" i="39"/>
  <c r="N53" i="39" s="1"/>
  <c r="M61" i="39"/>
  <c r="L61" i="39"/>
  <c r="K61" i="39"/>
  <c r="J61" i="39"/>
  <c r="I61" i="39"/>
  <c r="G61" i="39"/>
  <c r="E60" i="39"/>
  <c r="E59" i="39"/>
  <c r="E58" i="39"/>
  <c r="E57" i="39"/>
  <c r="E56" i="39"/>
  <c r="E55" i="39" s="1"/>
  <c r="C55" i="39" s="1"/>
  <c r="Q55" i="39"/>
  <c r="Q53" i="39" s="1"/>
  <c r="P55" i="39"/>
  <c r="O55" i="39"/>
  <c r="N55" i="39"/>
  <c r="M55" i="39"/>
  <c r="L55" i="39"/>
  <c r="L53" i="39" s="1"/>
  <c r="K55" i="39"/>
  <c r="K53" i="39" s="1"/>
  <c r="J55" i="39"/>
  <c r="I55" i="39"/>
  <c r="G55" i="39"/>
  <c r="F55" i="39"/>
  <c r="E54" i="39"/>
  <c r="R54" i="39" s="1"/>
  <c r="C54" i="39"/>
  <c r="H53" i="39"/>
  <c r="H10" i="39" s="1"/>
  <c r="C25" i="13" s="1"/>
  <c r="D53" i="39"/>
  <c r="E52" i="39"/>
  <c r="E51" i="39"/>
  <c r="E50" i="39"/>
  <c r="M49" i="39"/>
  <c r="E49" i="39" s="1"/>
  <c r="E48" i="39"/>
  <c r="C48" i="39" s="1"/>
  <c r="E47" i="39"/>
  <c r="C47" i="39"/>
  <c r="E46" i="39"/>
  <c r="C46" i="39" s="1"/>
  <c r="N45" i="39"/>
  <c r="N32" i="39" s="1"/>
  <c r="E44" i="39"/>
  <c r="C44" i="39" s="1"/>
  <c r="E43" i="39"/>
  <c r="C43" i="39" s="1"/>
  <c r="E42" i="39"/>
  <c r="C42" i="39" s="1"/>
  <c r="E41" i="39"/>
  <c r="R41" i="39" s="1"/>
  <c r="E40" i="39"/>
  <c r="R40" i="39" s="1"/>
  <c r="E39" i="39"/>
  <c r="C39" i="39" s="1"/>
  <c r="E38" i="39"/>
  <c r="C38" i="39" s="1"/>
  <c r="P37" i="39"/>
  <c r="E37" i="39" s="1"/>
  <c r="C37" i="39" s="1"/>
  <c r="E36" i="39"/>
  <c r="R36" i="39" s="1"/>
  <c r="E35" i="39"/>
  <c r="R35" i="39" s="1"/>
  <c r="C35" i="39"/>
  <c r="E34" i="39"/>
  <c r="R34" i="39" s="1"/>
  <c r="C34" i="39"/>
  <c r="E33" i="39"/>
  <c r="C33" i="39" s="1"/>
  <c r="Q32" i="39"/>
  <c r="O32" i="39"/>
  <c r="L32" i="39"/>
  <c r="K32" i="39"/>
  <c r="J32" i="39"/>
  <c r="I32" i="39"/>
  <c r="H32" i="39"/>
  <c r="G32" i="39"/>
  <c r="F32" i="39"/>
  <c r="D32" i="39"/>
  <c r="E31" i="39"/>
  <c r="N30" i="39"/>
  <c r="E30" i="39"/>
  <c r="R30" i="39" s="1"/>
  <c r="E29" i="39"/>
  <c r="E28" i="39"/>
  <c r="E27" i="39"/>
  <c r="E26" i="39"/>
  <c r="E25" i="39"/>
  <c r="N24" i="39"/>
  <c r="E24" i="39" s="1"/>
  <c r="E23" i="39"/>
  <c r="R23" i="39" s="1"/>
  <c r="R22" i="39"/>
  <c r="E22" i="39"/>
  <c r="C22" i="39"/>
  <c r="Q21" i="39"/>
  <c r="P21" i="39"/>
  <c r="O21" i="39"/>
  <c r="N21" i="39"/>
  <c r="M21" i="39"/>
  <c r="L21" i="39"/>
  <c r="K21" i="39"/>
  <c r="J21" i="39"/>
  <c r="I21" i="39"/>
  <c r="H21" i="39"/>
  <c r="G21" i="39"/>
  <c r="F21" i="39"/>
  <c r="D21" i="39"/>
  <c r="E20" i="39"/>
  <c r="E19" i="39"/>
  <c r="R19" i="39" s="1"/>
  <c r="C19" i="39"/>
  <c r="E18" i="39"/>
  <c r="C18" i="39" s="1"/>
  <c r="E17" i="39"/>
  <c r="R17" i="39" s="1"/>
  <c r="C17" i="39"/>
  <c r="E16" i="39"/>
  <c r="R16" i="39" s="1"/>
  <c r="C16" i="39"/>
  <c r="E15" i="39"/>
  <c r="R15" i="39" s="1"/>
  <c r="C15" i="39"/>
  <c r="E14" i="39"/>
  <c r="C14" i="39" s="1"/>
  <c r="E13" i="39"/>
  <c r="Q12" i="39"/>
  <c r="Q11" i="39" s="1"/>
  <c r="P12" i="39"/>
  <c r="P11" i="39" s="1"/>
  <c r="O12" i="39"/>
  <c r="O11" i="39" s="1"/>
  <c r="N12" i="39"/>
  <c r="M12" i="39"/>
  <c r="M11" i="39" s="1"/>
  <c r="L12" i="39"/>
  <c r="L11" i="39" s="1"/>
  <c r="K12" i="39"/>
  <c r="K11" i="39" s="1"/>
  <c r="J12" i="39"/>
  <c r="I12" i="39"/>
  <c r="I11" i="39" s="1"/>
  <c r="G12" i="39"/>
  <c r="G11" i="39" s="1"/>
  <c r="F12" i="39"/>
  <c r="F11" i="39" s="1"/>
  <c r="D12" i="39"/>
  <c r="D11" i="39" s="1"/>
  <c r="N11" i="39"/>
  <c r="J11" i="39"/>
  <c r="Q4" i="39"/>
  <c r="N4" i="39"/>
  <c r="E4" i="39" s="1"/>
  <c r="E5" i="39" s="1"/>
  <c r="M4" i="39"/>
  <c r="C9" i="13"/>
  <c r="A3" i="13"/>
  <c r="D43" i="16"/>
  <c r="C43" i="16"/>
  <c r="D42" i="16"/>
  <c r="C42" i="16"/>
  <c r="D41" i="16"/>
  <c r="C41" i="16"/>
  <c r="D37" i="16"/>
  <c r="C37" i="16"/>
  <c r="D27" i="16"/>
  <c r="D11" i="16" s="1"/>
  <c r="D8" i="16" s="1"/>
  <c r="D22" i="16"/>
  <c r="C22" i="16"/>
  <c r="D17" i="16"/>
  <c r="C17" i="16"/>
  <c r="D12" i="16"/>
  <c r="C12" i="16"/>
  <c r="C11" i="16"/>
  <c r="C8" i="16" s="1"/>
  <c r="C9" i="16" s="1"/>
  <c r="C10" i="16" s="1"/>
  <c r="A3" i="16"/>
  <c r="C37" i="15"/>
  <c r="C36" i="15"/>
  <c r="C35" i="15"/>
  <c r="C34" i="15"/>
  <c r="C33" i="15"/>
  <c r="C32" i="15"/>
  <c r="B30" i="15"/>
  <c r="C25" i="15"/>
  <c r="C18" i="15"/>
  <c r="E12" i="15"/>
  <c r="C11" i="15"/>
  <c r="C8" i="15"/>
  <c r="R82" i="39" l="1"/>
  <c r="C82" i="39"/>
  <c r="W9" i="45"/>
  <c r="W11" i="45" s="1"/>
  <c r="F25" i="4"/>
  <c r="D25" i="4" s="1"/>
  <c r="F33" i="4"/>
  <c r="D33" i="4" s="1"/>
  <c r="F37" i="4"/>
  <c r="D37" i="4" s="1"/>
  <c r="D47" i="5"/>
  <c r="J87" i="5"/>
  <c r="M85" i="5"/>
  <c r="L203" i="5"/>
  <c r="J203" i="5" s="1"/>
  <c r="U11" i="34"/>
  <c r="U10" i="34" s="1"/>
  <c r="AG46" i="34"/>
  <c r="F9" i="4"/>
  <c r="F8" i="4" s="1"/>
  <c r="F29" i="4"/>
  <c r="D29" i="4" s="1"/>
  <c r="C17" i="15"/>
  <c r="P32" i="39"/>
  <c r="P10" i="39" s="1"/>
  <c r="C36" i="39"/>
  <c r="C40" i="39"/>
  <c r="E45" i="39"/>
  <c r="C45" i="39" s="1"/>
  <c r="E70" i="39"/>
  <c r="C70" i="39" s="1"/>
  <c r="C96" i="39"/>
  <c r="C108" i="39"/>
  <c r="M88" i="5"/>
  <c r="M120" i="5"/>
  <c r="J121" i="5"/>
  <c r="K125" i="5"/>
  <c r="M152" i="5"/>
  <c r="J153" i="5"/>
  <c r="F164" i="5"/>
  <c r="D164" i="5" s="1"/>
  <c r="G163" i="5"/>
  <c r="E33" i="34"/>
  <c r="O11" i="34"/>
  <c r="J166" i="5"/>
  <c r="K163" i="5"/>
  <c r="J163" i="5" s="1"/>
  <c r="F13" i="4"/>
  <c r="D13" i="4" s="1"/>
  <c r="F53" i="39"/>
  <c r="O53" i="39"/>
  <c r="O10" i="39" s="1"/>
  <c r="P53" i="39"/>
  <c r="C67" i="39"/>
  <c r="C100" i="39"/>
  <c r="L10" i="42"/>
  <c r="L9" i="42" s="1"/>
  <c r="D10" i="4"/>
  <c r="D14" i="4"/>
  <c r="D18" i="4"/>
  <c r="D22" i="4"/>
  <c r="D26" i="4"/>
  <c r="D30" i="4"/>
  <c r="F34" i="4"/>
  <c r="D34" i="4" s="1"/>
  <c r="F38" i="4"/>
  <c r="D38" i="4" s="1"/>
  <c r="F42" i="4"/>
  <c r="D42" i="4" s="1"/>
  <c r="F46" i="4"/>
  <c r="D46" i="4" s="1"/>
  <c r="E24" i="5"/>
  <c r="J37" i="5"/>
  <c r="M35" i="5"/>
  <c r="J35" i="5" s="1"/>
  <c r="D54" i="5"/>
  <c r="J120" i="5"/>
  <c r="J152" i="5"/>
  <c r="K190" i="5"/>
  <c r="R39" i="39"/>
  <c r="R124" i="39"/>
  <c r="C7" i="3"/>
  <c r="J45" i="5"/>
  <c r="K44" i="5"/>
  <c r="J44" i="5" s="1"/>
  <c r="C23" i="39"/>
  <c r="C30" i="39"/>
  <c r="C41" i="39"/>
  <c r="C32" i="39" s="1"/>
  <c r="G53" i="39"/>
  <c r="G10" i="39" s="1"/>
  <c r="C105" i="39"/>
  <c r="C121" i="39"/>
  <c r="F15" i="5"/>
  <c r="D15" i="5" s="1"/>
  <c r="G10" i="5"/>
  <c r="F169" i="5"/>
  <c r="D169" i="5" s="1"/>
  <c r="G167" i="5"/>
  <c r="F167" i="5" s="1"/>
  <c r="F178" i="5"/>
  <c r="D178" i="5" s="1"/>
  <c r="G177" i="5"/>
  <c r="M195" i="5"/>
  <c r="F229" i="5"/>
  <c r="C7" i="21"/>
  <c r="D8" i="21" s="1"/>
  <c r="F11" i="42"/>
  <c r="D11" i="4"/>
  <c r="D15" i="4"/>
  <c r="D19" i="4"/>
  <c r="D23" i="4"/>
  <c r="D27" i="4"/>
  <c r="D31" i="4"/>
  <c r="D35" i="4"/>
  <c r="D39" i="4"/>
  <c r="D43" i="4"/>
  <c r="D14" i="5"/>
  <c r="E10" i="5"/>
  <c r="N35" i="5"/>
  <c r="D84" i="5"/>
  <c r="D166" i="5"/>
  <c r="E111" i="34"/>
  <c r="AI112" i="34"/>
  <c r="C112" i="34"/>
  <c r="C111" i="34" s="1"/>
  <c r="F213" i="5"/>
  <c r="H212" i="5"/>
  <c r="F212" i="5" s="1"/>
  <c r="D212" i="5" s="1"/>
  <c r="AG22" i="34"/>
  <c r="C22" i="34"/>
  <c r="R107" i="39"/>
  <c r="F21" i="4"/>
  <c r="D21" i="4" s="1"/>
  <c r="Q10" i="39"/>
  <c r="C34" i="13" s="1"/>
  <c r="J53" i="39"/>
  <c r="M53" i="39"/>
  <c r="C104" i="39"/>
  <c r="V6" i="46"/>
  <c r="AH6" i="46" s="1"/>
  <c r="AI6" i="46" s="1"/>
  <c r="AJ6" i="46" s="1"/>
  <c r="F184" i="5"/>
  <c r="G181" i="5"/>
  <c r="F181" i="5" s="1"/>
  <c r="F209" i="5"/>
  <c r="L10" i="39"/>
  <c r="F17" i="4"/>
  <c r="D17" i="4" s="1"/>
  <c r="C7" i="15"/>
  <c r="K10" i="39"/>
  <c r="H8" i="4"/>
  <c r="D12" i="4"/>
  <c r="D16" i="4"/>
  <c r="D20" i="4"/>
  <c r="D24" i="4"/>
  <c r="D28" i="4"/>
  <c r="D32" i="4"/>
  <c r="D36" i="4"/>
  <c r="D40" i="4"/>
  <c r="D44" i="4"/>
  <c r="H30" i="5"/>
  <c r="F30" i="5" s="1"/>
  <c r="K110" i="5"/>
  <c r="G116" i="5"/>
  <c r="F116" i="5" s="1"/>
  <c r="E185" i="5"/>
  <c r="E49" i="34"/>
  <c r="R47" i="34"/>
  <c r="R12" i="34"/>
  <c r="F50" i="4"/>
  <c r="D50" i="4" s="1"/>
  <c r="F54" i="4"/>
  <c r="D54" i="4" s="1"/>
  <c r="F58" i="4"/>
  <c r="D58" i="4" s="1"/>
  <c r="F62" i="4"/>
  <c r="D62" i="4" s="1"/>
  <c r="F14" i="5"/>
  <c r="I18" i="5"/>
  <c r="F23" i="5"/>
  <c r="J33" i="5"/>
  <c r="J40" i="5"/>
  <c r="F47" i="5"/>
  <c r="H48" i="5"/>
  <c r="J52" i="5"/>
  <c r="J55" i="5"/>
  <c r="F57" i="5"/>
  <c r="D57" i="5" s="1"/>
  <c r="G59" i="5"/>
  <c r="F59" i="5" s="1"/>
  <c r="D59" i="5" s="1"/>
  <c r="M63" i="5"/>
  <c r="J86" i="5"/>
  <c r="J95" i="5"/>
  <c r="D99" i="5"/>
  <c r="H103" i="5"/>
  <c r="J111" i="5"/>
  <c r="H120" i="5"/>
  <c r="F127" i="5"/>
  <c r="D127" i="5" s="1"/>
  <c r="J132" i="5"/>
  <c r="E143" i="5"/>
  <c r="F145" i="5"/>
  <c r="D145" i="5" s="1"/>
  <c r="H149" i="5"/>
  <c r="J151" i="5"/>
  <c r="J213" i="5"/>
  <c r="J214" i="5"/>
  <c r="J235" i="5"/>
  <c r="K13" i="34"/>
  <c r="E29" i="34"/>
  <c r="AG31" i="34"/>
  <c r="C31" i="34"/>
  <c r="C29" i="34" s="1"/>
  <c r="E44" i="34"/>
  <c r="C45" i="34"/>
  <c r="C44" i="34" s="1"/>
  <c r="C57" i="34"/>
  <c r="C56" i="34" s="1"/>
  <c r="E56" i="34"/>
  <c r="AI57" i="34"/>
  <c r="F63" i="34"/>
  <c r="N63" i="34"/>
  <c r="AG79" i="34"/>
  <c r="C79" i="34"/>
  <c r="C77" i="34" s="1"/>
  <c r="AI89" i="34"/>
  <c r="C89" i="34"/>
  <c r="C101" i="34"/>
  <c r="C100" i="34" s="1"/>
  <c r="AI101" i="34"/>
  <c r="C141" i="34"/>
  <c r="C140" i="34" s="1"/>
  <c r="E140" i="34"/>
  <c r="AI141" i="34"/>
  <c r="O136" i="34"/>
  <c r="C149" i="34"/>
  <c r="D136" i="34"/>
  <c r="M19" i="33"/>
  <c r="E83" i="33"/>
  <c r="D27" i="5"/>
  <c r="M39" i="5"/>
  <c r="G48" i="5"/>
  <c r="D71" i="5"/>
  <c r="G79" i="5"/>
  <c r="F79" i="5" s="1"/>
  <c r="N88" i="5"/>
  <c r="H98" i="5"/>
  <c r="J146" i="5"/>
  <c r="M146" i="5"/>
  <c r="J155" i="5"/>
  <c r="J218" i="5"/>
  <c r="T10" i="34"/>
  <c r="C19" i="34"/>
  <c r="E17" i="34"/>
  <c r="AG19" i="34"/>
  <c r="C48" i="34"/>
  <c r="E47" i="34"/>
  <c r="AI48" i="34"/>
  <c r="C69" i="34"/>
  <c r="E68" i="34"/>
  <c r="AI69" i="34"/>
  <c r="AJ63" i="34" s="1"/>
  <c r="C115" i="34"/>
  <c r="C114" i="34" s="1"/>
  <c r="E114" i="34"/>
  <c r="AI115" i="34"/>
  <c r="C129" i="34"/>
  <c r="C128" i="34" s="1"/>
  <c r="E128" i="34"/>
  <c r="AI129" i="34"/>
  <c r="D63" i="4"/>
  <c r="D12" i="5"/>
  <c r="D25" i="5"/>
  <c r="D34" i="5"/>
  <c r="F38" i="5"/>
  <c r="D38" i="5" s="1"/>
  <c r="D46" i="5"/>
  <c r="J51" i="5"/>
  <c r="G67" i="5"/>
  <c r="F67" i="5" s="1"/>
  <c r="D67" i="5" s="1"/>
  <c r="M71" i="5"/>
  <c r="G75" i="5"/>
  <c r="J77" i="5"/>
  <c r="D91" i="5"/>
  <c r="M110" i="5"/>
  <c r="F117" i="5"/>
  <c r="D117" i="5" s="1"/>
  <c r="M131" i="5"/>
  <c r="J131" i="5" s="1"/>
  <c r="F139" i="5"/>
  <c r="D139" i="5" s="1"/>
  <c r="H143" i="5"/>
  <c r="J168" i="5"/>
  <c r="J177" i="5"/>
  <c r="D194" i="5"/>
  <c r="H209" i="5"/>
  <c r="M219" i="5"/>
  <c r="H223" i="5"/>
  <c r="G226" i="5"/>
  <c r="F226" i="5" s="1"/>
  <c r="D226" i="5" s="1"/>
  <c r="C15" i="34"/>
  <c r="E14" i="34"/>
  <c r="AF12" i="34"/>
  <c r="AG28" i="34"/>
  <c r="C43" i="34"/>
  <c r="AG43" i="34"/>
  <c r="O80" i="34"/>
  <c r="O63" i="34" s="1"/>
  <c r="E82" i="34"/>
  <c r="C106" i="34"/>
  <c r="C105" i="34" s="1"/>
  <c r="AI106" i="34"/>
  <c r="E133" i="34"/>
  <c r="C134" i="34"/>
  <c r="C133" i="34" s="1"/>
  <c r="C165" i="34"/>
  <c r="C164" i="34" s="1"/>
  <c r="AI165" i="34"/>
  <c r="AJ136" i="34" s="1"/>
  <c r="AJ133" i="34" s="1"/>
  <c r="E145" i="33"/>
  <c r="K124" i="33"/>
  <c r="D13" i="5"/>
  <c r="J14" i="5"/>
  <c r="J23" i="5"/>
  <c r="K30" i="5"/>
  <c r="J30" i="5" s="1"/>
  <c r="E44" i="5"/>
  <c r="M59" i="5"/>
  <c r="D70" i="5"/>
  <c r="D78" i="5"/>
  <c r="G82" i="5"/>
  <c r="F82" i="5" s="1"/>
  <c r="H110" i="5"/>
  <c r="K135" i="5"/>
  <c r="M135" i="5"/>
  <c r="M140" i="5"/>
  <c r="J140" i="5" s="1"/>
  <c r="J144" i="5"/>
  <c r="J159" i="5"/>
  <c r="M159" i="5"/>
  <c r="M163" i="5"/>
  <c r="K172" i="5"/>
  <c r="M172" i="5"/>
  <c r="F186" i="5"/>
  <c r="D186" i="5" s="1"/>
  <c r="J192" i="5"/>
  <c r="J198" i="5"/>
  <c r="M212" i="5"/>
  <c r="H226" i="5"/>
  <c r="J228" i="5"/>
  <c r="D235" i="5"/>
  <c r="C17" i="34"/>
  <c r="O12" i="34"/>
  <c r="C21" i="34"/>
  <c r="C20" i="34" s="1"/>
  <c r="E20" i="34"/>
  <c r="AI21" i="34"/>
  <c r="E26" i="34"/>
  <c r="E90" i="34"/>
  <c r="R88" i="34"/>
  <c r="R63" i="34" s="1"/>
  <c r="C146" i="34"/>
  <c r="AI146" i="34"/>
  <c r="E143" i="34"/>
  <c r="K158" i="34"/>
  <c r="E159" i="34"/>
  <c r="D48" i="4"/>
  <c r="F52" i="4"/>
  <c r="D52" i="4" s="1"/>
  <c r="F56" i="4"/>
  <c r="D56" i="4" s="1"/>
  <c r="F60" i="4"/>
  <c r="D60" i="4" s="1"/>
  <c r="D20" i="5"/>
  <c r="F21" i="5"/>
  <c r="D21" i="5" s="1"/>
  <c r="H24" i="5"/>
  <c r="I24" i="5"/>
  <c r="J27" i="5"/>
  <c r="F33" i="5"/>
  <c r="D33" i="5" s="1"/>
  <c r="G35" i="5"/>
  <c r="F37" i="5"/>
  <c r="J42" i="5"/>
  <c r="F45" i="5"/>
  <c r="K48" i="5"/>
  <c r="J48" i="5" s="1"/>
  <c r="J62" i="5"/>
  <c r="J65" i="5"/>
  <c r="J68" i="5"/>
  <c r="F70" i="5"/>
  <c r="F73" i="5"/>
  <c r="D73" i="5" s="1"/>
  <c r="J76" i="5"/>
  <c r="F90" i="5"/>
  <c r="F96" i="5"/>
  <c r="D96" i="5" s="1"/>
  <c r="G98" i="5"/>
  <c r="F98" i="5" s="1"/>
  <c r="J99" i="5"/>
  <c r="N103" i="5"/>
  <c r="J109" i="5"/>
  <c r="F112" i="5"/>
  <c r="J117" i="5"/>
  <c r="J126" i="5"/>
  <c r="H135" i="5"/>
  <c r="F166" i="5"/>
  <c r="M167" i="5"/>
  <c r="J167" i="5" s="1"/>
  <c r="K181" i="5"/>
  <c r="J181" i="5" s="1"/>
  <c r="J196" i="5"/>
  <c r="J202" i="5"/>
  <c r="F204" i="5"/>
  <c r="D204" i="5" s="1"/>
  <c r="D213" i="5"/>
  <c r="D217" i="5"/>
  <c r="F221" i="5"/>
  <c r="D221" i="5" s="1"/>
  <c r="F231" i="5"/>
  <c r="D231" i="5" s="1"/>
  <c r="G13" i="34"/>
  <c r="O13" i="34"/>
  <c r="AI15" i="34"/>
  <c r="P13" i="34"/>
  <c r="E34" i="34"/>
  <c r="E37" i="34"/>
  <c r="R53" i="34"/>
  <c r="E54" i="34"/>
  <c r="AG58" i="34"/>
  <c r="E65" i="34"/>
  <c r="C70" i="34"/>
  <c r="AG70" i="34"/>
  <c r="C95" i="34"/>
  <c r="C94" i="34" s="1"/>
  <c r="E94" i="34"/>
  <c r="AI95" i="34"/>
  <c r="K136" i="34"/>
  <c r="S136" i="34"/>
  <c r="G158" i="34"/>
  <c r="G136" i="34" s="1"/>
  <c r="J38" i="5"/>
  <c r="G63" i="5"/>
  <c r="F63" i="5" s="1"/>
  <c r="M67" i="5"/>
  <c r="M75" i="5"/>
  <c r="D81" i="5"/>
  <c r="F85" i="5"/>
  <c r="J92" i="5"/>
  <c r="G120" i="5"/>
  <c r="H131" i="5"/>
  <c r="J143" i="5"/>
  <c r="D184" i="5"/>
  <c r="J201" i="5"/>
  <c r="D208" i="5"/>
  <c r="F219" i="5"/>
  <c r="W12" i="34"/>
  <c r="W10" i="34" s="1"/>
  <c r="C25" i="34"/>
  <c r="C23" i="34" s="1"/>
  <c r="AG25" i="34"/>
  <c r="E42" i="34"/>
  <c r="J11" i="34"/>
  <c r="J10" i="34" s="1"/>
  <c r="J41" i="34"/>
  <c r="J13" i="34" s="1"/>
  <c r="AG52" i="34"/>
  <c r="C52" i="34"/>
  <c r="C50" i="34" s="1"/>
  <c r="C108" i="34"/>
  <c r="C151" i="34"/>
  <c r="AI151" i="34"/>
  <c r="AG151" i="34"/>
  <c r="N19" i="33"/>
  <c r="F41" i="4"/>
  <c r="D41" i="4" s="1"/>
  <c r="F45" i="4"/>
  <c r="D45" i="4" s="1"/>
  <c r="F49" i="4"/>
  <c r="D49" i="4" s="1"/>
  <c r="F53" i="4"/>
  <c r="D53" i="4" s="1"/>
  <c r="F57" i="4"/>
  <c r="D57" i="4" s="1"/>
  <c r="F61" i="4"/>
  <c r="D61" i="4" s="1"/>
  <c r="H10" i="5"/>
  <c r="F17" i="5"/>
  <c r="D17" i="5" s="1"/>
  <c r="J22" i="5"/>
  <c r="J41" i="5"/>
  <c r="D43" i="5"/>
  <c r="D50" i="5"/>
  <c r="F52" i="5"/>
  <c r="D52" i="5" s="1"/>
  <c r="G54" i="5"/>
  <c r="F54" i="5" s="1"/>
  <c r="J70" i="5"/>
  <c r="J73" i="5"/>
  <c r="J83" i="5"/>
  <c r="I88" i="5"/>
  <c r="J91" i="5"/>
  <c r="F102" i="5"/>
  <c r="D102" i="5" s="1"/>
  <c r="M107" i="5"/>
  <c r="F124" i="5"/>
  <c r="D124" i="5" s="1"/>
  <c r="M125" i="5"/>
  <c r="F132" i="5"/>
  <c r="D132" i="5" s="1"/>
  <c r="E149" i="5"/>
  <c r="F151" i="5"/>
  <c r="D151" i="5" s="1"/>
  <c r="E163" i="5"/>
  <c r="E172" i="5"/>
  <c r="D183" i="5"/>
  <c r="M185" i="5"/>
  <c r="J204" i="5"/>
  <c r="F208" i="5"/>
  <c r="F218" i="5"/>
  <c r="D218" i="5" s="1"/>
  <c r="J222" i="5"/>
  <c r="F225" i="5"/>
  <c r="D225" i="5" s="1"/>
  <c r="F230" i="5"/>
  <c r="D230" i="5" s="1"/>
  <c r="I13" i="34"/>
  <c r="Q13" i="34"/>
  <c r="R11" i="34"/>
  <c r="R35" i="34"/>
  <c r="R13" i="34" s="1"/>
  <c r="E36" i="34"/>
  <c r="E11" i="34" s="1"/>
  <c r="M63" i="34"/>
  <c r="G63" i="34"/>
  <c r="C154" i="34"/>
  <c r="AI154" i="34"/>
  <c r="AG154" i="34"/>
  <c r="E158" i="34"/>
  <c r="C175" i="34"/>
  <c r="C173" i="34" s="1"/>
  <c r="AI175" i="34"/>
  <c r="AG175" i="34"/>
  <c r="E160" i="34"/>
  <c r="Z10" i="34"/>
  <c r="AI75" i="34"/>
  <c r="AI98" i="34"/>
  <c r="T100" i="34"/>
  <c r="T105" i="34"/>
  <c r="AI118" i="34"/>
  <c r="AI125" i="34"/>
  <c r="AG132" i="34"/>
  <c r="R133" i="34"/>
  <c r="C145" i="34"/>
  <c r="C148" i="34"/>
  <c r="C153" i="34"/>
  <c r="C152" i="34" s="1"/>
  <c r="C156" i="34"/>
  <c r="C155" i="34" s="1"/>
  <c r="C162" i="34"/>
  <c r="AG169" i="34"/>
  <c r="C169" i="34"/>
  <c r="C167" i="34" s="1"/>
  <c r="AG227" i="34"/>
  <c r="J19" i="33"/>
  <c r="R19" i="33"/>
  <c r="H19" i="33"/>
  <c r="E39" i="33"/>
  <c r="N38" i="33"/>
  <c r="E85" i="33"/>
  <c r="E95" i="33"/>
  <c r="P125" i="33"/>
  <c r="I161" i="33"/>
  <c r="E161" i="33" s="1"/>
  <c r="Q161" i="33"/>
  <c r="E172" i="33"/>
  <c r="G170" i="33"/>
  <c r="D190" i="33"/>
  <c r="S208" i="33"/>
  <c r="R208" i="33"/>
  <c r="C218" i="33"/>
  <c r="K218" i="33"/>
  <c r="K208" i="33" s="1"/>
  <c r="E229" i="33"/>
  <c r="E57" i="33"/>
  <c r="G56" i="33"/>
  <c r="E56" i="33" s="1"/>
  <c r="E65" i="33"/>
  <c r="E112" i="33"/>
  <c r="H122" i="33"/>
  <c r="H121" i="33" s="1"/>
  <c r="H125" i="33"/>
  <c r="H124" i="33"/>
  <c r="E128" i="33"/>
  <c r="E136" i="33"/>
  <c r="E124" i="33" s="1"/>
  <c r="F134" i="33"/>
  <c r="E191" i="33"/>
  <c r="F190" i="33"/>
  <c r="E190" i="33" s="1"/>
  <c r="H227" i="33"/>
  <c r="H208" i="33" s="1"/>
  <c r="P227" i="33"/>
  <c r="P208" i="33" s="1"/>
  <c r="E246" i="33"/>
  <c r="E74" i="34"/>
  <c r="E97" i="34"/>
  <c r="E117" i="34"/>
  <c r="E124" i="34"/>
  <c r="E131" i="34"/>
  <c r="F140" i="34"/>
  <c r="F136" i="34" s="1"/>
  <c r="E225" i="34"/>
  <c r="P12" i="33"/>
  <c r="I122" i="33"/>
  <c r="R125" i="33"/>
  <c r="R123" i="33"/>
  <c r="R122" i="33" s="1"/>
  <c r="R121" i="33" s="1"/>
  <c r="G121" i="33"/>
  <c r="K161" i="33"/>
  <c r="E162" i="33"/>
  <c r="S161" i="33"/>
  <c r="S123" i="33"/>
  <c r="S122" i="33" s="1"/>
  <c r="S121" i="33" s="1"/>
  <c r="E247" i="33"/>
  <c r="F245" i="33"/>
  <c r="E245" i="33" s="1"/>
  <c r="AI169" i="34"/>
  <c r="E176" i="34"/>
  <c r="D20" i="33"/>
  <c r="D15" i="33" s="1"/>
  <c r="D14" i="33"/>
  <c r="E75" i="33"/>
  <c r="K83" i="33"/>
  <c r="E84" i="33"/>
  <c r="E115" i="33"/>
  <c r="J121" i="33"/>
  <c r="E154" i="33"/>
  <c r="E183" i="33"/>
  <c r="E202" i="33"/>
  <c r="AI177" i="34"/>
  <c r="C177" i="34"/>
  <c r="C176" i="34" s="1"/>
  <c r="E18" i="33"/>
  <c r="M16" i="33"/>
  <c r="M10" i="33" s="1"/>
  <c r="M12" i="33"/>
  <c r="E22" i="33"/>
  <c r="E23" i="33"/>
  <c r="T122" i="33"/>
  <c r="T121" i="33" s="1"/>
  <c r="E146" i="33"/>
  <c r="I181" i="33"/>
  <c r="E181" i="33" s="1"/>
  <c r="Q181" i="33"/>
  <c r="Q121" i="33" s="1"/>
  <c r="G209" i="33"/>
  <c r="O209" i="33"/>
  <c r="O208" i="33" s="1"/>
  <c r="E218" i="33"/>
  <c r="E221" i="33"/>
  <c r="E170" i="34"/>
  <c r="H12" i="33"/>
  <c r="I19" i="33"/>
  <c r="E66" i="33"/>
  <c r="E15" i="33"/>
  <c r="C112" i="33"/>
  <c r="E193" i="33"/>
  <c r="E224" i="33"/>
  <c r="E67" i="33"/>
  <c r="M123" i="33"/>
  <c r="M122" i="33" s="1"/>
  <c r="M121" i="33" s="1"/>
  <c r="C143" i="33"/>
  <c r="K123" i="33"/>
  <c r="K122" i="33" s="1"/>
  <c r="K121" i="33" s="1"/>
  <c r="S143" i="33"/>
  <c r="K181" i="33"/>
  <c r="E182" i="33"/>
  <c r="N208" i="33"/>
  <c r="I208" i="33"/>
  <c r="Q208" i="33"/>
  <c r="C236" i="33"/>
  <c r="C208" i="33" s="1"/>
  <c r="K236" i="33"/>
  <c r="E236" i="33" s="1"/>
  <c r="S236" i="33"/>
  <c r="K254" i="33"/>
  <c r="E254" i="33" s="1"/>
  <c r="E255" i="33"/>
  <c r="Q11" i="33"/>
  <c r="K50" i="33"/>
  <c r="E50" i="33" s="1"/>
  <c r="O68" i="33"/>
  <c r="E68" i="33" s="1"/>
  <c r="T125" i="33"/>
  <c r="C171" i="34"/>
  <c r="C170" i="34" s="1"/>
  <c r="C227" i="34"/>
  <c r="C225" i="34" s="1"/>
  <c r="K12" i="33"/>
  <c r="S12" i="33"/>
  <c r="E31" i="33"/>
  <c r="E32" i="33"/>
  <c r="P123" i="33"/>
  <c r="P122" i="33" s="1"/>
  <c r="P121" i="33" s="1"/>
  <c r="F124" i="33"/>
  <c r="F122" i="33" s="1"/>
  <c r="N124" i="33"/>
  <c r="N122" i="33" s="1"/>
  <c r="N121" i="33" s="1"/>
  <c r="F38" i="33"/>
  <c r="E38" i="33" s="1"/>
  <c r="G74" i="33"/>
  <c r="E74" i="33" s="1"/>
  <c r="E103" i="33"/>
  <c r="E104" i="33"/>
  <c r="F125" i="33"/>
  <c r="K143" i="33"/>
  <c r="E143" i="33" s="1"/>
  <c r="F199" i="33"/>
  <c r="E199" i="33" s="1"/>
  <c r="F152" i="33"/>
  <c r="E17" i="33"/>
  <c r="E171" i="33"/>
  <c r="E173" i="33"/>
  <c r="E137" i="33"/>
  <c r="D4" i="3"/>
  <c r="E4" i="3" s="1"/>
  <c r="K10" i="5"/>
  <c r="F22" i="5"/>
  <c r="D22" i="5" s="1"/>
  <c r="H18" i="5"/>
  <c r="D23" i="5"/>
  <c r="D26" i="5"/>
  <c r="E30" i="5"/>
  <c r="J32" i="5"/>
  <c r="M30" i="5"/>
  <c r="D37" i="5"/>
  <c r="D51" i="5"/>
  <c r="D53" i="5"/>
  <c r="D56" i="5"/>
  <c r="D66" i="5"/>
  <c r="D69" i="5"/>
  <c r="F75" i="5"/>
  <c r="C3" i="3"/>
  <c r="E3" i="3" s="1"/>
  <c r="F11" i="5"/>
  <c r="J17" i="5"/>
  <c r="E18" i="5"/>
  <c r="J19" i="5"/>
  <c r="K18" i="5"/>
  <c r="J28" i="5"/>
  <c r="K24" i="5"/>
  <c r="D63" i="5"/>
  <c r="M10" i="5"/>
  <c r="N10" i="5"/>
  <c r="J13" i="5"/>
  <c r="D16" i="5"/>
  <c r="F19" i="5"/>
  <c r="G18" i="5"/>
  <c r="M18" i="5"/>
  <c r="M24" i="5"/>
  <c r="F28" i="5"/>
  <c r="D28" i="5" s="1"/>
  <c r="G24" i="5"/>
  <c r="F24" i="5" s="1"/>
  <c r="F35" i="5"/>
  <c r="D39" i="5"/>
  <c r="D42" i="5"/>
  <c r="D58" i="5"/>
  <c r="D61" i="5"/>
  <c r="D19" i="5"/>
  <c r="F31" i="5"/>
  <c r="D31" i="5" s="1"/>
  <c r="J31" i="5"/>
  <c r="E35" i="5"/>
  <c r="D35" i="5" s="1"/>
  <c r="F36" i="5"/>
  <c r="D36" i="5" s="1"/>
  <c r="J36" i="5"/>
  <c r="G39" i="5"/>
  <c r="F39" i="5" s="1"/>
  <c r="K39" i="5"/>
  <c r="J39" i="5" s="1"/>
  <c r="D40" i="5"/>
  <c r="G44" i="5"/>
  <c r="F44" i="5" s="1"/>
  <c r="D44" i="5" s="1"/>
  <c r="D45" i="5"/>
  <c r="E48" i="5"/>
  <c r="F49" i="5"/>
  <c r="D49" i="5" s="1"/>
  <c r="J49" i="5"/>
  <c r="F55" i="5"/>
  <c r="D55" i="5" s="1"/>
  <c r="F60" i="5"/>
  <c r="D60" i="5" s="1"/>
  <c r="F64" i="5"/>
  <c r="D64" i="5" s="1"/>
  <c r="F68" i="5"/>
  <c r="D68" i="5" s="1"/>
  <c r="F72" i="5"/>
  <c r="D72" i="5" s="1"/>
  <c r="E75" i="5"/>
  <c r="F76" i="5"/>
  <c r="D76" i="5" s="1"/>
  <c r="F89" i="5"/>
  <c r="G88" i="5"/>
  <c r="F88" i="5" s="1"/>
  <c r="D92" i="5"/>
  <c r="E103" i="5"/>
  <c r="F109" i="5"/>
  <c r="D109" i="5" s="1"/>
  <c r="G107" i="5"/>
  <c r="F107" i="5" s="1"/>
  <c r="D107" i="5" s="1"/>
  <c r="E120" i="5"/>
  <c r="E125" i="5"/>
  <c r="F131" i="5"/>
  <c r="E140" i="5"/>
  <c r="E146" i="5"/>
  <c r="E152" i="5"/>
  <c r="F187" i="5"/>
  <c r="D187" i="5" s="1"/>
  <c r="G185" i="5"/>
  <c r="D95" i="5"/>
  <c r="E93" i="5"/>
  <c r="K103" i="5"/>
  <c r="J103" i="5" s="1"/>
  <c r="J104" i="5"/>
  <c r="E110" i="5"/>
  <c r="J231" i="5"/>
  <c r="L229" i="5"/>
  <c r="K54" i="5"/>
  <c r="J54" i="5" s="1"/>
  <c r="K59" i="5"/>
  <c r="J59" i="5" s="1"/>
  <c r="K63" i="5"/>
  <c r="K67" i="5"/>
  <c r="J67" i="5" s="1"/>
  <c r="K71" i="5"/>
  <c r="J71" i="5" s="1"/>
  <c r="K75" i="5"/>
  <c r="D77" i="5"/>
  <c r="E79" i="5"/>
  <c r="E82" i="5"/>
  <c r="D82" i="5" s="1"/>
  <c r="E85" i="5"/>
  <c r="D85" i="5" s="1"/>
  <c r="D90" i="5"/>
  <c r="E88" i="5"/>
  <c r="D88" i="5" s="1"/>
  <c r="J90" i="5"/>
  <c r="J94" i="5"/>
  <c r="K93" i="5"/>
  <c r="J93" i="5" s="1"/>
  <c r="G103" i="5"/>
  <c r="F103" i="5" s="1"/>
  <c r="F104" i="5"/>
  <c r="K107" i="5"/>
  <c r="J107" i="5" s="1"/>
  <c r="J227" i="5"/>
  <c r="K226" i="5"/>
  <c r="J226" i="5" s="1"/>
  <c r="F80" i="5"/>
  <c r="D80" i="5" s="1"/>
  <c r="K79" i="5"/>
  <c r="J79" i="5" s="1"/>
  <c r="F83" i="5"/>
  <c r="D83" i="5" s="1"/>
  <c r="K82" i="5"/>
  <c r="J82" i="5" s="1"/>
  <c r="F86" i="5"/>
  <c r="D86" i="5" s="1"/>
  <c r="K85" i="5"/>
  <c r="J85" i="5" s="1"/>
  <c r="D89" i="5"/>
  <c r="J89" i="5"/>
  <c r="K88" i="5"/>
  <c r="J88" i="5" s="1"/>
  <c r="F94" i="5"/>
  <c r="D94" i="5" s="1"/>
  <c r="G93" i="5"/>
  <c r="F93" i="5" s="1"/>
  <c r="D112" i="5"/>
  <c r="E135" i="5"/>
  <c r="D136" i="5"/>
  <c r="F198" i="5"/>
  <c r="D198" i="5" s="1"/>
  <c r="H195" i="5"/>
  <c r="F195" i="5" s="1"/>
  <c r="I98" i="5"/>
  <c r="I9" i="5" s="1"/>
  <c r="D101" i="5"/>
  <c r="F105" i="5"/>
  <c r="D105" i="5" s="1"/>
  <c r="F110" i="5"/>
  <c r="F111" i="5"/>
  <c r="D111" i="5" s="1"/>
  <c r="F115" i="5"/>
  <c r="D115" i="5" s="1"/>
  <c r="F120" i="5"/>
  <c r="F121" i="5"/>
  <c r="D121" i="5" s="1"/>
  <c r="F125" i="5"/>
  <c r="F126" i="5"/>
  <c r="D126" i="5" s="1"/>
  <c r="F130" i="5"/>
  <c r="D130" i="5" s="1"/>
  <c r="F135" i="5"/>
  <c r="F136" i="5"/>
  <c r="F140" i="5"/>
  <c r="F141" i="5"/>
  <c r="D141" i="5" s="1"/>
  <c r="F146" i="5"/>
  <c r="F147" i="5"/>
  <c r="D147" i="5" s="1"/>
  <c r="F152" i="5"/>
  <c r="F153" i="5"/>
  <c r="D153" i="5" s="1"/>
  <c r="F157" i="5"/>
  <c r="D157" i="5" s="1"/>
  <c r="F160" i="5"/>
  <c r="D160" i="5" s="1"/>
  <c r="H163" i="5"/>
  <c r="F163" i="5" s="1"/>
  <c r="D163" i="5" s="1"/>
  <c r="F170" i="5"/>
  <c r="D170" i="5" s="1"/>
  <c r="F173" i="5"/>
  <c r="D173" i="5" s="1"/>
  <c r="H177" i="5"/>
  <c r="D196" i="5"/>
  <c r="E195" i="5"/>
  <c r="L199" i="5"/>
  <c r="J200" i="5"/>
  <c r="J208" i="5"/>
  <c r="L206" i="5"/>
  <c r="G215" i="5"/>
  <c r="F216" i="5"/>
  <c r="D216" i="5" s="1"/>
  <c r="G223" i="5"/>
  <c r="F223" i="5" s="1"/>
  <c r="D223" i="5" s="1"/>
  <c r="E229" i="5"/>
  <c r="D229" i="5" s="1"/>
  <c r="D98" i="5"/>
  <c r="J100" i="5"/>
  <c r="D104" i="5"/>
  <c r="D108" i="5"/>
  <c r="F114" i="5"/>
  <c r="D114" i="5" s="1"/>
  <c r="F129" i="5"/>
  <c r="D129" i="5" s="1"/>
  <c r="H159" i="5"/>
  <c r="F159" i="5" s="1"/>
  <c r="D159" i="5" s="1"/>
  <c r="D167" i="5"/>
  <c r="H172" i="5"/>
  <c r="F172" i="5" s="1"/>
  <c r="F180" i="5"/>
  <c r="D180" i="5" s="1"/>
  <c r="D182" i="5"/>
  <c r="E181" i="5"/>
  <c r="M190" i="5"/>
  <c r="J190" i="5" s="1"/>
  <c r="J191" i="5"/>
  <c r="F193" i="5"/>
  <c r="D193" i="5" s="1"/>
  <c r="G190" i="5"/>
  <c r="J195" i="5"/>
  <c r="G199" i="5"/>
  <c r="F199" i="5" s="1"/>
  <c r="F200" i="5"/>
  <c r="D200" i="5" s="1"/>
  <c r="D202" i="5"/>
  <c r="E199" i="5"/>
  <c r="D207" i="5"/>
  <c r="J207" i="5"/>
  <c r="K206" i="5"/>
  <c r="J206" i="5" s="1"/>
  <c r="D211" i="5"/>
  <c r="E209" i="5"/>
  <c r="M215" i="5"/>
  <c r="E21" i="33"/>
  <c r="O20" i="33"/>
  <c r="D97" i="5"/>
  <c r="F100" i="5"/>
  <c r="D100" i="5" s="1"/>
  <c r="M98" i="5"/>
  <c r="J98" i="5" s="1"/>
  <c r="J102" i="5"/>
  <c r="D106" i="5"/>
  <c r="J108" i="5"/>
  <c r="F113" i="5"/>
  <c r="D113" i="5" s="1"/>
  <c r="J116" i="5"/>
  <c r="E116" i="5"/>
  <c r="D116" i="5" s="1"/>
  <c r="F118" i="5"/>
  <c r="D118" i="5" s="1"/>
  <c r="F123" i="5"/>
  <c r="D123" i="5" s="1"/>
  <c r="F128" i="5"/>
  <c r="D128" i="5" s="1"/>
  <c r="E131" i="5"/>
  <c r="F133" i="5"/>
  <c r="D133" i="5" s="1"/>
  <c r="F138" i="5"/>
  <c r="D138" i="5" s="1"/>
  <c r="F143" i="5"/>
  <c r="D143" i="5" s="1"/>
  <c r="F144" i="5"/>
  <c r="D144" i="5" s="1"/>
  <c r="F149" i="5"/>
  <c r="D149" i="5" s="1"/>
  <c r="F150" i="5"/>
  <c r="D150" i="5" s="1"/>
  <c r="H155" i="5"/>
  <c r="F155" i="5" s="1"/>
  <c r="D155" i="5" s="1"/>
  <c r="F162" i="5"/>
  <c r="D162" i="5" s="1"/>
  <c r="F165" i="5"/>
  <c r="D165" i="5" s="1"/>
  <c r="F168" i="5"/>
  <c r="D168" i="5" s="1"/>
  <c r="F175" i="5"/>
  <c r="D175" i="5" s="1"/>
  <c r="F179" i="5"/>
  <c r="D179" i="5" s="1"/>
  <c r="J187" i="5"/>
  <c r="L185" i="5"/>
  <c r="J189" i="5"/>
  <c r="F191" i="5"/>
  <c r="D191" i="5" s="1"/>
  <c r="H190" i="5"/>
  <c r="D201" i="5"/>
  <c r="J185" i="5"/>
  <c r="J210" i="5"/>
  <c r="K209" i="5"/>
  <c r="J209" i="5" s="1"/>
  <c r="H215" i="5"/>
  <c r="D219" i="5"/>
  <c r="J220" i="5"/>
  <c r="L219" i="5"/>
  <c r="J219" i="5" s="1"/>
  <c r="M223" i="5"/>
  <c r="J223" i="5" s="1"/>
  <c r="L232" i="5"/>
  <c r="J233" i="5"/>
  <c r="E126" i="33"/>
  <c r="O125" i="33"/>
  <c r="J186" i="5"/>
  <c r="D189" i="5"/>
  <c r="J193" i="5"/>
  <c r="G203" i="5"/>
  <c r="F203" i="5" s="1"/>
  <c r="D203" i="5" s="1"/>
  <c r="E206" i="5"/>
  <c r="F210" i="5"/>
  <c r="D210" i="5" s="1"/>
  <c r="L212" i="5"/>
  <c r="J212" i="5" s="1"/>
  <c r="F214" i="5"/>
  <c r="D214" i="5" s="1"/>
  <c r="J216" i="5"/>
  <c r="K215" i="5"/>
  <c r="F220" i="5"/>
  <c r="D220" i="5" s="1"/>
  <c r="D222" i="5"/>
  <c r="D224" i="5"/>
  <c r="J224" i="5"/>
  <c r="M229" i="5"/>
  <c r="J229" i="5" s="1"/>
  <c r="F233" i="5"/>
  <c r="D233" i="5" s="1"/>
  <c r="G232" i="5"/>
  <c r="F232" i="5" s="1"/>
  <c r="E48" i="33"/>
  <c r="K47" i="33"/>
  <c r="H185" i="5"/>
  <c r="J188" i="5"/>
  <c r="F192" i="5"/>
  <c r="D192" i="5" s="1"/>
  <c r="K199" i="5"/>
  <c r="J199" i="5" s="1"/>
  <c r="G206" i="5"/>
  <c r="F206" i="5" s="1"/>
  <c r="J221" i="5"/>
  <c r="J225" i="5"/>
  <c r="D228" i="5"/>
  <c r="D232" i="5"/>
  <c r="J234" i="5"/>
  <c r="K232" i="5"/>
  <c r="E33" i="33"/>
  <c r="E105" i="33"/>
  <c r="E138" i="33"/>
  <c r="O153" i="33"/>
  <c r="O155" i="33"/>
  <c r="E155" i="33" s="1"/>
  <c r="O170" i="33"/>
  <c r="E170" i="33" s="1"/>
  <c r="E174" i="33"/>
  <c r="O14" i="33"/>
  <c r="O30" i="33"/>
  <c r="O102" i="33"/>
  <c r="O135" i="33"/>
  <c r="R24" i="39"/>
  <c r="E21" i="39"/>
  <c r="R21" i="39" s="1"/>
  <c r="C24" i="39"/>
  <c r="C21" i="39" s="1"/>
  <c r="K5" i="39"/>
  <c r="C28" i="13"/>
  <c r="J10" i="39"/>
  <c r="C27" i="13" s="1"/>
  <c r="R70" i="39"/>
  <c r="C120" i="39"/>
  <c r="R120" i="39"/>
  <c r="R49" i="39"/>
  <c r="C49" i="39"/>
  <c r="R84" i="39"/>
  <c r="C84" i="39"/>
  <c r="C29" i="13"/>
  <c r="L5" i="39"/>
  <c r="D10" i="39"/>
  <c r="E12" i="39"/>
  <c r="R13" i="39"/>
  <c r="C13" i="39"/>
  <c r="E61" i="39"/>
  <c r="F119" i="39"/>
  <c r="R106" i="39"/>
  <c r="R114" i="39"/>
  <c r="R118" i="39"/>
  <c r="M32" i="39"/>
  <c r="M10" i="39" s="1"/>
  <c r="C30" i="13" s="1"/>
  <c r="R37" i="39"/>
  <c r="E104" i="39"/>
  <c r="R104" i="39" s="1"/>
  <c r="R14" i="39"/>
  <c r="R18" i="39"/>
  <c r="R33" i="39"/>
  <c r="R38" i="39"/>
  <c r="R48" i="39"/>
  <c r="I53" i="39"/>
  <c r="I10" i="39" s="1"/>
  <c r="R76" i="39"/>
  <c r="M78" i="39"/>
  <c r="R79" i="39"/>
  <c r="E94" i="39"/>
  <c r="R45" i="39"/>
  <c r="E32" i="39"/>
  <c r="N10" i="39"/>
  <c r="E17" i="15"/>
  <c r="R55" i="39"/>
  <c r="C33" i="13" l="1"/>
  <c r="P5" i="39"/>
  <c r="O5" i="39"/>
  <c r="C32" i="13"/>
  <c r="J135" i="5"/>
  <c r="V8" i="39"/>
  <c r="T63" i="34"/>
  <c r="J172" i="5"/>
  <c r="J232" i="5"/>
  <c r="E125" i="33"/>
  <c r="D75" i="5"/>
  <c r="D48" i="5"/>
  <c r="D9" i="4"/>
  <c r="D8" i="4" s="1"/>
  <c r="E12" i="33"/>
  <c r="E209" i="33"/>
  <c r="G208" i="33"/>
  <c r="R10" i="34"/>
  <c r="AG37" i="34"/>
  <c r="C37" i="34"/>
  <c r="C90" i="34"/>
  <c r="C88" i="34" s="1"/>
  <c r="AG90" i="34"/>
  <c r="C160" i="34"/>
  <c r="C68" i="34"/>
  <c r="C64" i="34" s="1"/>
  <c r="F48" i="5"/>
  <c r="E88" i="34"/>
  <c r="E227" i="33"/>
  <c r="C54" i="34"/>
  <c r="C53" i="34" s="1"/>
  <c r="AI54" i="34"/>
  <c r="AJ13" i="34" s="1"/>
  <c r="E53" i="34"/>
  <c r="E53" i="39"/>
  <c r="D199" i="5"/>
  <c r="C143" i="34"/>
  <c r="E41" i="34"/>
  <c r="C42" i="34"/>
  <c r="C41" i="34" s="1"/>
  <c r="C34" i="34"/>
  <c r="C12" i="34" s="1"/>
  <c r="AG34" i="34"/>
  <c r="AG12" i="34" s="1"/>
  <c r="F19" i="33"/>
  <c r="AG49" i="34"/>
  <c r="C49" i="34"/>
  <c r="C47" i="34" s="1"/>
  <c r="J125" i="5"/>
  <c r="AI42" i="34"/>
  <c r="E14" i="33"/>
  <c r="E11" i="33" s="1"/>
  <c r="E6" i="33" s="1"/>
  <c r="J63" i="5"/>
  <c r="F121" i="33"/>
  <c r="D181" i="5"/>
  <c r="D79" i="5"/>
  <c r="D24" i="5"/>
  <c r="N9" i="5"/>
  <c r="AI133" i="34"/>
  <c r="AG133" i="34"/>
  <c r="E136" i="34"/>
  <c r="F10" i="42"/>
  <c r="F9" i="42" s="1"/>
  <c r="E11" i="42"/>
  <c r="E10" i="42" s="1"/>
  <c r="E9" i="42" s="1"/>
  <c r="O10" i="34"/>
  <c r="AI36" i="34"/>
  <c r="AI11" i="34" s="1"/>
  <c r="AI9" i="34" s="1"/>
  <c r="C36" i="34"/>
  <c r="E35" i="34"/>
  <c r="D131" i="5"/>
  <c r="E13" i="34"/>
  <c r="C33" i="34"/>
  <c r="C32" i="34" s="1"/>
  <c r="E32" i="34"/>
  <c r="AI33" i="34"/>
  <c r="J215" i="5"/>
  <c r="D209" i="5"/>
  <c r="J75" i="5"/>
  <c r="H9" i="5"/>
  <c r="D5" i="3" s="1"/>
  <c r="E5" i="3" s="1"/>
  <c r="G19" i="33"/>
  <c r="E64" i="34"/>
  <c r="C14" i="34"/>
  <c r="R32" i="39"/>
  <c r="F177" i="5"/>
  <c r="D177" i="5" s="1"/>
  <c r="D172" i="5"/>
  <c r="E16" i="33"/>
  <c r="F208" i="33"/>
  <c r="E208" i="33" s="1"/>
  <c r="I121" i="33"/>
  <c r="C161" i="34"/>
  <c r="C159" i="34"/>
  <c r="C158" i="34" s="1"/>
  <c r="C136" i="34" s="1"/>
  <c r="AG82" i="34"/>
  <c r="E80" i="34"/>
  <c r="C82" i="34"/>
  <c r="C80" i="34" s="1"/>
  <c r="E12" i="34"/>
  <c r="E10" i="34" s="1"/>
  <c r="J110" i="5"/>
  <c r="D206" i="5"/>
  <c r="E135" i="33"/>
  <c r="O134" i="33"/>
  <c r="E134" i="33" s="1"/>
  <c r="O123" i="33"/>
  <c r="O122" i="33" s="1"/>
  <c r="O121" i="33" s="1"/>
  <c r="F185" i="5"/>
  <c r="D185" i="5" s="1"/>
  <c r="D120" i="5"/>
  <c r="M9" i="5"/>
  <c r="J18" i="5"/>
  <c r="F10" i="5"/>
  <c r="D11" i="5"/>
  <c r="E102" i="33"/>
  <c r="O101" i="33"/>
  <c r="E101" i="33" s="1"/>
  <c r="L9" i="5"/>
  <c r="E20" i="33"/>
  <c r="D195" i="5"/>
  <c r="D93" i="5"/>
  <c r="D152" i="5"/>
  <c r="D140" i="5"/>
  <c r="D125" i="5"/>
  <c r="D103" i="5"/>
  <c r="J24" i="5"/>
  <c r="K9" i="5"/>
  <c r="J10" i="5"/>
  <c r="D135" i="5"/>
  <c r="D110" i="5"/>
  <c r="D30" i="5"/>
  <c r="E9" i="5"/>
  <c r="E30" i="33"/>
  <c r="O29" i="33"/>
  <c r="E29" i="33" s="1"/>
  <c r="O13" i="33"/>
  <c r="O11" i="33"/>
  <c r="E153" i="33"/>
  <c r="E123" i="33" s="1"/>
  <c r="E122" i="33" s="1"/>
  <c r="E121" i="33" s="1"/>
  <c r="O152" i="33"/>
  <c r="E152" i="33" s="1"/>
  <c r="K19" i="33"/>
  <c r="E47" i="33"/>
  <c r="F190" i="5"/>
  <c r="D190" i="5" s="1"/>
  <c r="F215" i="5"/>
  <c r="D215" i="5" s="1"/>
  <c r="D146" i="5"/>
  <c r="F18" i="5"/>
  <c r="D18" i="5" s="1"/>
  <c r="G9" i="5"/>
  <c r="I5" i="39"/>
  <c r="C26" i="13"/>
  <c r="M5" i="39"/>
  <c r="C94" i="39"/>
  <c r="C78" i="39" s="1"/>
  <c r="R94" i="39"/>
  <c r="C61" i="39"/>
  <c r="C53" i="39" s="1"/>
  <c r="R61" i="39"/>
  <c r="C24" i="13"/>
  <c r="G5" i="39"/>
  <c r="E78" i="39"/>
  <c r="R78" i="39" s="1"/>
  <c r="E119" i="39"/>
  <c r="F113" i="39"/>
  <c r="R12" i="39"/>
  <c r="C12" i="39"/>
  <c r="E11" i="39"/>
  <c r="N5" i="39"/>
  <c r="C31" i="13"/>
  <c r="R53" i="39"/>
  <c r="C11" i="34" l="1"/>
  <c r="C10" i="34" s="1"/>
  <c r="AJ14" i="34"/>
  <c r="AK14" i="34" s="1"/>
  <c r="E63" i="34"/>
  <c r="C35" i="34"/>
  <c r="C13" i="34" s="1"/>
  <c r="C63" i="34"/>
  <c r="O19" i="33"/>
  <c r="E19" i="33"/>
  <c r="O10" i="33"/>
  <c r="E13" i="33"/>
  <c r="E10" i="33" s="1"/>
  <c r="J9" i="5"/>
  <c r="D7" i="3" s="1"/>
  <c r="E7" i="3" s="1"/>
  <c r="F9" i="5"/>
  <c r="D10" i="5"/>
  <c r="D9" i="5" s="1"/>
  <c r="O9" i="5" s="1"/>
  <c r="C119" i="39"/>
  <c r="C113" i="39" s="1"/>
  <c r="R119" i="39"/>
  <c r="S114" i="39"/>
  <c r="E113" i="39"/>
  <c r="R113" i="39" s="1"/>
  <c r="F10" i="39"/>
  <c r="R11" i="39"/>
  <c r="C11" i="39"/>
  <c r="C10" i="39" l="1"/>
  <c r="B6" i="33"/>
  <c r="B7" i="34"/>
  <c r="T10" i="39"/>
  <c r="C23" i="13"/>
  <c r="C21" i="13" s="1"/>
  <c r="C8" i="13" s="1"/>
  <c r="E10" i="39"/>
  <c r="C7" i="13" l="1"/>
  <c r="E9" i="13"/>
  <c r="R10" i="39"/>
  <c r="T11" i="39"/>
  <c r="T12" i="39" s="1"/>
  <c r="S11"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57" authorId="0" shapeId="0" xr:uid="{00000000-0006-0000-0300-000001000000}">
      <text>
        <r>
          <rPr>
            <b/>
            <sz val="9"/>
            <rFont val="Tahoma"/>
            <family val="2"/>
          </rPr>
          <t>Admin:</t>
        </r>
        <r>
          <rPr>
            <sz val="9"/>
            <rFont val="Tahoma"/>
            <family val="2"/>
          </rPr>
          <t xml:space="preserve">
văn hóa: 61, phụ nữ: 9</t>
        </r>
      </text>
    </comment>
    <comment ref="E85" authorId="0" shapeId="0" xr:uid="{00000000-0006-0000-0300-000002000000}">
      <text>
        <r>
          <rPr>
            <b/>
            <sz val="9"/>
            <rFont val="Tahoma"/>
            <family val="2"/>
          </rPr>
          <t>Admin:</t>
        </r>
        <r>
          <rPr>
            <sz val="9"/>
            <rFont val="Tahoma"/>
            <family val="2"/>
          </rPr>
          <t xml:space="preserve">
xã cũ: 290; huyện cũ: 7,5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I153" authorId="0" shapeId="0" xr:uid="{00000000-0006-0000-0B00-000001000000}">
      <text>
        <r>
          <rPr>
            <b/>
            <sz val="9"/>
            <rFont val="Tahoma"/>
            <family val="2"/>
          </rPr>
          <t>Admin:</t>
        </r>
        <r>
          <rPr>
            <sz val="9"/>
            <rFont val="Tahoma"/>
            <family val="2"/>
          </rPr>
          <t xml:space="preserve">
Chuyển nhiệm vụ từ Sở Thông tin cũ sang CA tỉnh về an toàn thông tin mạng, số tiền 1,950 trđ
</t>
        </r>
      </text>
    </comment>
  </commentList>
</comments>
</file>

<file path=xl/sharedStrings.xml><?xml version="1.0" encoding="utf-8"?>
<sst xmlns="http://schemas.openxmlformats.org/spreadsheetml/2006/main" count="1747" uniqueCount="916">
  <si>
    <t>Biểu số 01</t>
  </si>
  <si>
    <t>CÂN ĐỐI NGÂN SÁCH ĐỊA PHƯƠNG NĂM 2025</t>
  </si>
  <si>
    <t>Đơn vị tính: Triệu đồng</t>
  </si>
  <si>
    <t>STT</t>
  </si>
  <si>
    <t>Nội dung</t>
  </si>
  <si>
    <t>Dự toán năm 2025</t>
  </si>
  <si>
    <t>Ghi chú</t>
  </si>
  <si>
    <t>A</t>
  </si>
  <si>
    <t>Thu ngân sách địa phương</t>
  </si>
  <si>
    <t>I</t>
  </si>
  <si>
    <t>Thu NSĐP được hưởng theo phân cấp</t>
  </si>
  <si>
    <t>Thu NSĐP hưởng 100%</t>
  </si>
  <si>
    <t xml:space="preserve"> </t>
  </si>
  <si>
    <t>Thu NSĐP hưởng từ các khoản thu phân chia</t>
  </si>
  <si>
    <t>II</t>
  </si>
  <si>
    <t>Thu bổ sung từ ngân sách cấp trên</t>
  </si>
  <si>
    <t>Bổ sung cân đối</t>
  </si>
  <si>
    <t xml:space="preserve">Bổ sung có mục tiêu </t>
  </si>
  <si>
    <t>III</t>
  </si>
  <si>
    <t>Thu chuyển nguồn CCTL từ năm trước sang</t>
  </si>
  <si>
    <t xml:space="preserve">IV </t>
  </si>
  <si>
    <t>Thu viện trợ, ủng hộ, đóng góp</t>
  </si>
  <si>
    <t>B</t>
  </si>
  <si>
    <t>TỔNG CHI NGÂN SÁCH ĐỊA PHƯƠNG</t>
  </si>
  <si>
    <t>Tổng chi cân đối NSĐP</t>
  </si>
  <si>
    <t>1</t>
  </si>
  <si>
    <t>Chi đầu tư phát triển từ nguồn tiền đất</t>
  </si>
  <si>
    <t>2</t>
  </si>
  <si>
    <t>Chi thường xuyên</t>
  </si>
  <si>
    <t>3</t>
  </si>
  <si>
    <t>Chi trả nợ lãi các khoản do chính quyền
 địa phương vay</t>
  </si>
  <si>
    <t>4</t>
  </si>
  <si>
    <t>Chi bổ sung quỹ dự trữ tài chính</t>
  </si>
  <si>
    <t>5</t>
  </si>
  <si>
    <t>Dự phòng ngân sách</t>
  </si>
  <si>
    <t>6</t>
  </si>
  <si>
    <t>Chi tạo nguồn, điều chỉnh tiền lương</t>
  </si>
  <si>
    <t>Chi các chương trình mục tiêu</t>
  </si>
  <si>
    <t xml:space="preserve"> -</t>
  </si>
  <si>
    <t>Chi các chương trình mục tiêu quốc gia</t>
  </si>
  <si>
    <t>Chi các chương trình mục tiêu nhiệm vụ</t>
  </si>
  <si>
    <t>Phân bổ sau</t>
  </si>
  <si>
    <t xml:space="preserve">III </t>
  </si>
  <si>
    <t>C</t>
  </si>
  <si>
    <t>BỘI CHI NSĐP</t>
  </si>
  <si>
    <t>D</t>
  </si>
  <si>
    <t>CHI TRẢ NỢ GỐC CỦA NSĐP</t>
  </si>
  <si>
    <t>Chi từ nguồn vay để trả nợ gốc</t>
  </si>
  <si>
    <t>Chi từ nguồn bội thu, tăng thu, tiết kiệm chi,
 kết dư ngân sách cấp tỉnh</t>
  </si>
  <si>
    <t>E</t>
  </si>
  <si>
    <t>TỔNG MỨC VAY CỦA NSĐP</t>
  </si>
  <si>
    <t>Vay để bù đắp bội chi</t>
  </si>
  <si>
    <t>Vay để trả nợ gốc</t>
  </si>
  <si>
    <t>Biểu số 02</t>
  </si>
  <si>
    <t>DỰ TOÁN THU NGÂN SÁCH NHÀ NƯỚC THEO LINH VỰC NĂM 2025</t>
  </si>
  <si>
    <t>ĐVT: Triệu đồng</t>
  </si>
  <si>
    <t>Chỉ tiêu</t>
  </si>
  <si>
    <t>Tổng thu NSNN</t>
  </si>
  <si>
    <t>Thu NSĐP</t>
  </si>
  <si>
    <t>THU NSNN TRÊN ĐỊA BÀN</t>
  </si>
  <si>
    <t>Thu NSNN trên địa bàn trừ tiền sử dụng đất, thu từ hoạt động xổ số kiến thiết</t>
  </si>
  <si>
    <t>Thu NSNN trên địa bàn trừ tiền sử dụng đất, thu từ hoạt động xổ số kiến thiết, thuế tối thiểu toàn cầu</t>
  </si>
  <si>
    <t>THU NỘI ĐỊA</t>
  </si>
  <si>
    <t>Thu từ khu vực DNNN trung ương quản lý</t>
  </si>
  <si>
    <t>Thuế giá trị gia tăng</t>
  </si>
  <si>
    <t>Thuế tiêu thụ đặc biệt</t>
  </si>
  <si>
    <t>Thuế thu nhập doanh nghiệp</t>
  </si>
  <si>
    <t>Thuế tài nguyên</t>
  </si>
  <si>
    <t>Thu từ khu vực DNNN địa phương quản lý</t>
  </si>
  <si>
    <t>Thu từ khu vực doanh nghiệp có vốn đầu tư nước ngoài</t>
  </si>
  <si>
    <t>Thuế tối thiểu toàn cầu</t>
  </si>
  <si>
    <t>Thu từ khu vực kinh tế ngoài quốc doanh</t>
  </si>
  <si>
    <t>Thuế thu nhập cá nhân</t>
  </si>
  <si>
    <t>Tiền sử dụng đất</t>
  </si>
  <si>
    <t>Thuế sử dụng đất phi nông nghiệp</t>
  </si>
  <si>
    <t>Thu tiền cho thuê mặt đất, mặt nước</t>
  </si>
  <si>
    <t>Lệ phí trước bạ</t>
  </si>
  <si>
    <t>Phí, lệ phí</t>
  </si>
  <si>
    <t>Phí, lệ phí trung ương</t>
  </si>
  <si>
    <t>Phí, lệ phí địa phương</t>
  </si>
  <si>
    <t>Thuế bảo vệ môi trường</t>
  </si>
  <si>
    <t>Thu từ hàng hoá nhập khẩu</t>
  </si>
  <si>
    <t>Thu từ hàng hoá sản xuất trong nước</t>
  </si>
  <si>
    <t>Thu khác ngân sách</t>
  </si>
  <si>
    <t>Thu khác ngân sách trung ương</t>
  </si>
  <si>
    <t>Thu khác ngân sách địa phương</t>
  </si>
  <si>
    <t>Thu tiền cấp quyền khai thác khoáng sản, tài nguyên nước</t>
  </si>
  <si>
    <t>Thu từ hoạt động xổ số kiến thiết</t>
  </si>
  <si>
    <t>Thu cổ tức, lợi nhuận sau thuế NSĐP hưởng 100%</t>
  </si>
  <si>
    <t>Thu hoa lợi công sản, quỹ đất công ích … tại xã</t>
  </si>
  <si>
    <t>THU TỪ HOẠT ĐỘNG XUẤT NHẬP KHẨU</t>
  </si>
  <si>
    <t>THU TỪ VIỆN TRỢ, HUY ĐỘNG, ĐÓNG GÓP</t>
  </si>
  <si>
    <t>Biểu số 03</t>
  </si>
  <si>
    <t>DỰ TOÁN CHI NGÂN SÁCH ĐỊA PHƯƠNG THEO CƠ CẤU CHI NĂM 2025</t>
  </si>
  <si>
    <t xml:space="preserve">Nội dung </t>
  </si>
  <si>
    <t>Dự toán
 năm 2025</t>
  </si>
  <si>
    <t xml:space="preserve">A </t>
  </si>
  <si>
    <t>CHI CÂN ĐỐI NSĐP</t>
  </si>
  <si>
    <t>Chi đầu tư phát triển</t>
  </si>
  <si>
    <t xml:space="preserve">Chi xây dựng cơ bản </t>
  </si>
  <si>
    <t>Chi đầu tư từ nguồn thu tiền sử dụng đất</t>
  </si>
  <si>
    <t>Biểu số 06</t>
  </si>
  <si>
    <t>Chi đầu tư từ nguồn thu xổ số kiến thiết</t>
  </si>
  <si>
    <t xml:space="preserve">Chi GPMB từ nguồn thu tiền thuê đất </t>
  </si>
  <si>
    <t>Chi đầu tư khác</t>
  </si>
  <si>
    <t>Chi trả nợ gốc</t>
  </si>
  <si>
    <t>Kinh phí mua xi măng</t>
  </si>
  <si>
    <t>Uỷ thác qua ngân hàng chính sách</t>
  </si>
  <si>
    <t>Hỗ trợ huyện Đồng Hỷ theo kết luận của Ban Thường vụ Tỉnh uỷ</t>
  </si>
  <si>
    <t>Hỗ trợ huyện Phú Bình xây dựng khu tái định cư phục vụ dự án Khu công nghệ thông tin tập trung Yên Bình</t>
  </si>
  <si>
    <t>Trả tiền thuê hạ tầng cho các công ty thuộc tập đoàn Samsung</t>
  </si>
  <si>
    <t>Trong đó</t>
  </si>
  <si>
    <t>Chi sự nghiệp giáo dục đào tạo và dạy nghề</t>
  </si>
  <si>
    <t>Chi sự nghiệp y tế, dân số và gia đình</t>
  </si>
  <si>
    <t>Chi sự nghiệp khoa học và công nghệ</t>
  </si>
  <si>
    <t>Chi sự nghiệp văn hoá thông tin</t>
  </si>
  <si>
    <t>Chi sự nghiệp thể dục thể thao</t>
  </si>
  <si>
    <t>Chi sự nghiệp phát thanh truyền hình</t>
  </si>
  <si>
    <t>Chi đảm bảo xã hội</t>
  </si>
  <si>
    <t>Sự nghiệp kinh tế, môi trường</t>
  </si>
  <si>
    <t>Chi quản lý hành chính</t>
  </si>
  <si>
    <t xml:space="preserve">Chi quốc phòng </t>
  </si>
  <si>
    <t>Chi an ninh địa phương</t>
  </si>
  <si>
    <t>Chi cải cách tiền lương</t>
  </si>
  <si>
    <t>Chi trả nợ lãi các khoản do chính quyền địa phương vay</t>
  </si>
  <si>
    <t>IV</t>
  </si>
  <si>
    <t>V</t>
  </si>
  <si>
    <t>VI</t>
  </si>
  <si>
    <t>Chi tạo nguồn điều chỉnh tiền lương</t>
  </si>
  <si>
    <t>CHI CÁC CHƯƠNG TRÌNH MỤC TIÊU</t>
  </si>
  <si>
    <t>Vốn đầu tư</t>
  </si>
  <si>
    <t>Vốn sự nghiệp</t>
  </si>
  <si>
    <t>Vốn trong nước</t>
  </si>
  <si>
    <t>Vốn ngoài nước</t>
  </si>
  <si>
    <t>Chi từ nguồn viện trợ, huy động, đóng góp</t>
  </si>
  <si>
    <t>Biểu số 04</t>
  </si>
  <si>
    <t>DỰ TOÁN CHI CỦA NGÂN SÁCH CẤP XÃ CHO TỪNG CƠ QUAN, TỔ CHỨC THEO LĨNH VỰC NĂM 2025</t>
  </si>
  <si>
    <t>TT</t>
  </si>
  <si>
    <t>NỘI DUNG</t>
  </si>
  <si>
    <t>Tổng dự toán chi năm 2025</t>
  </si>
  <si>
    <t>Dự toán chi đầu tư</t>
  </si>
  <si>
    <t>Dự toán chi thường xuyên năm 2025</t>
  </si>
  <si>
    <t>DT</t>
  </si>
  <si>
    <t>Còn dư</t>
  </si>
  <si>
    <t>Sự nghiệp giáo dục đào tạo</t>
  </si>
  <si>
    <t>Sự nghiệp y tế</t>
  </si>
  <si>
    <t>Sự nghiệp khoa học công nghệ</t>
  </si>
  <si>
    <t xml:space="preserve">Sự nghiệp văn hóa, thông tin  </t>
  </si>
  <si>
    <t>Sự nghiệp thể dục, thể thao</t>
  </si>
  <si>
    <t>Sự nghiệp truyền thanh, truyền hình</t>
  </si>
  <si>
    <t>Đảm bảo xã hội</t>
  </si>
  <si>
    <t>Quản lý hành chính</t>
  </si>
  <si>
    <t>Chi quốc phòng</t>
  </si>
  <si>
    <t>Chi an ninh</t>
  </si>
  <si>
    <t>1=2+3</t>
  </si>
  <si>
    <t>TỔNG CỘNG</t>
  </si>
  <si>
    <t xml:space="preserve">Đảng ủy xã </t>
  </si>
  <si>
    <t>1.1</t>
  </si>
  <si>
    <t>Văn phòng Đảng ủy</t>
  </si>
  <si>
    <t>Chi hoạt động thường xuyên theo định mức(lương, chi khác con người)</t>
  </si>
  <si>
    <t>Chi hợp đồng 111 (lương, chi khác con người)</t>
  </si>
  <si>
    <t>Chi phụ cấp Bí thư chi bộ xóm</t>
  </si>
  <si>
    <t>Chi phụ cấp BCH</t>
  </si>
  <si>
    <t>Chi cho thành viên ban chỉ đạo 35</t>
  </si>
  <si>
    <t>1.2</t>
  </si>
  <si>
    <t>Chi hoạt động chuyên môn của Văn phòng Đảng ủy; Ủy ban kiểm tra; Ban xây dựng đảng (chi các hoạt động của đảng, kinh phí 99...)</t>
  </si>
  <si>
    <t>1.3</t>
  </si>
  <si>
    <t xml:space="preserve">Chi Đại hội Đảng bộ xã lần thứ nhất nhiệm kỳ 2025-2030 </t>
  </si>
  <si>
    <t>1.4</t>
  </si>
  <si>
    <t>Kinh phí tiền thưởng theo Nghị định 73/2024/NĐ-CP</t>
  </si>
  <si>
    <t xml:space="preserve">Ủy ban Mặt trận Tổ quốc </t>
  </si>
  <si>
    <t>2.1</t>
  </si>
  <si>
    <t>2.2</t>
  </si>
  <si>
    <t>Chi các chế độ ở xóm theo định mức (Tiền phụ cấp, các khoản đóng góp</t>
  </si>
  <si>
    <t>2.3</t>
  </si>
  <si>
    <t>Kinh phí tổ chức đại hội UBMTTQ xã (Bao gồm kinh phí tổ chức đại hội)</t>
  </si>
  <si>
    <t>Kinh phí hoạt động Đoàn Thanh niên (Bao gồm kinh phí tổ chức đại hội)</t>
  </si>
  <si>
    <t>Kinh phí hoạt động Hội phụ nữ (Bao gồm kinh phí tổ chức đại hội)</t>
  </si>
  <si>
    <t xml:space="preserve"> Kinh phí hoạt động Hội Nông dân (Bao gồm kinh phí tổ chức đại hội)</t>
  </si>
  <si>
    <t>Kinh phí hoạt động Hội Cựu chiến binh (Bao gồm kinh phí tổ chức đại hội)</t>
  </si>
  <si>
    <t>2.4</t>
  </si>
  <si>
    <t>Kinh phí ban giám sát cộng đồng, thanh tra nhân dân, BCĐ toàn dân đoàn kết</t>
  </si>
  <si>
    <t>2.5</t>
  </si>
  <si>
    <t xml:space="preserve">Văn phòng HĐND và UBND </t>
  </si>
  <si>
    <t>3.1</t>
  </si>
  <si>
    <t>3.2</t>
  </si>
  <si>
    <t>Chi chế độ Thôn đội trưởng</t>
  </si>
  <si>
    <t>3.3</t>
  </si>
  <si>
    <t>Chi chế độ, phụ cấp tại xóm: Trưởng xóm, phó trưởng xóm,...</t>
  </si>
  <si>
    <t>3.4</t>
  </si>
  <si>
    <t>Chi chế độ, hoạt động của quân sự (bao gồm hoạt động khám sơ tuyển nghĩa vụ quân sự và các hoạt động chuyên môn khác), hoạt động phòng chống cứu nạn cứu hộ</t>
  </si>
  <si>
    <t>3.5</t>
  </si>
  <si>
    <t>Chi chế độ, hoạt động của an ninh</t>
  </si>
  <si>
    <t>Chi tổ bảo vệ ANTT</t>
  </si>
  <si>
    <t>Chi hoạt động chuyên môn (chi hoạt động an ninh, ngày hội toàn dân bảo vệ ANTQ,…)</t>
  </si>
  <si>
    <t>3.6</t>
  </si>
  <si>
    <t>Chi phụ cấp nhân viên thú y</t>
  </si>
  <si>
    <t>3.7</t>
  </si>
  <si>
    <t>Phụ cấp đại biểu HĐND</t>
  </si>
  <si>
    <t>3.8</t>
  </si>
  <si>
    <t>Chi Hội người cao tuổi, hội đặc thù xóm</t>
  </si>
  <si>
    <t>3.9</t>
  </si>
  <si>
    <t>Chi phụ cấp hội NCT, CTĐ ở xã</t>
  </si>
  <si>
    <t>3.10</t>
  </si>
  <si>
    <t>Chi cho Nhân viên y tế và cộng tác viên dân số</t>
  </si>
  <si>
    <t>3.11</t>
  </si>
  <si>
    <t>Chi khác phục vụ hoạt động của UBND</t>
  </si>
  <si>
    <t xml:space="preserve">Kinh phí chi hoạt động của UBND (tiền điện, tiền nước, tiền mạng internet, đề án 06...) </t>
  </si>
  <si>
    <t>Bổ sung kinh phí vận chuyển, sắp xếp tài sản, công cụ dụng cụ, về các xã sau khi sắp sếp</t>
  </si>
  <si>
    <t>Chi hỗ trợ đảm bảo cơ sở vật chất để phục vụ mô hình chính quyền 02 cấp</t>
  </si>
  <si>
    <t>3.12</t>
  </si>
  <si>
    <t>Chi hoạt động của HĐND (tiền báo, chi hội nghị, hỗ trợ giám sát, kinh phí may trang phục cho đại biểu, hỗ trợ tổ tiếp xúc cử tri….)</t>
  </si>
  <si>
    <t>3.13</t>
  </si>
  <si>
    <t xml:space="preserve">Quyết toán số đã chi 6 tháng đầu năm 2025 trên cơ sở cộng dồn 2 xã cũ trước sáp nhập </t>
  </si>
  <si>
    <t>3.14</t>
  </si>
  <si>
    <t xml:space="preserve">Bổ sung KP chúc thọ, mừng thọ năm 2025 </t>
  </si>
  <si>
    <t>3.15</t>
  </si>
  <si>
    <t xml:space="preserve">Kinh phí tổ chức lấy ý kiến nhân dân là cử tri hộ gia đình về chủ trương sáp nhập đơn vị hành chính cấp xã, tỉnh </t>
  </si>
  <si>
    <t>3.16</t>
  </si>
  <si>
    <t>Phòng Văn hóa - Xã hội</t>
  </si>
  <si>
    <t>xg</t>
  </si>
  <si>
    <t>4.1</t>
  </si>
  <si>
    <t>4.2</t>
  </si>
  <si>
    <t>Chi các hoạt động quản lý văn hóa, công nghệ thông tin</t>
  </si>
  <si>
    <t>Chi hoạt động công nghệ thông tin, dịch vụ công nghệ thông tin (mạng truyền số liệu...)</t>
  </si>
  <si>
    <t>Chi hoạt động công tác quản lý văn hóa; hoạt động vì sự tiến bộ phụ nữ (hoạt động công tác văn hóa cơ sở, các khu di tích, hoạt động khu dân cư làng bản văn hóa…)</t>
  </si>
  <si>
    <t>Chi tổ chức các hoạt động về văn hóa thông tin (Tổ chức các hoạt đồng trong ngày lễ tết, trung thu,phụ nữ, trẻ em…)</t>
  </si>
  <si>
    <t xml:space="preserve">Kinh phí thực hiện đề án 92 </t>
  </si>
  <si>
    <t>4.3</t>
  </si>
  <si>
    <t>Chi ứng dụng khoa học và công nghệ, đổi mới sáng tạo và chuyển đổi số do cấp xã quản lý (Nghị quyết số 57-NQ/TW, chuyển đổi số…)</t>
  </si>
  <si>
    <t>Chi hoạt động quản lý giáo dục</t>
  </si>
  <si>
    <t>Kinh phí quản lý ngành giáo dục, các đơn vị…</t>
  </si>
  <si>
    <t>Hoạt động sự nghiệp giáo dục</t>
  </si>
  <si>
    <t>Khối mầm non</t>
  </si>
  <si>
    <t>Khối tiểu học</t>
  </si>
  <si>
    <t>Khối THCS</t>
  </si>
  <si>
    <t>4.4</t>
  </si>
  <si>
    <t>Chi hưu xã</t>
  </si>
  <si>
    <t>4.5</t>
  </si>
  <si>
    <t>Chi hoạt động nội vụ, thi đua khen thưởng</t>
  </si>
  <si>
    <t>4.6</t>
  </si>
  <si>
    <t>Chi lĩnh vực dân tộc và tôn giáo</t>
  </si>
  <si>
    <t>4.7</t>
  </si>
  <si>
    <t>Chi lĩnh vực bảo đảm xã hội</t>
  </si>
  <si>
    <t>Chi cho các đối tượng bảo trợ xã hội</t>
  </si>
  <si>
    <t>Chi hoạt động nghiệp vụ quản lý về bảo đảm xã hội</t>
  </si>
  <si>
    <t>Chi cho công tác điều dưỡng đối với người có công; Chi hoạt động quản lý nghĩa trang liệt sỹ, cựu thanh niên xung phong theo quyết định số 40/2011/QĐ-TTg</t>
  </si>
  <si>
    <t xml:space="preserve">Chi thăm hỏi tặng quà các đối tượng bảo trợ XH, hộ nghèo, người cao tuổi; Chăm sóc bảo vệ trẻ em; Chi hỗ trợ mai táng phí cho đối tượng QĐ 290, QĐ 62 của Thủ tướng Chính phủ </t>
  </si>
  <si>
    <t>Chi động viên thăm hỏi gia đình chính sách, trợ cấp đột xuất</t>
  </si>
  <si>
    <t>4.8</t>
  </si>
  <si>
    <t>Chi BHYT cho đối tượng bảo trợ xã hội</t>
  </si>
  <si>
    <t>4.9</t>
  </si>
  <si>
    <t>Phòng Kinh tế</t>
  </si>
  <si>
    <t>5.1</t>
  </si>
  <si>
    <t>5.2</t>
  </si>
  <si>
    <t xml:space="preserve">Chi các hoạt động về quản lý ngân sách, kinh tế xã hội, kinh tế tập thể, đầu tư và thu hút đầu tư </t>
  </si>
  <si>
    <t>Trong đó: Tin học ngành tài chính; chuyển đổi số ngành tài chính</t>
  </si>
  <si>
    <t>5.3</t>
  </si>
  <si>
    <t>Chi các hoạt động về xúc tiến thương mại, quảng bá sản phẩm; Hoạt động về giao thông, xây dựng, công nghiệp, quy hoạch</t>
  </si>
  <si>
    <t>Trong đó: Kinh phí Quy hoạch</t>
  </si>
  <si>
    <t>5.4</t>
  </si>
  <si>
    <t>Chi các hoạt động về nông nghiệp, lâm nghiệp, chăn nuôi, khắc phục thiên tai, thủy lợi</t>
  </si>
  <si>
    <t xml:space="preserve">Kinh phí thủy lợi phí </t>
  </si>
  <si>
    <t>Kinh phí sự nghiệp thủy lợi</t>
  </si>
  <si>
    <t>Kinh phí thực hiện các đề án nông nghiệp</t>
  </si>
  <si>
    <t>Chi từ nguồn đất trồng lúa (Mô hình cánh đồng mẫu lớn, sản xuất lúa chất lượng đặc sản theo quy trình vietgap)</t>
  </si>
  <si>
    <t>Thường trực các Ban chỉ đạo về nông nghiệp nông thôn và phòng chống thiên tai</t>
  </si>
  <si>
    <t xml:space="preserve">Hoạt động sự nghiệp trồng trọt </t>
  </si>
  <si>
    <t>Hoạt động sự nghiệp chăn nuôi</t>
  </si>
  <si>
    <t>5.5</t>
  </si>
  <si>
    <t>Chi công tác quản lý đất đai, cấp giấy chứng nhận; Chi các hoạt động quản lý khoáng sản tài nguyên, môi trường (hoạt động các ban chỉ đạo, giải quyết đơn thư, …)</t>
  </si>
  <si>
    <t>Trong đó: Chuyển đổi số lĩnh vực tài nguyên môi trường</t>
  </si>
  <si>
    <t>5.6</t>
  </si>
  <si>
    <t>Chi các hoạt động sự nghiệp kinh tế, môi trường đô thị</t>
  </si>
  <si>
    <t>Duy tu sửa chữa đường giao thông</t>
  </si>
  <si>
    <t>Chi sự nghiệp kinh tế môi trường đô thị (nguồn phí môi trường)</t>
  </si>
  <si>
    <t>5.7</t>
  </si>
  <si>
    <t>Chi các hoạt động về rà soát hộ nghèo, ban chỉ đạo giảm nghèo bền vững</t>
  </si>
  <si>
    <t>5.8</t>
  </si>
  <si>
    <t>Tiền điện hộ nghèo</t>
  </si>
  <si>
    <t>5.9</t>
  </si>
  <si>
    <t>Trung tâm phục vụ hành chính công</t>
  </si>
  <si>
    <t>6.1</t>
  </si>
  <si>
    <t>Chi hoạt động thường xuyên theo định mức (lương, chi khác con người)</t>
  </si>
  <si>
    <t>6.2</t>
  </si>
  <si>
    <t xml:space="preserve">Chi hoạt động (Mua VPP, sửa chữa nhỏ, mua sắm tài sản, dịch vụ biên lai hoá đơn, chữ ký số, dịch vụ phần mềm, hỗ trợ….) </t>
  </si>
  <si>
    <t>6.3</t>
  </si>
  <si>
    <t>Trung tâm dịch vụ tổng hợp</t>
  </si>
  <si>
    <t>7.1</t>
  </si>
  <si>
    <t>7.2</t>
  </si>
  <si>
    <t>Chi hoạt động văn hóa, thông tin (Đảm bảo thực hiện các nhiệm vụ văn hóa thông tin của xã trong năm 2025)</t>
  </si>
  <si>
    <t>7.3</t>
  </si>
  <si>
    <t>Chi sự nghiệp thể dục thể thao (Đảm bảo thực hiện các nhiệm vụ thể thao của xã trong năm 2025)</t>
  </si>
  <si>
    <t>7.4</t>
  </si>
  <si>
    <t>Chi hoạt động truyền thanh, truyền hình  (Đảm bảo thực hiện các nhiệm vụ phát thanh truyền hình của xã trong năm 2025)</t>
  </si>
  <si>
    <t>7.5</t>
  </si>
  <si>
    <t>Chi hoạt động BVTV, chăn nuôi thú y, tập huấn, mua vật tư, các MH trình diễn, phòng chống dịch bệnh…</t>
  </si>
  <si>
    <t>7.6</t>
  </si>
  <si>
    <t xml:space="preserve">Thực hiện các đề án phát triển nông nghiệp </t>
  </si>
  <si>
    <t>7.7</t>
  </si>
  <si>
    <t>Chi Kinh phí bảo vệ đất trồng lúa: Cải tạo nâng cấp tuyến kênh mương xóm Đồng Luông xã Tân Long</t>
  </si>
  <si>
    <t>7.8</t>
  </si>
  <si>
    <t xml:space="preserve">Khối giáo dục </t>
  </si>
  <si>
    <t>8.1</t>
  </si>
  <si>
    <t>Chi các trường MN,TH,THCS (Đã phân bổ ở NQ số 11/NQ-HĐND xã Quang Sơn )</t>
  </si>
  <si>
    <t>8.2</t>
  </si>
  <si>
    <t>Chi bổ sung chế độ giáo dục các trường (Có phụ biểu chi tiết kèm theo số 01)</t>
  </si>
  <si>
    <t>8.3</t>
  </si>
  <si>
    <t>Kinh phí tiền thưởng theo Nghị định 73/2024/NĐ-CP (Có phụ biểu chi tiết kèm theo số 01)</t>
  </si>
  <si>
    <t>8.4</t>
  </si>
  <si>
    <t>Trung tâm học tập cộng đồng</t>
  </si>
  <si>
    <t>8.5</t>
  </si>
  <si>
    <t>Chi sự nghiệp giáo dục phổ thông (Lương và các chế độ giáo dục)</t>
  </si>
  <si>
    <t>8.6</t>
  </si>
  <si>
    <t>Chi sự nghiệp giáo dục đào tạo khác</t>
  </si>
  <si>
    <t>Kinh phí quốc phòng</t>
  </si>
  <si>
    <t xml:space="preserve">Kinh phí sự nghiệp kinh tế, môi trường </t>
  </si>
  <si>
    <t xml:space="preserve">Kinh phí các nhiệm vụ quản lý NN khác </t>
  </si>
  <si>
    <t>Kinh phí đối ứng thực hiện CTMT Quốc gia (nguồn đối ứng cấp huyện cũ)</t>
  </si>
  <si>
    <t>Biểu số 05</t>
  </si>
  <si>
    <t>DỰ TOÁN CHI CHƯƠNG TRÌNH MỤC TIÊU QUỐC GIA NGÂN SÁCH CẤP TỈNH VÀ NGÂN SÁCH CẤP XÃ NĂM 2025 SAU ĐIỀU CHỈNH</t>
  </si>
  <si>
    <t>Đơn vị</t>
  </si>
  <si>
    <t>Tổng số</t>
  </si>
  <si>
    <t>Chương trình mục tiêu quốc gia xây dựng nông thôn mới</t>
  </si>
  <si>
    <t>Chương trình mục tiêu quốc gia giảm nghèo bền vững</t>
  </si>
  <si>
    <t>Chương trình mục tiêu quốc gia phát triển kinh tế xã hội vùng đồng bào dân tộc thiểu số và miền núi</t>
  </si>
  <si>
    <t>NSTW</t>
  </si>
  <si>
    <t>NSĐP đối ứng (tỉnh)</t>
  </si>
  <si>
    <t>Tổng cộng</t>
  </si>
  <si>
    <t>Kiểm tra</t>
  </si>
  <si>
    <t>Xã Quang Sơn</t>
  </si>
  <si>
    <t>KẾ HOẠCH ĐẦU TƯ CÔNG NĂM 2025 XÃ QUANG SƠN TỪ NGUỒN TIỀN SỬ DỤNG ĐẤT</t>
  </si>
  <si>
    <t>Số TT</t>
  </si>
  <si>
    <t>Danh mục công trình</t>
  </si>
  <si>
    <t>Tổng mức đầu tư hoặc giá trị quyết toán được duyệt</t>
  </si>
  <si>
    <t>Lũy kế vốn đã bố trí đến 31/5/2024 (bao gồm cả vốn đề nghị bổ sung lần 3)</t>
  </si>
  <si>
    <t>Lũy kế khối lượng thực hiện từ khởi công đến 31/5/2024</t>
  </si>
  <si>
    <t>Lũy kế giải ngân từ khởi công đến hết ngày 31/5/2024</t>
  </si>
  <si>
    <t>Đơn vị thực hiện/ 
Chủ đầu tư</t>
  </si>
  <si>
    <t>Thời gian KC-HT</t>
  </si>
  <si>
    <t>Tổng kế hoạch vốn</t>
  </si>
  <si>
    <t>Giáo dục và đào tạo</t>
  </si>
  <si>
    <t>Xây dựng nhà lớp học 2 tầng 8 phòng trường mầm non Tân Long điểm Đồng Mây</t>
  </si>
  <si>
    <t>Trung tâm Dịch vụ tổng hợp xã Quang Sơn</t>
  </si>
  <si>
    <t>2024-2025</t>
  </si>
  <si>
    <t>Xây dựng nhà hiệu bộ, phòng chức năng, bếp ăn một chiều và các công trình phụ trợ Trường mầm non Tân Long - Điểm trường trung tâm</t>
  </si>
  <si>
    <t>Cải tạo sửa chữa bếp ăn bán trú và mở rộng sân điểm trường Mầm non Lân Đăm, xã Quang Sơn</t>
  </si>
  <si>
    <t>2025</t>
  </si>
  <si>
    <t>ok</t>
  </si>
  <si>
    <t>Sự nghiệp kinh tế</t>
  </si>
  <si>
    <t>Điều chỉnh Quy hoạch chung xây dựng xã Tân Long, huyện Đồng Hỷ giai đoạn 2023-2033</t>
  </si>
  <si>
    <t>Sự nghiệp bảo đảm xã hội</t>
  </si>
  <si>
    <t>Xã Tân Long (Giải quyết tình trạng thiếu nhà ở)</t>
  </si>
  <si>
    <t>Phụ biểu 01</t>
  </si>
  <si>
    <t>BIỂU CHI TIẾT DỰ TOÁN CHI KINH PHÍ SỰ NGHIỆP GIÁO DỤC- ĐÀO TẠO NĂM 2025
CÁC TRƯỜNG: MẦM NON, TIỂU HỌC, TRUNG HỌC CƠ SỞ TRÊN ĐỊA BÀN XÃ NAM HOÀ</t>
  </si>
  <si>
    <t>Kinh phí chi tự chủ</t>
  </si>
  <si>
    <t>Kinh phí chi không thường xuyên</t>
  </si>
  <si>
    <t xml:space="preserve">Chi lương, phụ cấp lương và các khoản đóng góp, chi hoạt động </t>
  </si>
  <si>
    <t>Khen thưởng tập thể, cá nhân (QĐ 2269/QĐ-UBND)</t>
  </si>
  <si>
    <t>Hợp đồng theo Nghị định số 111/2022/NĐ-CP ngày 30/12/2022 của Chính phủ</t>
  </si>
  <si>
    <t>Chi NC hệ thống thông tin đảm bảo an toàn theo cấp độ</t>
  </si>
  <si>
    <t>Tiền thưởng theo NĐ 73/NĐ-CP</t>
  </si>
  <si>
    <t>Các chế độ chính sách</t>
  </si>
  <si>
    <t>Nguồn sự nghiệp giáo dục</t>
  </si>
  <si>
    <t>Nguồn CCTL</t>
  </si>
  <si>
    <t>Kinh phí hỗ trợ theo nghị định số 116/2016/NĐ-CP ngày 18/7/2016</t>
  </si>
  <si>
    <t>Kinh phí theo nghị định số 76/2019/NĐ-CP</t>
  </si>
  <si>
    <t xml:space="preserve">Kinh phí cấp bù học  phí theo NĐ 81/2021/NĐ-CP ngày 27/8/2021 </t>
  </si>
  <si>
    <t>Kinh phí hỗ trợ chi phí học tập theo NĐ 81/2021/NĐ-CP ngày 27/8/2021</t>
  </si>
  <si>
    <t>Kinh phí hỗ trợ học phí theo NQ số 11/2023/NQ-HĐND ngày 20/7/2023 của HĐND tỉnh Thái Nguyên</t>
  </si>
  <si>
    <t>Kinh phí hỗ trợ ăn trưa cho nhà trẻ theo NQ số 11/2023/NQ-HĐND</t>
  </si>
  <si>
    <t>Kinh phí hỗ trợ ăn trưa cho trẻ 3,4,5 tuổi theo Nghị định số 105/2020/NĐ-CP</t>
  </si>
  <si>
    <t>Kinh phí hỗ trợ tăng cường tiếng việt cho trẻ em là người DTTS theo Nghị định số 105/2020/NĐ-CP</t>
  </si>
  <si>
    <t>Kinh phí chế độ học sinh khuyết tật theo Thông tư 42/2013/TTLT-BGĐT-BLĐTBXH-BTC</t>
  </si>
  <si>
    <t>Kinh phí hỗ trợ kinh phí phục vụ nấu ăn cho học sinh theo NĐ 116/2016/NĐ-CP, Nghị quyết số 44/2016/NQ-HĐND</t>
  </si>
  <si>
    <t>Kinh phí chế độ học sinh bán trú được hỗ trợ theo NĐ 116/2016/NĐ-CP</t>
  </si>
  <si>
    <t xml:space="preserve">Kinh phí hỗ trợ giáo viên giảng dạy lớp có học sinh khuyết tật theo Nghị định số 28/2012/NĐ-CP </t>
  </si>
  <si>
    <t>Kinh phí hỗ trợ học phí cho nhà trẻ, mẫu giáo theo Nghị quyết số 05/2024/NQ-HĐND</t>
  </si>
  <si>
    <t>Kinh phí hỗ trợ công nhận lại trường chuẩn, kiểm định chất lượng GD, thư viện TT năm 2025</t>
  </si>
  <si>
    <t>Khối Trường Mầm non</t>
  </si>
  <si>
    <t>MN Tân Long</t>
  </si>
  <si>
    <t>MN Quang Sơn</t>
  </si>
  <si>
    <t xml:space="preserve"> Khối Trường Tiểu học</t>
  </si>
  <si>
    <t>TH Tân Long</t>
  </si>
  <si>
    <t>TH Quang Sơn</t>
  </si>
  <si>
    <t>Tiểu học Sa Lung</t>
  </si>
  <si>
    <t xml:space="preserve"> Khối Trường Trung học cơ sở</t>
  </si>
  <si>
    <t>THCS Tân Long</t>
  </si>
  <si>
    <t>THCS Quang Sơn</t>
  </si>
  <si>
    <t>Phụ lục II</t>
  </si>
  <si>
    <t>SỐ BỔ SUNG TỪ NGÂN SÁCH CẤP TỈNH CHO NGÂN SÁCH XÃ, PHƯỜNG NĂM 2025</t>
  </si>
  <si>
    <t>Địa phương</t>
  </si>
  <si>
    <t xml:space="preserve">TỔNG THU NSNN TRÊN ĐỊA BÀN </t>
  </si>
  <si>
    <t>Tổng chi ngân sách cấp xã</t>
  </si>
  <si>
    <t xml:space="preserve">Tổng số </t>
  </si>
  <si>
    <t>Chi từ 
nguồn thu tiền sử dụng đất</t>
  </si>
  <si>
    <t>Chi sự nghiệp giáo dục</t>
  </si>
  <si>
    <t>Chi chuyển nguồn CCTL</t>
  </si>
  <si>
    <t>Thu NSĐP 
hưởng theo phân cấp</t>
  </si>
  <si>
    <t>Bổ sung từ ngân sách cấp tỉnh</t>
  </si>
  <si>
    <t>Thu chuyển 
nguồn CCTL</t>
  </si>
  <si>
    <t>Tổng</t>
  </si>
  <si>
    <t>Bổ sung
 cân đối</t>
  </si>
  <si>
    <t>Bổ sung
 mục tiêu</t>
  </si>
  <si>
    <t>Phường Phan Đình Phùng</t>
  </si>
  <si>
    <t>Phường Linh Sơn</t>
  </si>
  <si>
    <t>Phường Tích Lương</t>
  </si>
  <si>
    <t>Phường Gia Sàng</t>
  </si>
  <si>
    <t>Phường Quyết Thắng</t>
  </si>
  <si>
    <t>Phường Quan Triều</t>
  </si>
  <si>
    <t>Xã Tân Cương</t>
  </si>
  <si>
    <t>Xã Đại Phúc</t>
  </si>
  <si>
    <t>Xã Đại Từ</t>
  </si>
  <si>
    <t>Xã Đức Lương</t>
  </si>
  <si>
    <t>Xã Phú Thịnh</t>
  </si>
  <si>
    <t>Xã La Bằng</t>
  </si>
  <si>
    <t>Xã Phú Lạc</t>
  </si>
  <si>
    <t>Xã An Khánh</t>
  </si>
  <si>
    <t>Xã Quân Chu</t>
  </si>
  <si>
    <t>Xã Vạn Phú</t>
  </si>
  <si>
    <t>Xã Phú Xuyên</t>
  </si>
  <si>
    <t>Phường Phổ Yên</t>
  </si>
  <si>
    <t>Phường Vạn Xuân</t>
  </si>
  <si>
    <t>Phường Trung Thành</t>
  </si>
  <si>
    <t>Phường Phúc Thuận</t>
  </si>
  <si>
    <t>Xã Thành Công</t>
  </si>
  <si>
    <t>Xã Phú Bình</t>
  </si>
  <si>
    <t>Xã Tân Thành</t>
  </si>
  <si>
    <t>Xã Điềm Thuỵ</t>
  </si>
  <si>
    <t>Xã Kha Sơn</t>
  </si>
  <si>
    <t>Xã Tân Khánh</t>
  </si>
  <si>
    <t>Xã Đồng Hỷ</t>
  </si>
  <si>
    <t>Xã Trại Cau</t>
  </si>
  <si>
    <t>Xã Nam Hoà</t>
  </si>
  <si>
    <t>Xã Văn Hán</t>
  </si>
  <si>
    <t>Xã Văn Lăng</t>
  </si>
  <si>
    <t>Phường Sông Công</t>
  </si>
  <si>
    <t>Phường Bá Xuyên</t>
  </si>
  <si>
    <t>Phường Bách Quang</t>
  </si>
  <si>
    <t>Xã Phú Lương</t>
  </si>
  <si>
    <t>Xã Vô Tranh</t>
  </si>
  <si>
    <t>Xã Yên Trạch</t>
  </si>
  <si>
    <t>Xã Hợp Thành</t>
  </si>
  <si>
    <t>Xã Định Hoá</t>
  </si>
  <si>
    <t>Xã Bình Yên</t>
  </si>
  <si>
    <t>Xã Trung Hội</t>
  </si>
  <si>
    <t>Xã Phượng Tiến</t>
  </si>
  <si>
    <t>Xã Phú Đình</t>
  </si>
  <si>
    <t>Xã Bình Thành</t>
  </si>
  <si>
    <t>Xã Kim Phượng</t>
  </si>
  <si>
    <t>Xã Lam Vỹ</t>
  </si>
  <si>
    <t>Xã Võ Nhai</t>
  </si>
  <si>
    <t>Xã Dân Tiến</t>
  </si>
  <si>
    <t>Xã Nghinh Tường</t>
  </si>
  <si>
    <t>Xã Thần Sa</t>
  </si>
  <si>
    <t>Xã La Hiên</t>
  </si>
  <si>
    <t>Xã Tràng Xá</t>
  </si>
  <si>
    <t>Xã Sảng Mộc</t>
  </si>
  <si>
    <t>Dự toán 
năm 2025 sau sắp xếp</t>
  </si>
  <si>
    <t>Chênh lệch</t>
  </si>
  <si>
    <t>Tổng thu ngân sách nhà nước
 trên địa bàn</t>
  </si>
  <si>
    <t>Thu NSĐP hưởng theo phân cấp</t>
  </si>
  <si>
    <t>Số bổ sung cân đối</t>
  </si>
  <si>
    <t>Số bổ sung có mục tiêu</t>
  </si>
  <si>
    <t>Số thu chuyển nguồn CCTL</t>
  </si>
  <si>
    <t>Tổng chi ngân sách địa phương</t>
  </si>
  <si>
    <t>Tổng số (*)</t>
  </si>
  <si>
    <t>Bổ sung từ ngân sách tỉnh</t>
  </si>
  <si>
    <t>Chi nguyên
 trạng xã</t>
  </si>
  <si>
    <t>Bổ sung
 mục tiêu (nguyên trạng xã)</t>
  </si>
  <si>
    <t>Hoàng Văn Thụ</t>
  </si>
  <si>
    <t>Phan Đình Phùng</t>
  </si>
  <si>
    <t>Quang Trung</t>
  </si>
  <si>
    <t>Trưng Vương</t>
  </si>
  <si>
    <t>Đồng Quang</t>
  </si>
  <si>
    <t>Túc Duyên</t>
  </si>
  <si>
    <t>Tân Thịnh</t>
  </si>
  <si>
    <t>Chùa Hang</t>
  </si>
  <si>
    <t xml:space="preserve">Cao Ngạn </t>
  </si>
  <si>
    <t>Đồng Bẩm</t>
  </si>
  <si>
    <t>Linh Sơn</t>
  </si>
  <si>
    <t>Huống Thượng</t>
  </si>
  <si>
    <t>Phú Xá</t>
  </si>
  <si>
    <t>Trung Thành</t>
  </si>
  <si>
    <t>Tân Thành</t>
  </si>
  <si>
    <t>Tân Lập</t>
  </si>
  <si>
    <t>Tích Lương</t>
  </si>
  <si>
    <t>Hương Sơn</t>
  </si>
  <si>
    <t>Đồng Liên</t>
  </si>
  <si>
    <t>Cam Giá</t>
  </si>
  <si>
    <t>Gia Sàng</t>
  </si>
  <si>
    <t>Thịnh Đán</t>
  </si>
  <si>
    <t xml:space="preserve">Quyết Thắng </t>
  </si>
  <si>
    <t>Phúc Hà</t>
  </si>
  <si>
    <t>Tân Long</t>
  </si>
  <si>
    <t>Quan Triều</t>
  </si>
  <si>
    <t>Quang Vinh</t>
  </si>
  <si>
    <t>Sơn Cẩm</t>
  </si>
  <si>
    <t>Tân Cương</t>
  </si>
  <si>
    <t>Thịnh Đức</t>
  </si>
  <si>
    <t>Bình Sơn</t>
  </si>
  <si>
    <t>Phúc Xuân</t>
  </si>
  <si>
    <t>Phúc Trìu</t>
  </si>
  <si>
    <t>Phúc Tân</t>
  </si>
  <si>
    <t>Tân Thái</t>
  </si>
  <si>
    <t>TT Hùng Sơn</t>
  </si>
  <si>
    <t>Bình Thuận</t>
  </si>
  <si>
    <t>Khôi Kỳ</t>
  </si>
  <si>
    <t>Mỹ Yên</t>
  </si>
  <si>
    <t>Lục Ba</t>
  </si>
  <si>
    <t>Minh Tiến</t>
  </si>
  <si>
    <t>Đức Lương</t>
  </si>
  <si>
    <t>Phúc Lương</t>
  </si>
  <si>
    <t>Phú Thịnh</t>
  </si>
  <si>
    <t>Bản Ngoại</t>
  </si>
  <si>
    <t>Phú Cường</t>
  </si>
  <si>
    <t>La Bằng</t>
  </si>
  <si>
    <t>Hoàng Nông</t>
  </si>
  <si>
    <t>Tiên Hội</t>
  </si>
  <si>
    <t>Phú Lạc</t>
  </si>
  <si>
    <t>Phục Linh</t>
  </si>
  <si>
    <t>Tân Linh</t>
  </si>
  <si>
    <t>An Khánh</t>
  </si>
  <si>
    <t>Cù Vân</t>
  </si>
  <si>
    <t>Hà Thượng</t>
  </si>
  <si>
    <t>Quân Chu</t>
  </si>
  <si>
    <t>Cát Nê</t>
  </si>
  <si>
    <t>Vạn Phú</t>
  </si>
  <si>
    <t>Văn Yên</t>
  </si>
  <si>
    <t>Yên Lãng</t>
  </si>
  <si>
    <t>Phú Xuyên</t>
  </si>
  <si>
    <t>Ba Hàng</t>
  </si>
  <si>
    <t>Hồng Tiến</t>
  </si>
  <si>
    <t>Bãi Bông</t>
  </si>
  <si>
    <t>Đắc Sơn</t>
  </si>
  <si>
    <t>Nam Tiến</t>
  </si>
  <si>
    <t>Đồng Tiến</t>
  </si>
  <si>
    <t>Tân Hương</t>
  </si>
  <si>
    <t>Tiên Phong</t>
  </si>
  <si>
    <t>Đông Cao</t>
  </si>
  <si>
    <t>Tân Phú</t>
  </si>
  <si>
    <t>Thuận Thành</t>
  </si>
  <si>
    <t>Bắc Sơn</t>
  </si>
  <si>
    <t xml:space="preserve">Phúc Thuận </t>
  </si>
  <si>
    <t>Minh Đức</t>
  </si>
  <si>
    <t>Thành Công</t>
  </si>
  <si>
    <t>Vạn Phái</t>
  </si>
  <si>
    <t>Xuân Phương</t>
  </si>
  <si>
    <t>Úc Kỳ</t>
  </si>
  <si>
    <t>Nhã Lộng</t>
  </si>
  <si>
    <t>Bảo Lý</t>
  </si>
  <si>
    <t>Tân Hoà</t>
  </si>
  <si>
    <t>Tân Kim</t>
  </si>
  <si>
    <t>Điềm Thuỵ</t>
  </si>
  <si>
    <t>Hà Châu</t>
  </si>
  <si>
    <t>Nga My</t>
  </si>
  <si>
    <t>Thượng Đình</t>
  </si>
  <si>
    <t>Kha Sơn</t>
  </si>
  <si>
    <t>Thanh Ninh</t>
  </si>
  <si>
    <t>Dương Thành</t>
  </si>
  <si>
    <t>Tân Đức</t>
  </si>
  <si>
    <t>Lương Phú</t>
  </si>
  <si>
    <t>Tân Khánh</t>
  </si>
  <si>
    <t>Bàn Đạt</t>
  </si>
  <si>
    <t>Đào Xá</t>
  </si>
  <si>
    <t>Minh Lập</t>
  </si>
  <si>
    <t>Hoá Trung</t>
  </si>
  <si>
    <t>Sông Cầu</t>
  </si>
  <si>
    <t>Hoá Thượng</t>
  </si>
  <si>
    <t>Quang Sơn</t>
  </si>
  <si>
    <t>Trại Cau</t>
  </si>
  <si>
    <t>Hợp Tiến</t>
  </si>
  <si>
    <t>Nam Hoà</t>
  </si>
  <si>
    <t>Cây Thị</t>
  </si>
  <si>
    <t>Văn Hán</t>
  </si>
  <si>
    <t>Khe Mo</t>
  </si>
  <si>
    <t>Văn Lăng</t>
  </si>
  <si>
    <t>Hoà Bình</t>
  </si>
  <si>
    <t>Thắng Lợi</t>
  </si>
  <si>
    <t>Phố Cò</t>
  </si>
  <si>
    <t>Cải Can</t>
  </si>
  <si>
    <t>Mỏ Chè</t>
  </si>
  <si>
    <t>Châu Sơn</t>
  </si>
  <si>
    <t>Bá Xuyên</t>
  </si>
  <si>
    <t>Bách Quang</t>
  </si>
  <si>
    <t>Lương Sơn</t>
  </si>
  <si>
    <t>Tân Quang</t>
  </si>
  <si>
    <t>Yên Lạc</t>
  </si>
  <si>
    <t>Động Đạt</t>
  </si>
  <si>
    <t>Đu</t>
  </si>
  <si>
    <t>Giang Tiên</t>
  </si>
  <si>
    <t>Tức Tranh</t>
  </si>
  <si>
    <t>Cổ Lũng</t>
  </si>
  <si>
    <t>Vô Tranh</t>
  </si>
  <si>
    <t>Phú Đô</t>
  </si>
  <si>
    <t>Yên Ninh</t>
  </si>
  <si>
    <t>Yên ĐỔ</t>
  </si>
  <si>
    <t>Yên Trạch</t>
  </si>
  <si>
    <t>Hợp Thành</t>
  </si>
  <si>
    <t>Ôn Lương</t>
  </si>
  <si>
    <t>Phủ Lý</t>
  </si>
  <si>
    <t>Phúc Chu</t>
  </si>
  <si>
    <t>Bảo Linh</t>
  </si>
  <si>
    <t>Đồng Thịnh</t>
  </si>
  <si>
    <t>Chợ Chu</t>
  </si>
  <si>
    <t>Bình Yên</t>
  </si>
  <si>
    <t>Trung Lương</t>
  </si>
  <si>
    <t>Định Biên</t>
  </si>
  <si>
    <t>Thanh Định</t>
  </si>
  <si>
    <t>Trung Hội</t>
  </si>
  <si>
    <t>Phú Tiến</t>
  </si>
  <si>
    <t>Bộc Nhiêu</t>
  </si>
  <si>
    <t>Tân DƯơng</t>
  </si>
  <si>
    <t>Phượng Tiến</t>
  </si>
  <si>
    <t>Phú Đình</t>
  </si>
  <si>
    <t>Điềm Mặc</t>
  </si>
  <si>
    <t>Bình Thành</t>
  </si>
  <si>
    <t>Sơn Phú</t>
  </si>
  <si>
    <t>Kim Phượng</t>
  </si>
  <si>
    <t>Quy Kỳ</t>
  </si>
  <si>
    <t>Lam Vỹ</t>
  </si>
  <si>
    <t>Linh Thông</t>
  </si>
  <si>
    <t>Lâu Thượng</t>
  </si>
  <si>
    <t>Phú Thượng</t>
  </si>
  <si>
    <t>Đình Cả</t>
  </si>
  <si>
    <t>Dân Tiến</t>
  </si>
  <si>
    <t>Bình Long</t>
  </si>
  <si>
    <t>Phương Giao</t>
  </si>
  <si>
    <t>Nghinh Tường</t>
  </si>
  <si>
    <t>Vũ Chấn</t>
  </si>
  <si>
    <t>Thần Sa</t>
  </si>
  <si>
    <t>Thượng Nung</t>
  </si>
  <si>
    <t>La Hiên</t>
  </si>
  <si>
    <t>Cúc Đường</t>
  </si>
  <si>
    <t>Tràng Xá</t>
  </si>
  <si>
    <t>Liên Minh</t>
  </si>
  <si>
    <t>Biểu mẫu số 34</t>
  </si>
  <si>
    <t>DỰ TOÁN CHI NGÂN SÁCH CẤP TỈNH THEO LĨNH VỰC NĂM 2025</t>
  </si>
  <si>
    <t>Đơn vị: Triệu đồng</t>
  </si>
  <si>
    <t>Thái Nguyên</t>
  </si>
  <si>
    <t>TỔNG CHI NSĐP</t>
  </si>
  <si>
    <t>CHI BỔ SUNG CHO NGÂN SÁCH CẤP DƯỚI (1)</t>
  </si>
  <si>
    <t>CHI NGÂN SÁCH CẤP TỈNH (HUYỆN, XÃ) THEO LĨNH VỰC</t>
  </si>
  <si>
    <t>Chi đầu tư phát triển (2)</t>
  </si>
  <si>
    <t>Chi đầu tư cho các dự án</t>
  </si>
  <si>
    <t>-</t>
  </si>
  <si>
    <t>Chi giáo dục - đào tạo và dạy nghề</t>
  </si>
  <si>
    <t>Chi khoa học và công nghệ</t>
  </si>
  <si>
    <t>Chi an ninh và trật tự an toàn xã hội</t>
  </si>
  <si>
    <t>Chi y tế, dân số và gia đình</t>
  </si>
  <si>
    <t>Chi văn hóa thông tin</t>
  </si>
  <si>
    <t>Chi phát thanh, truyền hình, thông tấn</t>
  </si>
  <si>
    <t>Chi thể dục thể thao</t>
  </si>
  <si>
    <t>Chi bảo vệ môi trường</t>
  </si>
  <si>
    <t>Chi các hoạt động kinh tế</t>
  </si>
  <si>
    <t>Chi hoạt động của cơ quan quản lý nhà nước, đảng, đoàn thể</t>
  </si>
  <si>
    <t>Chi bảo đảm xã hội</t>
  </si>
  <si>
    <t>Chi đầu tư và hỗ trợ vốn cho các doanh nghiệp cung cấp sản phẩm, dịch vụ công ích do Nhà nước đặt hàng, các tổ chức kinh tế,</t>
  </si>
  <si>
    <t>Chi đầu tư phát triển khác</t>
  </si>
  <si>
    <t>Chi sự nghiệp văn hoá thông tin, thể dục thể thao</t>
  </si>
  <si>
    <t>Chi sự nghiệp bảo vệ môi trường</t>
  </si>
  <si>
    <t>Chi quốc phòng an ninh địa phương</t>
  </si>
  <si>
    <t>Chi khác của ngân sách</t>
  </si>
  <si>
    <t>Tiết kiệm 10% 7 tháng cuối năm</t>
  </si>
  <si>
    <t>Chi trả nợ lãi các khoản do chính quyền địa phương vay (3)</t>
  </si>
  <si>
    <t>Chi bổ sung quỹ dự trữ tài chính (3)</t>
  </si>
  <si>
    <t>CHI CHUYỂN NGUỒN SANG NĂM SAU</t>
  </si>
  <si>
    <t>Biểu mẫu số 37.2 NSĐP</t>
  </si>
  <si>
    <t>DỰ TOÁN CHI THƯỜNG XUYÊN CỦA NGÂN SÁCH CẤP TỈNH CHO TỪNG CƠ QUAN, TỔ CHỨC THEO LĨNH VỰC NĂM 2025</t>
  </si>
  <si>
    <t>(Dùng cho ngân sách các cấp chính quyền địa phương)</t>
  </si>
  <si>
    <t>(Kèm theo Công văn số           /STC-HCSN ngày        /6/2025 của Sở Tài chính)</t>
  </si>
  <si>
    <t>Tổng số chi ngân sách khối tỉnh</t>
  </si>
  <si>
    <t>Trừ tiết kiệm 10% chi thường xuyên</t>
  </si>
  <si>
    <t>Số được chi từ nguồn ngân sách nhà nước</t>
  </si>
  <si>
    <t>Chi y tế, dân số và gia đình</t>
  </si>
  <si>
    <t>Chi bảo vệ môi trường</t>
  </si>
  <si>
    <t>Chi hoạt động của cơ quan quản lý nhà nước, đảng, đoàn thể</t>
  </si>
  <si>
    <t>Chi thường xuyên khác</t>
  </si>
  <si>
    <t>Kinh phí chuyển thanh tra</t>
  </si>
  <si>
    <t>Nhiệm vụ khác</t>
  </si>
  <si>
    <t>chuyển về xã Bắc kạn</t>
  </si>
  <si>
    <t>KP huyện chuyển nv lên tỉnh Bắc Kạn</t>
  </si>
  <si>
    <t>TTXTĐT Bắc Kạn chuyển về 3 Sở</t>
  </si>
  <si>
    <t>Điều chỉnh kinh phí luân chuyển cán bộ các ngành</t>
  </si>
  <si>
    <t>TỔNG</t>
  </si>
  <si>
    <t>Chi giao thông</t>
  </si>
  <si>
    <t>Chi nông nghiệp, lâm nghiệp, thủy lợi, thủy sản</t>
  </si>
  <si>
    <t>Đối ứng</t>
  </si>
  <si>
    <t>BSCMT</t>
  </si>
  <si>
    <t>TỔNG SỐ</t>
  </si>
  <si>
    <t>tỉnh Thái Nguyên</t>
  </si>
  <si>
    <t>tỉnh Bắc Kạn</t>
  </si>
  <si>
    <t>KHỐI QUẢN LÝ NHÀ NƯỚC</t>
  </si>
  <si>
    <t>Văn phòng Đoàn Đại biểu 
Quốc hội - Hội đồng nhân dân</t>
  </si>
  <si>
    <t>Văn phòng Ủy ban nhân dân tỉnh</t>
  </si>
  <si>
    <t>142 tr chuyển nhiệm vụ VPTU sang UBND tỉnh</t>
  </si>
  <si>
    <t>Sở Nông nghiệp và Môi trường</t>
  </si>
  <si>
    <t>Sở Tư pháp</t>
  </si>
  <si>
    <t>Sở Công Thương</t>
  </si>
  <si>
    <t>140 chuyển kinh phí từ QLTT sang SCT</t>
  </si>
  <si>
    <t>Sở Khoa học và Công nghệ</t>
  </si>
  <si>
    <t>Giảm nhiệm vụ ứng dụng CNTT</t>
  </si>
  <si>
    <t>Sở Tài chính</t>
  </si>
  <si>
    <t>Sở Xây dựng</t>
  </si>
  <si>
    <t>Sở Giáo dục và Đào tạo</t>
  </si>
  <si>
    <t>chuyển sang Trường CĐ TN</t>
  </si>
  <si>
    <t>Sở Y tế</t>
  </si>
  <si>
    <t>tăng do Nguồn thu dịch vụ sự nghiệp năm 2025 không đảm bảo tỷ lệ tự chủ chi thường xuyên theo phân loại tự chủ tài chính được UBND tỉnh  phê duyệt</t>
  </si>
  <si>
    <t>Sở Văn hoá, Thể thao và Du lịch</t>
  </si>
  <si>
    <t>Sở Nội vụ</t>
  </si>
  <si>
    <t>Thanh tra tỉnh</t>
  </si>
  <si>
    <t>Sở Dân tộc và Tôn giáo</t>
  </si>
  <si>
    <t>Ban Quản lý các khu công nghiệp</t>
  </si>
  <si>
    <t>BQL Vườn quốc gia Ba Bể</t>
  </si>
  <si>
    <t>Ban An toàn giao thông</t>
  </si>
  <si>
    <t>KHỐI HỘI ĐOÀN THỂ</t>
  </si>
  <si>
    <t>Uỷ ban Mặt trận tổ quốc Việt Nam tỉnh Thái Nguyên</t>
  </si>
  <si>
    <t xml:space="preserve">Mặt trận Tổ quốc </t>
  </si>
  <si>
    <t>Tỉnh Đoàn thanh niên</t>
  </si>
  <si>
    <t>Hội Liên hiệp Phụ nữ</t>
  </si>
  <si>
    <t>Hội Nông dân</t>
  </si>
  <si>
    <t>1.5</t>
  </si>
  <si>
    <t>Hội Cựu chiến binh</t>
  </si>
  <si>
    <t>Liên minh các hợp tác xã</t>
  </si>
  <si>
    <t xml:space="preserve">Liên hiệp các hội KHKT tỉnh </t>
  </si>
  <si>
    <t>Liên hiệp các tổ chức hữu nghị</t>
  </si>
  <si>
    <t>Giải thể Hội</t>
  </si>
  <si>
    <t>Hội Văn học nghệ thuật</t>
  </si>
  <si>
    <t>Hội Nhà báo</t>
  </si>
  <si>
    <t>Hội Luật gia</t>
  </si>
  <si>
    <t>Hội Chữ thập đỏ</t>
  </si>
  <si>
    <t>Hội Người cao tuổi</t>
  </si>
  <si>
    <t>Bổ sung thêm 115 triệu theo nhiệm vụ được giao tại QĐ 1080 ngày 11/4/2025 của UBND tỉnh</t>
  </si>
  <si>
    <t>Hội Người mù</t>
  </si>
  <si>
    <t>Hội Đông y</t>
  </si>
  <si>
    <t>Bổ sung tiền thưởng theo NĐ 174</t>
  </si>
  <si>
    <t>Hội Nạn nhân chất độc da cam</t>
  </si>
  <si>
    <t>Hội Cựu Thanh niên xung phong</t>
  </si>
  <si>
    <t>Hội Bảo trợ người KT &amp; bảo vệ quyền trẻ em</t>
  </si>
  <si>
    <t>Hội Khuyến học</t>
  </si>
  <si>
    <t>Hội Hữu nghị Việt Lào</t>
  </si>
  <si>
    <t>Hội Làm vườn</t>
  </si>
  <si>
    <t>Hiệp hội doanh nghiệp nhỏ và vừa</t>
  </si>
  <si>
    <t>Hội bảo vệ quyền lợi người tiêu dùng</t>
  </si>
  <si>
    <t>Hiệp hội doanh nghiệp</t>
  </si>
  <si>
    <t>Hiệp hội thanh niên Việt Nam</t>
  </si>
  <si>
    <t xml:space="preserve">KHỐI TỈNH ỦY </t>
  </si>
  <si>
    <t xml:space="preserve">CÁC ĐƠN VỊ SỰ NGHIỆP </t>
  </si>
  <si>
    <t>Đài Phát thanh - Truyền hình</t>
  </si>
  <si>
    <t>Sáp nhập với Báo Thái Nguyên</t>
  </si>
  <si>
    <t>Trường Chính trị tỉnh</t>
  </si>
  <si>
    <t>Bổ sung thêm kinh phí số hoá tài liệu và chỉnh lý tài liệu lưu trữ</t>
  </si>
  <si>
    <t>Trường Cao đẳng Thái Nguyên</t>
  </si>
  <si>
    <t>Trường Cao đẳng Bắc Kạn</t>
  </si>
  <si>
    <t>Trường nội trú tỉnh Thái Nguyên</t>
  </si>
  <si>
    <t>Nhận dự toán từ Sở GDĐT</t>
  </si>
  <si>
    <t>Trường Cao đẳng Y tế Thái Nguyên</t>
  </si>
  <si>
    <t>Ban Quản lý dự án đầu tư xây dựng công trình giao thông và nông nghiệp Thái Nguyên</t>
  </si>
  <si>
    <t>Ban Chỉ huy PCTT và TKCN</t>
  </si>
  <si>
    <t>Công an tỉnh</t>
  </si>
  <si>
    <t>Bộ Chỉ huy quân sự tỉnh</t>
  </si>
  <si>
    <t>Một số nhiệm vụ chi khác</t>
  </si>
  <si>
    <t>Đối ứng dự án</t>
  </si>
  <si>
    <t>Cục Thống kê</t>
  </si>
  <si>
    <t>Liên đoàn lao động tỉnh</t>
  </si>
  <si>
    <t>Viện Kiểm sát nhân dân tỉnh</t>
  </si>
  <si>
    <t>Toà án nhân dân tỉnh</t>
  </si>
  <si>
    <t>Cục Thi hành án dân sự tỉnh</t>
  </si>
  <si>
    <t>Ban Quản lý các dự án vốn nước ngoài</t>
  </si>
  <si>
    <t xml:space="preserve">Chi nhánh Ngân hàng chính sách xã hội  tỉnh </t>
  </si>
  <si>
    <t xml:space="preserve">Công ty Điện lực </t>
  </si>
  <si>
    <t>Viễn thông Bắc Kạn</t>
  </si>
  <si>
    <t>Bưu điện tỉnh</t>
  </si>
  <si>
    <t>Công ty TNHH MTV Lâm nghiệp Bắc Kạn</t>
  </si>
  <si>
    <t>HTX Phja Làng</t>
  </si>
  <si>
    <t>HTX Đại Hà</t>
  </si>
  <si>
    <t>HTX công nghệ cao BK FOODS</t>
  </si>
  <si>
    <t xml:space="preserve">HTX nông nghiệp xanh GREEN TECH </t>
  </si>
  <si>
    <t>HTX Phương Giang</t>
  </si>
  <si>
    <t>HTX TM&amp;DV NN Dương Phong</t>
  </si>
  <si>
    <t>HTX DVNLN &amp; XD Hoa Sơn</t>
  </si>
  <si>
    <t>HTX DVNN Hợp Giang</t>
  </si>
  <si>
    <t>HTX Nước sạch và Vệ sinh MT Ngân Sơn</t>
  </si>
  <si>
    <t>HTX Nhung Lũy</t>
  </si>
  <si>
    <t>HTX Yến Dương</t>
  </si>
  <si>
    <t>HTX Phúc Ba</t>
  </si>
  <si>
    <t>HTX Thắm Lượng</t>
  </si>
  <si>
    <t>HTX Tú Hương</t>
  </si>
  <si>
    <t>HTX Dịch vụ tổng hợp Na Rì</t>
  </si>
  <si>
    <t>HTX An Diệp</t>
  </si>
  <si>
    <t>HTX Hoa Sơn - Mỹ Phương</t>
  </si>
  <si>
    <t>HTX Hoàng Hương</t>
  </si>
  <si>
    <t>HTX Thành phát</t>
  </si>
  <si>
    <t>HTX Dịch vụ tổng hợp Ba Bể</t>
  </si>
  <si>
    <t>HTX Kềm Miền Ba Bể</t>
  </si>
  <si>
    <t>HTX Thục Dung</t>
  </si>
  <si>
    <t>HTX dịch vụ tổng hợp Bành Trạch</t>
  </si>
  <si>
    <t>HTX Nam Duy</t>
  </si>
  <si>
    <t>HTX An Bình</t>
  </si>
  <si>
    <t>HTX Đồng Tiến</t>
  </si>
  <si>
    <t>HTX Tiến Đạt</t>
  </si>
  <si>
    <t>HTX DV và PTNN Pác Nặm</t>
  </si>
  <si>
    <t>HTX Hoàng Gia</t>
  </si>
  <si>
    <t>HTX Bánh gio</t>
  </si>
  <si>
    <t>HTX Tân Thành</t>
  </si>
  <si>
    <t>HTX Minh Anh</t>
  </si>
  <si>
    <t>HTX Mộc Lan Rừng</t>
  </si>
  <si>
    <t>HTX Thắng Lợi</t>
  </si>
  <si>
    <t>HTX Nông nghiệp sạch Tân Sơn</t>
  </si>
  <si>
    <t>Kinh phí thực hiện dịch vụ công ích thuỷ lợi và duy tu sửa chữa nâng cấp các công trình nông nghiệp</t>
  </si>
  <si>
    <t>Công ty TNHH MTV khai thác thuỷ lợi Thái Nguyên</t>
  </si>
  <si>
    <t>Công ty TNHH MTV khai thác thuỷ lợi Nam Sông Thương</t>
  </si>
  <si>
    <t>Công ty TNHH MTV quản lý khai thác công trình thuỷ lợi Bắc Kạn</t>
  </si>
  <si>
    <t>Kinh phí nghỉ hưu trước tuổi theo NQ của HĐND</t>
  </si>
  <si>
    <t>BẢO HIỂM Y TẾ</t>
  </si>
  <si>
    <t>CÁC ĐƠN VỊ KHÁC</t>
  </si>
  <si>
    <t>Biểu mẫu số 37.1 NSTW</t>
  </si>
  <si>
    <t>DỰ TOÁN CHI THƯỜNG XUYÊN CỦA NGÂN SÁCH TRUNG ƯƠNG CHO TỪNG CƠ QUAN, TỔ CHỨC THEO LĨNH VỰC NĂM 2025</t>
  </si>
  <si>
    <t>(Kèm theo Công văn số           /STC-HCSN ngày        /7/2025 của Sở Tài chính)</t>
  </si>
  <si>
    <t>Tên đơn vị</t>
  </si>
  <si>
    <t>Chương trình mục tiêu xây dựng nông thôn mới</t>
  </si>
  <si>
    <t>Bổ sung có mục tiêu từ NSTW</t>
  </si>
  <si>
    <t>Cục thống kê</t>
  </si>
  <si>
    <t>Bảo hiểm xã hội tỉnh</t>
  </si>
  <si>
    <t>Tỉnh uỷ</t>
  </si>
  <si>
    <t>PHÒNG TÀI CHÍNH HCSN</t>
  </si>
  <si>
    <t>Biểu mẫu số 38.1 NSTW</t>
  </si>
  <si>
    <t>DỰ TOÁN CHI CHƯƠNG TRÌNH MỤC TIÊU QUỐC GIA 
BỔ SUNG TỪ NGÂN SÁCH TRUNG ƯƠNG CHO NGÂN SÁCH CẤP TỈNH NĂM 2025</t>
  </si>
  <si>
    <t>(Kèm theo Công văn số           /STC-HCSN ngày      /6/2025 của Sở Tài chính)</t>
  </si>
  <si>
    <t>Tên đơn vị (1)</t>
  </si>
  <si>
    <t>Đầu tư phát triển</t>
  </si>
  <si>
    <t>Kinh phí sự nghiệp</t>
  </si>
  <si>
    <t>1= +3</t>
  </si>
  <si>
    <t>2=5+12</t>
  </si>
  <si>
    <t>3=8+15</t>
  </si>
  <si>
    <t>4=5+8</t>
  </si>
  <si>
    <t>5=6+7</t>
  </si>
  <si>
    <t>8=9+10</t>
  </si>
  <si>
    <t>Tỉnh Thái Nguyên</t>
  </si>
  <si>
    <t>Tỉnh Bắc Kạn</t>
  </si>
  <si>
    <t>CẤP TỈNH</t>
  </si>
  <si>
    <t xml:space="preserve">Ủy ban Mặt trận Tổ quốc Việt Nam </t>
  </si>
  <si>
    <t>Liên minh Hợp tác xã</t>
  </si>
  <si>
    <t>Sở Công thương</t>
  </si>
  <si>
    <t>Sở Văn hóa, Thể thao và Du lịch</t>
  </si>
  <si>
    <t>Tỉnh đoàn</t>
  </si>
  <si>
    <t>Thái Nguyên, ngày        tháng         năm 2025</t>
  </si>
  <si>
    <t xml:space="preserve">         LẬP BIỂU                               TRƯỞNG PHÒNG                                                      P. GIÁM ĐỐC PHỤ TRÁCH</t>
  </si>
  <si>
    <t xml:space="preserve">                        Đinh Thị Thùy Dương                    Hà Thị Bích Hạnh                                                                Phạm Thị Ngọc</t>
  </si>
  <si>
    <t>Biểu mẫu số 38.2 NSĐP</t>
  </si>
  <si>
    <t>DỰ TOÁN NGÂN SÁCH TỈNH ĐỐI ỨNG CHI CHƯƠNG TRÌNH MỤC TIÊU QUỐC GIA NGÂN SÁCH NĂM 2025</t>
  </si>
  <si>
    <t>(Kèm theo Công văn số           /STC-HCSN ngày      /7/2025 của Sở Tài chính)</t>
  </si>
  <si>
    <t xml:space="preserve">         LẬP BIỂU                                               TRƯỞNG PHÒNG                                                     P. GIÁM ĐỐC PHỤ TRÁCH</t>
  </si>
  <si>
    <t xml:space="preserve">                      Đinh Thị Thùy Dương                             Hà Thị Bích Hạnh                                                                Phạm Thị Ngọc</t>
  </si>
  <si>
    <t xml:space="preserve">V </t>
  </si>
  <si>
    <t>Thu kết dư ngân sách</t>
  </si>
  <si>
    <t xml:space="preserve">Chi từ chuyển nguồn </t>
  </si>
  <si>
    <t>Chi từ nguồn kết dư</t>
  </si>
  <si>
    <t>Biểu số 07</t>
  </si>
  <si>
    <t>Biểu số 08</t>
  </si>
  <si>
    <t>Biểu số 09</t>
  </si>
  <si>
    <t>BIỂU CHI TIẾT PHÂN BỔ KINH PHÍ TỪ NGUỒN KẾT DƯ NGÂN SÁCH NĂM 2024</t>
  </si>
  <si>
    <t>Nôị dung</t>
  </si>
  <si>
    <t>Kết dư ngân sách cấp huyện (trước sắp xếp)</t>
  </si>
  <si>
    <t>Kết dư ngân sách cấp xã (trước sắp xếp)</t>
  </si>
  <si>
    <t>Văn phòng HĐND và UBND</t>
  </si>
  <si>
    <t>Chưa phân bổ chi tiết</t>
  </si>
  <si>
    <t>Chi sự nghiệp kinh tế, môi trường (nguồn phí môi trường)</t>
  </si>
  <si>
    <t>Xã Tân Long (cũ)</t>
  </si>
  <si>
    <t>Xã Quang Sơn (cũ)</t>
  </si>
  <si>
    <t>Công tác quy hoạch (nguồn xã hội hóa)</t>
  </si>
  <si>
    <t>BIỂU CHI TIẾT PHÂN BỔ KINH PHÍ TỪ NGUỒN CHUYỂN NGUỒN NGÂN SÁCH NĂM 2024 SANG NĂM 2025</t>
  </si>
  <si>
    <t>Nguồn thực hiện chính sách cải cách tiền lương còn chuyển sang tiếp tục theo dõi</t>
  </si>
  <si>
    <t>Xây dựng kè chống sạt lở đường giao thông từ xóm Đồng Mây đi xóm Làng Giếng, xã Tân Long</t>
  </si>
  <si>
    <t>Xây dựng nhà lớp học 2 tầng 8 phòng học Trường Mầm non Tân Long - Điểm Đồng Mây</t>
  </si>
  <si>
    <t>Xây dựng nhà văn hoá xóm Lân Đăm, xã Quang Sơn</t>
  </si>
  <si>
    <t>Nâng cấp cải tạo đường bê tông xóm Lân Đăm xã Quang Sơn GD3</t>
  </si>
  <si>
    <t>Xây dựng cổng, sân, tường rào và các công trình phụ trợ khác nhà văn hóa xóm Làng Giếng xã Tân Long</t>
  </si>
  <si>
    <t>Xây dựng cổng, sân, tường rào và các công trình phụ trợ khác nhà văn hóa xóm Đồng Luông xã Tân Long</t>
  </si>
  <si>
    <t>Xây dựng cổng, sân, tường rào và các công trình phụ trợ khác nhà văn hóa xóm Ba Đình xã Tân Long</t>
  </si>
  <si>
    <t>Xây dựng tường rào trường Tiểu học Sa Lung khu trung tâm xã Tân Long</t>
  </si>
  <si>
    <t>Xây dựng cổng, sân, tường rào và các công trình phụ trợ khác nhà văn hóa xóm Đồng Mẫu xã Tân Long</t>
  </si>
  <si>
    <t>Xây dựng tường rào, sân, rãnh thoát nước và các công trình phụ trợ khác nhà văn hóa xóm Lân Quan xã Tân Long</t>
  </si>
  <si>
    <t>Xây dựng cổng, sân, tường rào và các công trình phụ trợ khác nhà văn hóa xóm Mỏ Ba xã Tân Long</t>
  </si>
  <si>
    <t>Xây dựng cổng, sân, tường rào và các công trình phụ trợ khác nhà văn hóa xóm Hồng Phong xã Tân Long</t>
  </si>
  <si>
    <t>Xây dựng cổng, sân, tường rào và các công trình phụ trợ khác nhà văn hóa xóm Đồng Mây xã Tân Long</t>
  </si>
  <si>
    <t>Vốn dân tộc thiểu số</t>
  </si>
  <si>
    <t>Cải tạo, sửa chữa nền nhà lớp học 2 tầng 8 phòng học và xây mới nhà đa năng trường THCS Quang Sơn</t>
  </si>
  <si>
    <t>Xây dựng tường rào, kè chắn đất UBND xã Tân Long</t>
  </si>
  <si>
    <t>Xây dựng nhà văn hóa xóm Làng Giếng xã Tân Long</t>
  </si>
  <si>
    <t>Nâng cấp sân trung tâm văn hóa thể thao xã Tân Long giai đoạn 2; Hạng mục: Mặt sân, đèn chiếu sáng, rãnh tiêu, thoát nước</t>
  </si>
  <si>
    <t>Sửa chữa kênh mương xóm Đồng Luông xã Tân Long</t>
  </si>
  <si>
    <t>XD kè đá đoạn cổng trường TH sa Lung, xã Tân Long</t>
  </si>
  <si>
    <t>Cải tạo, nâng cấp kênh mương xóm Làng Mới xã Tân Long</t>
  </si>
  <si>
    <t>Cải tạo, nâng cấp kênh mương Đồng Sim xóm Ba Đình xã Tân Long</t>
  </si>
  <si>
    <t>Vốn nông thôn mới</t>
  </si>
  <si>
    <t>Sự nghiệp giáo dục đào tạo - Chi trả chế độ nghỉ công tác theo Nghị quyết 18/2021/NQ-HĐND ngày 10/12/2021 của HĐND tỉnh</t>
  </si>
  <si>
    <t>đã chi</t>
  </si>
  <si>
    <t>Kinh phí khác</t>
  </si>
  <si>
    <t>Đầu tư</t>
  </si>
  <si>
    <t>Thường xuyên</t>
  </si>
  <si>
    <t>phân bổ sau</t>
  </si>
  <si>
    <t>Vốn giảm nghèo</t>
  </si>
  <si>
    <t>cấp huyện chuyển về</t>
  </si>
  <si>
    <t>Khắc phục hư hỏng đường giao thông phía sau trường tiểu học Sa Lung xã Tân Long</t>
  </si>
  <si>
    <t>Chi từ nguồn tăng thu, nguồn khác</t>
  </si>
  <si>
    <t>Chi từ nguồn tiền đất</t>
  </si>
  <si>
    <t>Điều chỉnh quy hoạch chung xây dựng xã Tân Long, huyện Đồng Hỷ giai đoạn 2023-2033</t>
  </si>
  <si>
    <t>ĐVT: triệu đồng</t>
  </si>
  <si>
    <t>BIỂU CHI TIẾT PHÂN BỔ KẾ HOẠCH VỐN CHI TỪ NGUỒN VIỆN TRỢ, HUY ĐỘNG, ĐÓNG GÓP</t>
  </si>
  <si>
    <t xml:space="preserve">Chi các nhiệm vụ quản lý khác </t>
  </si>
  <si>
    <t>ĐVT:  đồng</t>
  </si>
  <si>
    <t>ĐVT: đồng</t>
  </si>
  <si>
    <t>ĐVT: đ</t>
  </si>
  <si>
    <t>Kinh phí hoạt động của Ủy ban MTTQ xã: hoạt động chuyên môn (Bao gồm kinh phí tổ chức đại hội)</t>
  </si>
  <si>
    <t>(Kèm theo Nghị quyết số         /NQ-HĐND ngày     tháng 9 năm 2025 của HĐND xã Quang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</si>
</sst>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0.00\ _₫_-;\-* #,##0.00\ _₫_-;_-* &quot;-&quot;??\ _₫_-;_-@_-"/>
    <numFmt numFmtId="165" formatCode="_-* #,##0\ &quot;F&quot;_-;\-* #,##0\ &quot;F&quot;_-;_-* &quot;-&quot;\ &quot;F&quot;_-;_-@_-"/>
    <numFmt numFmtId="166" formatCode="###,###,###.00"/>
    <numFmt numFmtId="167" formatCode="###,###,###"/>
    <numFmt numFmtId="168" formatCode="###\ ###\ ###\ ###"/>
    <numFmt numFmtId="169" formatCode="_(* #,##0_);_(* \(#,##0\);_(* &quot;-&quot;??_);_(@_)"/>
    <numFmt numFmtId="170" formatCode="###\ ###\ ###"/>
    <numFmt numFmtId="171" formatCode="#,###;[Red]\-#,###"/>
    <numFmt numFmtId="172" formatCode="_(* #,##0.0_);_(* \(#,##0.0\);_(* &quot;-&quot;?_);_(@_)"/>
    <numFmt numFmtId="173" formatCode="_-* #,##0.0\ _₫_-;\-* #,##0.0\ _₫_-;_-* &quot;-&quot;?\ _₫_-;_-@_-"/>
    <numFmt numFmtId="174" formatCode="_-* #,##0\ _₫_-;\-* #,##0\ _₫_-;_-* &quot;-&quot;??\ _₫_-;_-@"/>
    <numFmt numFmtId="175" formatCode="_(* #,##0.0_);_(* \(#,##0.0\);_(* &quot;-&quot;??_);_(@_)"/>
    <numFmt numFmtId="176" formatCode="#,##0.0"/>
    <numFmt numFmtId="177" formatCode="###\ ###\ ###\ ###\ ###\ ###"/>
    <numFmt numFmtId="178" formatCode="##"/>
    <numFmt numFmtId="179" formatCode="#\ ###\ ###"/>
    <numFmt numFmtId="180" formatCode="###\ ###\ ###\ ###\ ###"/>
    <numFmt numFmtId="181" formatCode="###.000\ ###\ ###\ ###\ ###"/>
  </numFmts>
  <fonts count="78">
    <font>
      <sz val="11"/>
      <color theme="1"/>
      <name val="Calibri"/>
      <charset val="134"/>
      <scheme val="minor"/>
    </font>
    <font>
      <sz val="12"/>
      <color theme="1"/>
      <name val="Times New Roman"/>
      <family val="1"/>
    </font>
    <font>
      <sz val="10"/>
      <color theme="1"/>
      <name val="Times New Roman"/>
      <family val="1"/>
    </font>
    <font>
      <sz val="14"/>
      <color theme="1"/>
      <name val="Times New Roman"/>
      <family val="1"/>
    </font>
    <font>
      <b/>
      <sz val="11"/>
      <color theme="1"/>
      <name val="Times New Roman"/>
      <family val="1"/>
    </font>
    <font>
      <b/>
      <sz val="12"/>
      <color rgb="FF000000"/>
      <name val="Times New Roman"/>
      <family val="1"/>
    </font>
    <font>
      <i/>
      <sz val="12"/>
      <color rgb="FF000000"/>
      <name val="Times New Roman"/>
      <family val="1"/>
    </font>
    <font>
      <sz val="10"/>
      <color rgb="FF000000"/>
      <name val="Times New Roman"/>
      <family val="1"/>
    </font>
    <font>
      <sz val="12"/>
      <color rgb="FF000000"/>
      <name val="Times New Roman"/>
      <family val="1"/>
    </font>
    <font>
      <sz val="14"/>
      <name val="Times New Roman"/>
      <family val="1"/>
    </font>
    <font>
      <i/>
      <sz val="14"/>
      <name val="Times New Roman"/>
      <family val="1"/>
    </font>
    <font>
      <b/>
      <sz val="14"/>
      <name val="Times New Roman"/>
      <family val="1"/>
    </font>
    <font>
      <b/>
      <sz val="11"/>
      <color theme="1"/>
      <name val="Calibri"/>
      <family val="2"/>
      <scheme val="minor"/>
    </font>
    <font>
      <b/>
      <sz val="12"/>
      <color theme="1"/>
      <name val="Times New Roman"/>
      <family val="1"/>
    </font>
    <font>
      <sz val="12"/>
      <color rgb="FFFF0000"/>
      <name val="Times New Roman"/>
      <family val="1"/>
    </font>
    <font>
      <b/>
      <sz val="12"/>
      <color rgb="FFFF0000"/>
      <name val="Times New Roman"/>
      <family val="1"/>
    </font>
    <font>
      <i/>
      <sz val="12"/>
      <color rgb="FFFF0000"/>
      <name val="Times New Roman"/>
      <family val="1"/>
    </font>
    <font>
      <b/>
      <i/>
      <sz val="12"/>
      <color theme="1"/>
      <name val="Times New Roman"/>
      <family val="1"/>
    </font>
    <font>
      <i/>
      <sz val="12"/>
      <color theme="1"/>
      <name val="Times New Roman"/>
      <family val="1"/>
    </font>
    <font>
      <b/>
      <i/>
      <sz val="12"/>
      <color rgb="FF000000"/>
      <name val="Times New Roman"/>
      <family val="1"/>
    </font>
    <font>
      <b/>
      <sz val="12"/>
      <name val="Times New Roman"/>
      <family val="1"/>
    </font>
    <font>
      <sz val="12"/>
      <name val="Times New Roman"/>
      <family val="1"/>
    </font>
    <font>
      <b/>
      <u/>
      <sz val="12"/>
      <color theme="1"/>
      <name val="Times New Roman"/>
      <family val="1"/>
    </font>
    <font>
      <b/>
      <sz val="14"/>
      <color theme="1"/>
      <name val="Times New Roman"/>
      <family val="1"/>
    </font>
    <font>
      <sz val="12"/>
      <color theme="1"/>
      <name val="Calibri"/>
      <family val="2"/>
      <scheme val="minor"/>
    </font>
    <font>
      <i/>
      <sz val="8"/>
      <name val="Times New Roman"/>
      <family val="1"/>
    </font>
    <font>
      <sz val="8"/>
      <color theme="1"/>
      <name val="Times New Roman"/>
      <family val="1"/>
    </font>
    <font>
      <b/>
      <sz val="9"/>
      <name val="Times New Roman"/>
      <family val="1"/>
    </font>
    <font>
      <sz val="9"/>
      <name val="Times New Roman"/>
      <family val="1"/>
    </font>
    <font>
      <sz val="9"/>
      <color theme="1"/>
      <name val="Times New Roman"/>
      <family val="1"/>
    </font>
    <font>
      <sz val="8"/>
      <name val="Times New Roman"/>
      <family val="1"/>
    </font>
    <font>
      <i/>
      <sz val="13"/>
      <name val="Times New Roman"/>
      <family val="1"/>
    </font>
    <font>
      <b/>
      <sz val="9"/>
      <color theme="1"/>
      <name val="Times New Roman"/>
      <family val="1"/>
    </font>
    <font>
      <b/>
      <sz val="10"/>
      <name val="Times New Roman"/>
      <family val="1"/>
    </font>
    <font>
      <sz val="10"/>
      <name val="Times New Roman"/>
      <family val="1"/>
    </font>
    <font>
      <b/>
      <sz val="13"/>
      <name val="Times New Roman"/>
      <family val="1"/>
    </font>
    <font>
      <i/>
      <sz val="12"/>
      <name val="Times New Roman"/>
      <family val="1"/>
    </font>
    <font>
      <b/>
      <sz val="20"/>
      <name val="Times New Roman"/>
      <family val="1"/>
    </font>
    <font>
      <sz val="11"/>
      <name val="Calibri"/>
      <family val="2"/>
      <scheme val="minor"/>
    </font>
    <font>
      <sz val="11"/>
      <name val="Calibri"/>
      <family val="2"/>
    </font>
    <font>
      <i/>
      <sz val="13"/>
      <name val="Cambria"/>
      <family val="1"/>
      <scheme val="major"/>
    </font>
    <font>
      <b/>
      <sz val="11"/>
      <name val="Times New Roman"/>
      <family val="1"/>
    </font>
    <font>
      <sz val="11"/>
      <name val="Times New Roman"/>
      <family val="1"/>
    </font>
    <font>
      <sz val="11"/>
      <name val="Cambria"/>
      <family val="1"/>
      <scheme val="major"/>
    </font>
    <font>
      <sz val="13"/>
      <name val="Times New Roman"/>
      <family val="1"/>
    </font>
    <font>
      <b/>
      <i/>
      <sz val="11"/>
      <name val="Times New Roman"/>
      <family val="1"/>
    </font>
    <font>
      <i/>
      <sz val="11"/>
      <name val="Times New Roman"/>
      <family val="1"/>
    </font>
    <font>
      <i/>
      <sz val="10"/>
      <name val="Times New Roman"/>
      <family val="1"/>
    </font>
    <font>
      <b/>
      <sz val="10"/>
      <color rgb="FFFF0000"/>
      <name val="Times New Roman"/>
      <family val="1"/>
    </font>
    <font>
      <b/>
      <i/>
      <sz val="10"/>
      <name val="Times New Roman"/>
      <family val="1"/>
    </font>
    <font>
      <b/>
      <u/>
      <sz val="13"/>
      <name val="Times New Roman"/>
      <family val="1"/>
    </font>
    <font>
      <u/>
      <sz val="13"/>
      <name val="Times New Roman"/>
      <family val="1"/>
    </font>
    <font>
      <i/>
      <u/>
      <sz val="13"/>
      <name val="Times New Roman"/>
      <family val="1"/>
    </font>
    <font>
      <sz val="11"/>
      <name val=".VnTime"/>
      <charset val="134"/>
    </font>
    <font>
      <i/>
      <sz val="11"/>
      <name val=".VnTime"/>
      <charset val="134"/>
    </font>
    <font>
      <i/>
      <sz val="11"/>
      <name val=".VnTime"/>
      <charset val="163"/>
    </font>
    <font>
      <b/>
      <sz val="11"/>
      <name val=".VnTime"/>
      <charset val="134"/>
    </font>
    <font>
      <sz val="14"/>
      <name val=".VnTime"/>
      <charset val="134"/>
    </font>
    <font>
      <i/>
      <u/>
      <sz val="12"/>
      <name val="Times New Roman"/>
      <family val="1"/>
    </font>
    <font>
      <b/>
      <sz val="13"/>
      <color theme="1"/>
      <name val="Times New Roman"/>
      <family val="1"/>
    </font>
    <font>
      <sz val="13"/>
      <color theme="1"/>
      <name val="Times New Roman"/>
      <family val="1"/>
    </font>
    <font>
      <sz val="12"/>
      <name val=".VnTime"/>
      <charset val="134"/>
    </font>
    <font>
      <sz val="10"/>
      <name val=".VnTime"/>
      <charset val="134"/>
    </font>
    <font>
      <i/>
      <sz val="12"/>
      <name val=".Vntime"/>
      <charset val="134"/>
    </font>
    <font>
      <sz val="11"/>
      <color theme="1"/>
      <name val="Cambria"/>
      <family val="1"/>
      <scheme val="major"/>
    </font>
    <font>
      <sz val="11"/>
      <color theme="1"/>
      <name val="Calibri"/>
      <family val="2"/>
      <scheme val="minor"/>
    </font>
    <font>
      <sz val="10"/>
      <name val="Arial"/>
      <family val="2"/>
    </font>
    <font>
      <sz val="14"/>
      <color indexed="8"/>
      <name val="Times New Roman"/>
      <family val="1"/>
    </font>
    <font>
      <sz val="12"/>
      <color indexed="8"/>
      <name val="Times New Roman"/>
      <family val="1"/>
    </font>
    <font>
      <sz val="12"/>
      <name val=".VnArial"/>
      <charset val="134"/>
    </font>
    <font>
      <sz val="10"/>
      <color rgb="FF000000"/>
      <name val=".VnArial"/>
      <charset val="134"/>
    </font>
    <font>
      <sz val="12"/>
      <name val=".VnArial Narrow"/>
      <charset val="134"/>
    </font>
    <font>
      <sz val="13"/>
      <name val=".VnTime"/>
      <charset val="134"/>
    </font>
    <font>
      <sz val="9"/>
      <name val="Tahoma"/>
      <family val="2"/>
    </font>
    <font>
      <b/>
      <sz val="9"/>
      <name val="Tahoma"/>
      <family val="2"/>
    </font>
    <font>
      <b/>
      <sz val="10"/>
      <color rgb="FF000000"/>
      <name val="Cambria"/>
      <family val="1"/>
      <scheme val="major"/>
    </font>
    <font>
      <sz val="10"/>
      <color rgb="FF000000"/>
      <name val="Cambria"/>
      <family val="1"/>
      <scheme val="major"/>
    </font>
    <font>
      <b/>
      <i/>
      <sz val="10"/>
      <color rgb="FF000000"/>
      <name val="Cambria"/>
      <family val="1"/>
      <scheme val="major"/>
    </font>
  </fonts>
  <fills count="10">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FFFF"/>
        <bgColor indexed="64"/>
      </patternFill>
    </fill>
    <fill>
      <patternFill patternType="solid">
        <fgColor theme="0"/>
        <bgColor theme="0"/>
      </patternFill>
    </fill>
    <fill>
      <patternFill patternType="solid">
        <fgColor indexed="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hair">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auto="1"/>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auto="1"/>
      </left>
      <right style="thin">
        <color auto="1"/>
      </right>
      <top style="hair">
        <color auto="1"/>
      </top>
      <bottom/>
      <diagonal/>
    </border>
  </borders>
  <cellStyleXfs count="19">
    <xf numFmtId="0" fontId="0" fillId="0" borderId="0"/>
    <xf numFmtId="43" fontId="65" fillId="0" borderId="0" applyFont="0" applyFill="0" applyBorder="0" applyAlignment="0" applyProtection="0"/>
    <xf numFmtId="43" fontId="66" fillId="0" borderId="0" applyFont="0" applyFill="0" applyBorder="0" applyAlignment="0" applyProtection="0"/>
    <xf numFmtId="43" fontId="67" fillId="0" borderId="0" applyFont="0" applyFill="0" applyBorder="0" applyAlignment="0" applyProtection="0"/>
    <xf numFmtId="43" fontId="68" fillId="0" borderId="0" applyFont="0" applyFill="0" applyBorder="0" applyAlignment="0" applyProtection="0"/>
    <xf numFmtId="0" fontId="66" fillId="0" borderId="0"/>
    <xf numFmtId="0" fontId="65" fillId="0" borderId="0"/>
    <xf numFmtId="0" fontId="3" fillId="0" borderId="0"/>
    <xf numFmtId="0" fontId="21" fillId="0" borderId="0"/>
    <xf numFmtId="0" fontId="69" fillId="0" borderId="0"/>
    <xf numFmtId="0" fontId="70" fillId="0" borderId="0"/>
    <xf numFmtId="0" fontId="65" fillId="0" borderId="0"/>
    <xf numFmtId="0" fontId="1" fillId="0" borderId="0"/>
    <xf numFmtId="0" fontId="71" fillId="0" borderId="0"/>
    <xf numFmtId="0" fontId="61" fillId="0" borderId="0"/>
    <xf numFmtId="0" fontId="66" fillId="0" borderId="0"/>
    <xf numFmtId="0" fontId="21" fillId="0" borderId="0"/>
    <xf numFmtId="165" fontId="72" fillId="0" borderId="8">
      <alignment horizontal="center"/>
    </xf>
    <xf numFmtId="0" fontId="71" fillId="0" borderId="0"/>
  </cellStyleXfs>
  <cellXfs count="629">
    <xf numFmtId="0" fontId="0" fillId="0" borderId="0" xfId="0"/>
    <xf numFmtId="0" fontId="1" fillId="0" borderId="0" xfId="0" applyFont="1"/>
    <xf numFmtId="0" fontId="2" fillId="0" borderId="0" xfId="0" applyFont="1"/>
    <xf numFmtId="0" fontId="3" fillId="0" borderId="0" xfId="0" applyFont="1"/>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right"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 xfId="0" applyFont="1" applyBorder="1" applyAlignment="1">
      <alignment vertical="center" wrapText="1"/>
    </xf>
    <xf numFmtId="3" fontId="5" fillId="0" borderId="1" xfId="0" applyNumberFormat="1" applyFont="1" applyBorder="1" applyAlignment="1">
      <alignment vertical="center" wrapText="1"/>
    </xf>
    <xf numFmtId="4" fontId="5" fillId="0" borderId="1" xfId="0" applyNumberFormat="1"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3" fontId="8" fillId="0" borderId="1" xfId="0" applyNumberFormat="1" applyFont="1" applyBorder="1" applyAlignment="1">
      <alignment vertical="center" wrapText="1"/>
    </xf>
    <xf numFmtId="166" fontId="8" fillId="0" borderId="1" xfId="0" applyNumberFormat="1" applyFont="1" applyBorder="1" applyAlignment="1">
      <alignment vertical="center" wrapText="1"/>
    </xf>
    <xf numFmtId="0" fontId="9" fillId="0" borderId="0" xfId="8" applyFont="1"/>
    <xf numFmtId="0" fontId="9" fillId="0" borderId="0" xfId="8" applyFont="1" applyAlignment="1">
      <alignment horizontal="center" vertical="center"/>
    </xf>
    <xf numFmtId="0" fontId="9" fillId="0" borderId="0" xfId="10" applyFont="1" applyAlignment="1">
      <alignment horizontal="left" vertical="center"/>
    </xf>
    <xf numFmtId="0" fontId="9" fillId="0" borderId="0" xfId="10" applyFont="1"/>
    <xf numFmtId="4" fontId="0" fillId="0" borderId="0" xfId="0" applyNumberFormat="1"/>
    <xf numFmtId="3" fontId="10" fillId="0" borderId="0" xfId="8" applyNumberFormat="1" applyFont="1" applyAlignment="1">
      <alignment vertical="center" wrapText="1"/>
    </xf>
    <xf numFmtId="0" fontId="11" fillId="0" borderId="0" xfId="10" applyFont="1"/>
    <xf numFmtId="0" fontId="9" fillId="0" borderId="0" xfId="9" applyFont="1" applyAlignment="1">
      <alignment wrapText="1"/>
    </xf>
    <xf numFmtId="0" fontId="9" fillId="0" borderId="0" xfId="8" applyFont="1" applyAlignment="1">
      <alignment vertical="center" wrapText="1"/>
    </xf>
    <xf numFmtId="0" fontId="13" fillId="0" borderId="0" xfId="0" applyFont="1"/>
    <xf numFmtId="0" fontId="14" fillId="0" borderId="0" xfId="0" applyFont="1"/>
    <xf numFmtId="166" fontId="5" fillId="0" borderId="1" xfId="0" applyNumberFormat="1" applyFont="1" applyBorder="1" applyAlignment="1">
      <alignment vertical="center" wrapText="1"/>
    </xf>
    <xf numFmtId="167" fontId="8" fillId="0" borderId="1" xfId="0" applyNumberFormat="1" applyFont="1" applyBorder="1" applyAlignment="1">
      <alignment vertical="center" wrapText="1"/>
    </xf>
    <xf numFmtId="167" fontId="5" fillId="0" borderId="1" xfId="0" applyNumberFormat="1" applyFont="1" applyBorder="1" applyAlignment="1">
      <alignment vertical="center" wrapText="1"/>
    </xf>
    <xf numFmtId="167" fontId="5" fillId="0" borderId="1" xfId="0" applyNumberFormat="1" applyFont="1" applyBorder="1" applyAlignment="1">
      <alignment horizontal="center" vertical="center" wrapText="1"/>
    </xf>
    <xf numFmtId="167" fontId="8" fillId="0" borderId="1" xfId="0" applyNumberFormat="1" applyFont="1" applyBorder="1" applyAlignment="1">
      <alignment horizontal="center" vertical="center" wrapText="1"/>
    </xf>
    <xf numFmtId="0" fontId="15" fillId="0" borderId="0" xfId="0" applyFont="1" applyAlignment="1">
      <alignment horizontal="center" vertical="center"/>
    </xf>
    <xf numFmtId="0" fontId="16" fillId="0" borderId="2" xfId="0" applyFont="1" applyBorder="1" applyAlignment="1">
      <alignment horizontal="right" vertical="center"/>
    </xf>
    <xf numFmtId="4" fontId="1" fillId="0" borderId="0" xfId="0" applyNumberFormat="1" applyFont="1"/>
    <xf numFmtId="0" fontId="17" fillId="0" borderId="0" xfId="0" applyFont="1"/>
    <xf numFmtId="0" fontId="1" fillId="2" borderId="0" xfId="0" applyFont="1" applyFill="1"/>
    <xf numFmtId="0" fontId="18" fillId="0" borderId="0" xfId="0" applyFont="1"/>
    <xf numFmtId="0" fontId="18" fillId="3" borderId="0" xfId="0" applyFont="1" applyFill="1"/>
    <xf numFmtId="0" fontId="5" fillId="0" borderId="0" xfId="0" applyFont="1" applyAlignment="1">
      <alignment horizontal="right" vertical="center"/>
    </xf>
    <xf numFmtId="166" fontId="1" fillId="0" borderId="0" xfId="0" applyNumberFormat="1" applyFont="1"/>
    <xf numFmtId="168" fontId="1" fillId="0" borderId="0" xfId="0" applyNumberFormat="1" applyFont="1"/>
    <xf numFmtId="168" fontId="7"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3" fontId="17" fillId="0" borderId="1" xfId="0" applyNumberFormat="1" applyFont="1" applyBorder="1" applyAlignment="1">
      <alignment horizontal="center" vertical="center" wrapText="1"/>
    </xf>
    <xf numFmtId="0" fontId="17" fillId="0" borderId="1" xfId="0" applyFont="1" applyBorder="1" applyAlignment="1">
      <alignment horizontal="left" vertical="center" wrapText="1"/>
    </xf>
    <xf numFmtId="167" fontId="19" fillId="0" borderId="1" xfId="0" applyNumberFormat="1" applyFont="1" applyBorder="1" applyAlignment="1">
      <alignment vertical="center" wrapText="1"/>
    </xf>
    <xf numFmtId="3" fontId="1" fillId="0" borderId="1" xfId="0" applyNumberFormat="1" applyFont="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167" fontId="8" fillId="2" borderId="1" xfId="0" applyNumberFormat="1" applyFont="1" applyFill="1" applyBorder="1" applyAlignment="1">
      <alignment vertical="center" wrapText="1"/>
    </xf>
    <xf numFmtId="166" fontId="8" fillId="2" borderId="1" xfId="0" applyNumberFormat="1" applyFont="1" applyFill="1" applyBorder="1" applyAlignment="1">
      <alignment vertical="center" wrapText="1"/>
    </xf>
    <xf numFmtId="169" fontId="8" fillId="2" borderId="1" xfId="1" applyNumberFormat="1" applyFont="1" applyFill="1" applyBorder="1" applyAlignment="1">
      <alignment vertical="center" wrapText="1"/>
    </xf>
    <xf numFmtId="3"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168" fontId="8" fillId="0" borderId="1" xfId="0" applyNumberFormat="1" applyFont="1" applyBorder="1" applyAlignment="1">
      <alignment vertical="center" wrapText="1"/>
    </xf>
    <xf numFmtId="3" fontId="18"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166" fontId="8" fillId="4" borderId="1" xfId="0" applyNumberFormat="1" applyFont="1" applyFill="1" applyBorder="1" applyAlignment="1">
      <alignment vertical="center" wrapText="1"/>
    </xf>
    <xf numFmtId="167" fontId="13" fillId="0" borderId="0" xfId="0" applyNumberFormat="1" applyFont="1"/>
    <xf numFmtId="167" fontId="1" fillId="0" borderId="0" xfId="0" applyNumberFormat="1" applyFont="1"/>
    <xf numFmtId="43" fontId="8" fillId="2" borderId="1" xfId="1" applyFont="1" applyFill="1" applyBorder="1" applyAlignment="1">
      <alignment vertical="center" wrapText="1"/>
    </xf>
    <xf numFmtId="3" fontId="18" fillId="3" borderId="1" xfId="0" applyNumberFormat="1" applyFont="1" applyFill="1" applyBorder="1" applyAlignment="1">
      <alignment horizontal="center" vertical="center" wrapText="1"/>
    </xf>
    <xf numFmtId="0" fontId="18" fillId="3" borderId="1" xfId="0" applyFont="1" applyFill="1" applyBorder="1" applyAlignment="1">
      <alignment horizontal="left" vertical="center" wrapText="1"/>
    </xf>
    <xf numFmtId="167" fontId="8" fillId="3" borderId="1" xfId="0" applyNumberFormat="1" applyFont="1" applyFill="1" applyBorder="1" applyAlignment="1">
      <alignment vertical="center" wrapText="1"/>
    </xf>
    <xf numFmtId="3" fontId="20" fillId="0" borderId="1" xfId="0" applyNumberFormat="1" applyFont="1" applyBorder="1" applyAlignment="1">
      <alignment horizontal="justify" vertical="center"/>
    </xf>
    <xf numFmtId="0" fontId="21" fillId="0" borderId="1" xfId="0" applyFont="1" applyBorder="1" applyAlignment="1">
      <alignment horizontal="justify" vertical="center" wrapText="1"/>
    </xf>
    <xf numFmtId="0" fontId="18" fillId="4" borderId="0" xfId="0" applyFont="1" applyFill="1"/>
    <xf numFmtId="0" fontId="1" fillId="5" borderId="0" xfId="0" applyFont="1" applyFill="1"/>
    <xf numFmtId="0" fontId="1" fillId="3" borderId="0" xfId="0" applyFont="1" applyFill="1"/>
    <xf numFmtId="0" fontId="1" fillId="0" borderId="0" xfId="0" applyFont="1" applyAlignment="1">
      <alignment wrapText="1"/>
    </xf>
    <xf numFmtId="167" fontId="6" fillId="0" borderId="1" xfId="0" applyNumberFormat="1" applyFont="1" applyBorder="1" applyAlignment="1">
      <alignment vertical="center" wrapText="1"/>
    </xf>
    <xf numFmtId="3" fontId="18" fillId="4" borderId="1" xfId="0" applyNumberFormat="1" applyFont="1" applyFill="1" applyBorder="1" applyAlignment="1">
      <alignment horizontal="center" vertical="center" wrapText="1"/>
    </xf>
    <xf numFmtId="0" fontId="18" fillId="4" borderId="1" xfId="0" applyFont="1" applyFill="1" applyBorder="1" applyAlignment="1">
      <alignment horizontal="left" vertical="center" wrapText="1"/>
    </xf>
    <xf numFmtId="167" fontId="8" fillId="4" borderId="1" xfId="0" applyNumberFormat="1" applyFont="1" applyFill="1" applyBorder="1" applyAlignment="1">
      <alignment vertical="center" wrapText="1"/>
    </xf>
    <xf numFmtId="167" fontId="8" fillId="6" borderId="1" xfId="0" applyNumberFormat="1" applyFont="1" applyFill="1" applyBorder="1" applyAlignment="1">
      <alignment vertical="center" wrapText="1"/>
    </xf>
    <xf numFmtId="0" fontId="2" fillId="3" borderId="1" xfId="0" applyFont="1" applyFill="1" applyBorder="1"/>
    <xf numFmtId="0" fontId="2" fillId="0" borderId="1" xfId="0" applyFont="1" applyBorder="1"/>
    <xf numFmtId="167" fontId="5" fillId="3" borderId="1" xfId="0" applyNumberFormat="1" applyFont="1" applyFill="1" applyBorder="1" applyAlignment="1">
      <alignment vertical="center" wrapText="1"/>
    </xf>
    <xf numFmtId="167" fontId="6" fillId="3" borderId="1" xfId="0" applyNumberFormat="1" applyFont="1" applyFill="1" applyBorder="1" applyAlignment="1">
      <alignment vertical="center" wrapText="1"/>
    </xf>
    <xf numFmtId="0" fontId="18" fillId="0" borderId="0" xfId="0" applyFont="1" applyAlignment="1">
      <alignment wrapText="1"/>
    </xf>
    <xf numFmtId="168" fontId="13" fillId="0" borderId="0" xfId="0" applyNumberFormat="1" applyFont="1" applyAlignment="1">
      <alignment wrapText="1"/>
    </xf>
    <xf numFmtId="167" fontId="18" fillId="0" borderId="0" xfId="0" applyNumberFormat="1" applyFont="1"/>
    <xf numFmtId="0" fontId="18" fillId="4" borderId="0" xfId="0" applyFont="1" applyFill="1" applyAlignment="1">
      <alignment wrapText="1"/>
    </xf>
    <xf numFmtId="167" fontId="18" fillId="4" borderId="0" xfId="0" applyNumberFormat="1" applyFont="1" applyFill="1"/>
    <xf numFmtId="167" fontId="18" fillId="0" borderId="0" xfId="0" applyNumberFormat="1" applyFont="1" applyAlignment="1">
      <alignment wrapText="1"/>
    </xf>
    <xf numFmtId="0" fontId="13" fillId="0" borderId="0" xfId="0" applyFont="1" applyAlignment="1">
      <alignment wrapText="1"/>
    </xf>
    <xf numFmtId="167" fontId="13" fillId="4" borderId="0" xfId="0" applyNumberFormat="1" applyFont="1" applyFill="1"/>
    <xf numFmtId="167" fontId="17" fillId="0" borderId="0" xfId="0" applyNumberFormat="1" applyFont="1"/>
    <xf numFmtId="3" fontId="1" fillId="5" borderId="1" xfId="0" applyNumberFormat="1" applyFont="1" applyFill="1" applyBorder="1" applyAlignment="1">
      <alignment horizontal="center" vertical="center" wrapText="1"/>
    </xf>
    <xf numFmtId="0" fontId="1" fillId="5" borderId="1" xfId="0" applyFont="1" applyFill="1" applyBorder="1" applyAlignment="1">
      <alignment horizontal="left" vertical="center" wrapText="1"/>
    </xf>
    <xf numFmtId="167" fontId="8" fillId="5" borderId="1" xfId="0" applyNumberFormat="1" applyFont="1" applyFill="1" applyBorder="1" applyAlignment="1">
      <alignment vertical="center" wrapText="1"/>
    </xf>
    <xf numFmtId="0" fontId="1" fillId="5" borderId="0" xfId="0" applyFont="1" applyFill="1" applyAlignment="1">
      <alignment wrapText="1"/>
    </xf>
    <xf numFmtId="167" fontId="1" fillId="5" borderId="0" xfId="0" applyNumberFormat="1" applyFont="1" applyFill="1"/>
    <xf numFmtId="167" fontId="8" fillId="0" borderId="3" xfId="0" applyNumberFormat="1" applyFont="1" applyBorder="1" applyAlignment="1">
      <alignment vertical="center" wrapText="1"/>
    </xf>
    <xf numFmtId="167" fontId="8" fillId="0" borderId="0" xfId="0" applyNumberFormat="1" applyFont="1" applyAlignment="1">
      <alignment vertical="center" wrapText="1"/>
    </xf>
    <xf numFmtId="167" fontId="5" fillId="0" borderId="0" xfId="0" applyNumberFormat="1" applyFont="1" applyAlignment="1">
      <alignment vertical="center" wrapText="1"/>
    </xf>
    <xf numFmtId="167" fontId="8" fillId="0" borderId="4" xfId="0" applyNumberFormat="1" applyFont="1" applyBorder="1" applyAlignment="1">
      <alignment vertical="center" wrapText="1"/>
    </xf>
    <xf numFmtId="0" fontId="12" fillId="0" borderId="0" xfId="0" applyFont="1"/>
    <xf numFmtId="3" fontId="0" fillId="0" borderId="0" xfId="0" applyNumberFormat="1" applyAlignment="1">
      <alignment horizontal="right"/>
    </xf>
    <xf numFmtId="3" fontId="5" fillId="0" borderId="0" xfId="0" applyNumberFormat="1" applyFont="1" applyAlignment="1">
      <alignment horizontal="right" vertical="center"/>
    </xf>
    <xf numFmtId="0" fontId="5" fillId="7" borderId="6" xfId="0" applyFont="1" applyFill="1" applyBorder="1" applyAlignment="1">
      <alignment horizontal="center" vertical="center" wrapText="1"/>
    </xf>
    <xf numFmtId="3" fontId="5" fillId="7" borderId="6" xfId="0" applyNumberFormat="1" applyFont="1" applyFill="1" applyBorder="1" applyAlignment="1">
      <alignment horizontal="right" vertical="center" wrapText="1"/>
    </xf>
    <xf numFmtId="0" fontId="5" fillId="7" borderId="6" xfId="0" applyFont="1" applyFill="1" applyBorder="1" applyAlignment="1">
      <alignment vertical="center" wrapText="1"/>
    </xf>
    <xf numFmtId="3" fontId="0" fillId="0" borderId="0" xfId="0" applyNumberFormat="1"/>
    <xf numFmtId="0" fontId="8" fillId="7" borderId="6" xfId="0" applyFont="1" applyFill="1" applyBorder="1" applyAlignment="1">
      <alignment horizontal="center" vertical="center" wrapText="1"/>
    </xf>
    <xf numFmtId="0" fontId="8" fillId="7" borderId="6" xfId="0" applyFont="1" applyFill="1" applyBorder="1" applyAlignment="1">
      <alignment vertical="center" wrapText="1"/>
    </xf>
    <xf numFmtId="3" fontId="8" fillId="7" borderId="6" xfId="0" applyNumberFormat="1" applyFont="1" applyFill="1" applyBorder="1" applyAlignment="1">
      <alignment horizontal="right" vertical="center" wrapText="1"/>
    </xf>
    <xf numFmtId="170" fontId="21" fillId="2" borderId="1" xfId="0" applyNumberFormat="1" applyFont="1" applyFill="1" applyBorder="1" applyAlignment="1">
      <alignment vertical="center" wrapText="1"/>
    </xf>
    <xf numFmtId="0" fontId="13" fillId="0" borderId="0" xfId="0" applyFont="1" applyAlignment="1">
      <alignment horizontal="center" vertical="center"/>
    </xf>
    <xf numFmtId="0" fontId="22" fillId="0" borderId="0" xfId="0" applyFont="1"/>
    <xf numFmtId="171" fontId="23" fillId="0" borderId="0" xfId="0" applyNumberFormat="1" applyFont="1" applyAlignment="1">
      <alignment horizontal="center"/>
    </xf>
    <xf numFmtId="171" fontId="18" fillId="0" borderId="0" xfId="0" applyNumberFormat="1" applyFont="1"/>
    <xf numFmtId="0" fontId="13" fillId="0" borderId="0" xfId="0" applyFont="1" applyAlignment="1">
      <alignment horizontal="centerContinuous"/>
    </xf>
    <xf numFmtId="171" fontId="17" fillId="0" borderId="0" xfId="0" applyNumberFormat="1" applyFont="1"/>
    <xf numFmtId="171" fontId="13" fillId="0" borderId="0" xfId="0" applyNumberFormat="1" applyFont="1"/>
    <xf numFmtId="0" fontId="13" fillId="0" borderId="1" xfId="0" applyFont="1" applyBorder="1" applyAlignment="1">
      <alignment horizontal="center" vertical="center"/>
    </xf>
    <xf numFmtId="171" fontId="13" fillId="0" borderId="1" xfId="0" applyNumberFormat="1" applyFont="1" applyBorder="1" applyAlignment="1">
      <alignment horizontal="center" vertical="center" wrapText="1"/>
    </xf>
    <xf numFmtId="171" fontId="13" fillId="0" borderId="1" xfId="0" applyNumberFormat="1" applyFont="1" applyBorder="1" applyAlignment="1">
      <alignment vertical="center" wrapText="1"/>
    </xf>
    <xf numFmtId="171" fontId="22" fillId="0" borderId="1" xfId="0" applyNumberFormat="1" applyFont="1" applyBorder="1" applyAlignment="1">
      <alignment horizontal="center"/>
    </xf>
    <xf numFmtId="171" fontId="22" fillId="0" borderId="1" xfId="0" applyNumberFormat="1" applyFont="1" applyBorder="1" applyAlignment="1">
      <alignment horizontal="left"/>
    </xf>
    <xf numFmtId="171" fontId="22" fillId="0" borderId="1" xfId="0" applyNumberFormat="1" applyFont="1" applyBorder="1"/>
    <xf numFmtId="171" fontId="13" fillId="0" borderId="1" xfId="0" applyNumberFormat="1" applyFont="1" applyBorder="1" applyAlignment="1">
      <alignment horizontal="center"/>
    </xf>
    <xf numFmtId="171" fontId="13" fillId="0" borderId="1" xfId="0" applyNumberFormat="1" applyFont="1" applyBorder="1" applyAlignment="1">
      <alignment horizontal="left" indent="1"/>
    </xf>
    <xf numFmtId="171" fontId="13" fillId="0" borderId="1" xfId="0" applyNumberFormat="1" applyFont="1" applyBorder="1"/>
    <xf numFmtId="171" fontId="1" fillId="0" borderId="1" xfId="0" applyNumberFormat="1" applyFont="1" applyBorder="1" applyAlignment="1">
      <alignment horizontal="center"/>
    </xf>
    <xf numFmtId="171" fontId="1" fillId="0" borderId="1" xfId="0" applyNumberFormat="1" applyFont="1" applyBorder="1" applyAlignment="1">
      <alignment horizontal="left" indent="1"/>
    </xf>
    <xf numFmtId="171" fontId="1" fillId="0" borderId="1" xfId="0" applyNumberFormat="1" applyFont="1" applyBorder="1"/>
    <xf numFmtId="3" fontId="3" fillId="0" borderId="1" xfId="0" applyNumberFormat="1" applyFont="1" applyBorder="1"/>
    <xf numFmtId="171" fontId="22" fillId="0" borderId="0" xfId="0" applyNumberFormat="1" applyFont="1"/>
    <xf numFmtId="171" fontId="1" fillId="0" borderId="1" xfId="18" applyNumberFormat="1" applyFont="1" applyBorder="1"/>
    <xf numFmtId="171" fontId="13" fillId="0" borderId="7" xfId="0" applyNumberFormat="1" applyFont="1" applyBorder="1"/>
    <xf numFmtId="171" fontId="1" fillId="0" borderId="0" xfId="0" applyNumberFormat="1" applyFont="1"/>
    <xf numFmtId="171" fontId="1" fillId="0" borderId="0" xfId="0" applyNumberFormat="1" applyFont="1" applyAlignment="1">
      <alignment horizontal="left" wrapText="1"/>
    </xf>
    <xf numFmtId="171" fontId="1" fillId="0" borderId="0" xfId="0" applyNumberFormat="1" applyFont="1" applyAlignment="1">
      <alignment horizontal="right"/>
    </xf>
    <xf numFmtId="171" fontId="13" fillId="0" borderId="1" xfId="18" applyNumberFormat="1" applyFont="1" applyBorder="1"/>
    <xf numFmtId="3" fontId="1" fillId="0" borderId="0" xfId="0" applyNumberFormat="1" applyFont="1"/>
    <xf numFmtId="3" fontId="1" fillId="0" borderId="1" xfId="0" applyNumberFormat="1" applyFont="1" applyBorder="1" applyAlignment="1">
      <alignment horizontal="center" vertical="center"/>
    </xf>
    <xf numFmtId="0" fontId="1" fillId="0" borderId="1" xfId="0" applyFont="1" applyBorder="1" applyAlignment="1">
      <alignment horizontal="center" vertical="center"/>
    </xf>
    <xf numFmtId="3" fontId="1" fillId="0" borderId="1" xfId="0" applyNumberFormat="1" applyFont="1" applyBorder="1" applyAlignment="1">
      <alignment horizontal="right" vertical="center"/>
    </xf>
    <xf numFmtId="0" fontId="1" fillId="0" borderId="1" xfId="0" applyFont="1" applyBorder="1" applyAlignment="1">
      <alignment horizontal="left" vertical="center"/>
    </xf>
    <xf numFmtId="171" fontId="13" fillId="0" borderId="1" xfId="0" applyNumberFormat="1" applyFont="1" applyBorder="1" applyAlignment="1">
      <alignment vertical="center"/>
    </xf>
    <xf numFmtId="171" fontId="22" fillId="0" borderId="11" xfId="0" applyNumberFormat="1" applyFont="1" applyBorder="1" applyAlignment="1">
      <alignment horizontal="center"/>
    </xf>
    <xf numFmtId="171" fontId="22" fillId="0" borderId="11" xfId="0" applyNumberFormat="1" applyFont="1" applyBorder="1" applyAlignment="1">
      <alignment horizontal="left"/>
    </xf>
    <xf numFmtId="171" fontId="22" fillId="0" borderId="11" xfId="0" applyNumberFormat="1" applyFont="1" applyBorder="1"/>
    <xf numFmtId="171" fontId="1" fillId="0" borderId="7" xfId="0" applyNumberFormat="1" applyFont="1" applyBorder="1" applyAlignment="1">
      <alignment horizontal="center"/>
    </xf>
    <xf numFmtId="171" fontId="1" fillId="0" borderId="7" xfId="0" applyNumberFormat="1" applyFont="1" applyBorder="1" applyAlignment="1">
      <alignment horizontal="left" indent="1"/>
    </xf>
    <xf numFmtId="171" fontId="1" fillId="0" borderId="7" xfId="0" applyNumberFormat="1" applyFont="1" applyBorder="1"/>
    <xf numFmtId="171" fontId="1" fillId="0" borderId="12" xfId="0" applyNumberFormat="1" applyFont="1" applyBorder="1" applyAlignment="1">
      <alignment horizontal="center"/>
    </xf>
    <xf numFmtId="171" fontId="1" fillId="0" borderId="12" xfId="0" applyNumberFormat="1" applyFont="1" applyBorder="1" applyAlignment="1">
      <alignment horizontal="left" indent="1"/>
    </xf>
    <xf numFmtId="171" fontId="1" fillId="0" borderId="12" xfId="0" applyNumberFormat="1" applyFont="1" applyBorder="1"/>
    <xf numFmtId="171" fontId="1" fillId="0" borderId="13" xfId="0" applyNumberFormat="1" applyFont="1" applyBorder="1"/>
    <xf numFmtId="171" fontId="1" fillId="0" borderId="14" xfId="0" applyNumberFormat="1" applyFont="1" applyBorder="1"/>
    <xf numFmtId="171" fontId="13" fillId="0" borderId="14" xfId="0" applyNumberFormat="1" applyFont="1" applyBorder="1"/>
    <xf numFmtId="171" fontId="1" fillId="0" borderId="7" xfId="18" applyNumberFormat="1" applyFont="1" applyBorder="1"/>
    <xf numFmtId="171" fontId="1" fillId="0" borderId="12" xfId="18" applyNumberFormat="1" applyFont="1" applyBorder="1"/>
    <xf numFmtId="0" fontId="24" fillId="0" borderId="0" xfId="0" applyFont="1"/>
    <xf numFmtId="0" fontId="9" fillId="0" borderId="0" xfId="13" applyFont="1" applyAlignment="1">
      <alignment horizontal="center"/>
    </xf>
    <xf numFmtId="0" fontId="9" fillId="0" borderId="0" xfId="13" applyFont="1"/>
    <xf numFmtId="43" fontId="3" fillId="2" borderId="0" xfId="1" applyFont="1" applyFill="1"/>
    <xf numFmtId="0" fontId="9" fillId="2" borderId="0" xfId="13" applyFont="1" applyFill="1"/>
    <xf numFmtId="0" fontId="25" fillId="0" borderId="0" xfId="0" applyFont="1" applyAlignment="1">
      <alignment horizontal="center" vertical="center" wrapText="1"/>
    </xf>
    <xf numFmtId="43" fontId="26" fillId="2" borderId="0" xfId="1" applyFont="1" applyFill="1"/>
    <xf numFmtId="0" fontId="26" fillId="2" borderId="0" xfId="13" applyFont="1" applyFill="1"/>
    <xf numFmtId="0" fontId="25" fillId="0" borderId="0" xfId="13" applyFont="1"/>
    <xf numFmtId="169" fontId="27" fillId="0" borderId="1" xfId="1" applyNumberFormat="1" applyFont="1" applyFill="1" applyBorder="1" applyAlignment="1" applyProtection="1">
      <alignment horizontal="center" vertical="center" wrapText="1"/>
    </xf>
    <xf numFmtId="167" fontId="28" fillId="0" borderId="1" xfId="13" applyNumberFormat="1" applyFont="1" applyBorder="1" applyAlignment="1">
      <alignment horizontal="center" vertical="center" wrapText="1"/>
    </xf>
    <xf numFmtId="167" fontId="28" fillId="2" borderId="1" xfId="13" applyNumberFormat="1" applyFont="1" applyFill="1" applyBorder="1" applyAlignment="1">
      <alignment horizontal="center" vertical="center" wrapText="1"/>
    </xf>
    <xf numFmtId="167" fontId="28" fillId="0" borderId="1" xfId="13" applyNumberFormat="1" applyFont="1" applyBorder="1" applyAlignment="1">
      <alignment horizontal="center" vertical="center"/>
    </xf>
    <xf numFmtId="167" fontId="27" fillId="0" borderId="1" xfId="13" applyNumberFormat="1" applyFont="1" applyBorder="1" applyAlignment="1">
      <alignment horizontal="center" vertical="center"/>
    </xf>
    <xf numFmtId="3" fontId="27" fillId="2" borderId="1" xfId="1" applyNumberFormat="1" applyFont="1" applyFill="1" applyBorder="1" applyAlignment="1">
      <alignment horizontal="right" vertical="center"/>
    </xf>
    <xf numFmtId="167" fontId="27" fillId="0" borderId="1" xfId="13" applyNumberFormat="1" applyFont="1" applyBorder="1" applyAlignment="1">
      <alignment horizontal="left" vertical="center" wrapText="1"/>
    </xf>
    <xf numFmtId="43" fontId="27" fillId="0" borderId="1" xfId="1" applyFont="1" applyBorder="1" applyAlignment="1">
      <alignment horizontal="right" vertical="center"/>
    </xf>
    <xf numFmtId="3" fontId="27" fillId="0" borderId="1" xfId="13" applyNumberFormat="1" applyFont="1" applyBorder="1" applyAlignment="1">
      <alignment horizontal="right" vertical="center"/>
    </xf>
    <xf numFmtId="3" fontId="27" fillId="0" borderId="1" xfId="1" applyNumberFormat="1" applyFont="1" applyBorder="1" applyAlignment="1">
      <alignment horizontal="right" vertical="center"/>
    </xf>
    <xf numFmtId="0" fontId="28" fillId="0" borderId="1" xfId="0" applyFont="1" applyBorder="1" applyAlignment="1">
      <alignment horizontal="justify" vertical="center"/>
    </xf>
    <xf numFmtId="43" fontId="28" fillId="0" borderId="1" xfId="1" applyFont="1" applyBorder="1" applyAlignment="1">
      <alignment horizontal="right" vertical="center"/>
    </xf>
    <xf numFmtId="3" fontId="29" fillId="0" borderId="1" xfId="1" applyNumberFormat="1" applyFont="1" applyBorder="1" applyAlignment="1">
      <alignment horizontal="right" vertical="center"/>
    </xf>
    <xf numFmtId="3" fontId="28" fillId="0" borderId="1" xfId="0" applyNumberFormat="1" applyFont="1" applyBorder="1" applyAlignment="1">
      <alignment horizontal="right" vertical="center"/>
    </xf>
    <xf numFmtId="0" fontId="28" fillId="0" borderId="1" xfId="0" applyFont="1" applyBorder="1" applyAlignment="1">
      <alignment horizontal="left" vertical="center"/>
    </xf>
    <xf numFmtId="3" fontId="29" fillId="0" borderId="1" xfId="1" applyNumberFormat="1" applyFont="1" applyFill="1" applyBorder="1" applyAlignment="1">
      <alignment horizontal="right" vertical="center"/>
    </xf>
    <xf numFmtId="167" fontId="27" fillId="0" borderId="1" xfId="13" applyNumberFormat="1" applyFont="1" applyBorder="1" applyAlignment="1">
      <alignment vertical="center" wrapText="1"/>
    </xf>
    <xf numFmtId="3" fontId="27" fillId="0" borderId="1" xfId="13" applyNumberFormat="1" applyFont="1" applyBorder="1" applyAlignment="1">
      <alignment horizontal="right" vertical="center" wrapText="1"/>
    </xf>
    <xf numFmtId="3" fontId="27" fillId="0" borderId="1" xfId="1" applyNumberFormat="1" applyFont="1" applyBorder="1" applyAlignment="1">
      <alignment horizontal="right" vertical="center" wrapText="1"/>
    </xf>
    <xf numFmtId="3" fontId="28" fillId="0" borderId="1" xfId="13" applyNumberFormat="1" applyFont="1" applyBorder="1" applyAlignment="1">
      <alignment horizontal="right" vertical="center"/>
    </xf>
    <xf numFmtId="3" fontId="28" fillId="2" borderId="1" xfId="1" applyNumberFormat="1" applyFont="1" applyFill="1" applyBorder="1" applyAlignment="1">
      <alignment horizontal="right" vertical="center"/>
    </xf>
    <xf numFmtId="0" fontId="30" fillId="0" borderId="0" xfId="13" applyFont="1" applyAlignment="1">
      <alignment horizontal="center"/>
    </xf>
    <xf numFmtId="0" fontId="30" fillId="0" borderId="0" xfId="13" applyFont="1"/>
    <xf numFmtId="169" fontId="30" fillId="0" borderId="0" xfId="1" applyNumberFormat="1" applyFont="1" applyFill="1" applyBorder="1" applyAlignment="1"/>
    <xf numFmtId="169" fontId="30" fillId="0" borderId="0" xfId="1" applyNumberFormat="1" applyFont="1" applyFill="1" applyAlignment="1"/>
    <xf numFmtId="43" fontId="29" fillId="0" borderId="1" xfId="1" applyFont="1" applyBorder="1" applyAlignment="1">
      <alignment horizontal="right" vertical="center"/>
    </xf>
    <xf numFmtId="43" fontId="27" fillId="0" borderId="1" xfId="1" applyFont="1" applyBorder="1" applyAlignment="1">
      <alignment horizontal="right" vertical="center" wrapText="1"/>
    </xf>
    <xf numFmtId="0" fontId="10" fillId="2" borderId="0" xfId="13" applyFont="1" applyFill="1"/>
    <xf numFmtId="0" fontId="30" fillId="2" borderId="0" xfId="13" applyFont="1" applyFill="1"/>
    <xf numFmtId="0" fontId="32" fillId="2" borderId="1" xfId="0" applyFont="1" applyFill="1" applyBorder="1" applyAlignment="1">
      <alignment horizontal="center" vertical="center" wrapText="1"/>
    </xf>
    <xf numFmtId="164" fontId="0" fillId="0" borderId="0" xfId="0" applyNumberFormat="1"/>
    <xf numFmtId="43" fontId="29" fillId="2" borderId="1" xfId="1" applyFont="1" applyFill="1" applyBorder="1" applyAlignment="1">
      <alignment horizontal="right" vertical="center" wrapText="1"/>
    </xf>
    <xf numFmtId="3" fontId="29" fillId="2" borderId="1" xfId="1" applyNumberFormat="1" applyFont="1" applyFill="1" applyBorder="1" applyAlignment="1">
      <alignment horizontal="right" vertical="center" wrapText="1"/>
    </xf>
    <xf numFmtId="3" fontId="28" fillId="2" borderId="1" xfId="13" applyNumberFormat="1" applyFont="1" applyFill="1" applyBorder="1" applyAlignment="1">
      <alignment horizontal="right" vertical="center"/>
    </xf>
    <xf numFmtId="3" fontId="28" fillId="0" borderId="1" xfId="1" applyNumberFormat="1" applyFont="1" applyBorder="1" applyAlignment="1">
      <alignment horizontal="right" vertical="center"/>
    </xf>
    <xf numFmtId="169" fontId="30" fillId="0" borderId="0" xfId="1" applyNumberFormat="1" applyFont="1"/>
    <xf numFmtId="0" fontId="33" fillId="2" borderId="0" xfId="0" applyFont="1" applyFill="1"/>
    <xf numFmtId="0" fontId="34" fillId="2" borderId="0" xfId="0" applyFont="1" applyFill="1" applyAlignment="1">
      <alignment horizontal="center"/>
    </xf>
    <xf numFmtId="0" fontId="34" fillId="2" borderId="0" xfId="0" applyFont="1" applyFill="1" applyAlignment="1">
      <alignment horizontal="left" wrapText="1"/>
    </xf>
    <xf numFmtId="0" fontId="33" fillId="2" borderId="0" xfId="0" applyFont="1" applyFill="1" applyAlignment="1">
      <alignment horizontal="center"/>
    </xf>
    <xf numFmtId="49" fontId="34" fillId="2" borderId="0" xfId="0" applyNumberFormat="1" applyFont="1" applyFill="1" applyAlignment="1">
      <alignment horizontal="center"/>
    </xf>
    <xf numFmtId="0" fontId="34" fillId="2" borderId="0" xfId="0" applyFont="1" applyFill="1" applyAlignment="1">
      <alignment horizontal="center" wrapText="1"/>
    </xf>
    <xf numFmtId="0" fontId="34" fillId="2" borderId="0" xfId="0" applyFont="1" applyFill="1"/>
    <xf numFmtId="0" fontId="33" fillId="2" borderId="1" xfId="0" applyFont="1" applyFill="1" applyBorder="1" applyAlignment="1">
      <alignment horizontal="center" vertical="center" wrapText="1"/>
    </xf>
    <xf numFmtId="0" fontId="34" fillId="2" borderId="1" xfId="0" applyFont="1" applyFill="1" applyBorder="1" applyAlignment="1">
      <alignment horizontal="center" vertical="center" wrapText="1"/>
    </xf>
    <xf numFmtId="169" fontId="33" fillId="2" borderId="1" xfId="1" applyNumberFormat="1" applyFont="1" applyFill="1" applyBorder="1" applyAlignment="1">
      <alignment horizontal="center" vertical="center" wrapText="1"/>
    </xf>
    <xf numFmtId="0" fontId="33" fillId="2" borderId="1" xfId="0" applyFont="1" applyFill="1" applyBorder="1" applyAlignment="1">
      <alignment horizontal="left" vertical="center" wrapText="1"/>
    </xf>
    <xf numFmtId="0" fontId="34" fillId="2" borderId="1" xfId="0" applyFont="1" applyFill="1" applyBorder="1" applyAlignment="1">
      <alignment horizontal="left" vertical="center" wrapText="1"/>
    </xf>
    <xf numFmtId="169" fontId="34" fillId="2" borderId="1" xfId="1" applyNumberFormat="1" applyFont="1" applyFill="1" applyBorder="1" applyAlignment="1">
      <alignment horizontal="center" vertical="center" wrapText="1"/>
    </xf>
    <xf numFmtId="2" fontId="34" fillId="2" borderId="1" xfId="2" applyNumberFormat="1" applyFont="1" applyFill="1" applyBorder="1" applyAlignment="1">
      <alignment horizontal="left" vertical="center" wrapText="1"/>
    </xf>
    <xf numFmtId="2" fontId="33" fillId="2" borderId="1" xfId="2" applyNumberFormat="1" applyFont="1" applyFill="1" applyBorder="1" applyAlignment="1">
      <alignment horizontal="left" vertical="center" wrapText="1"/>
    </xf>
    <xf numFmtId="1" fontId="34" fillId="2" borderId="1" xfId="15" applyNumberFormat="1" applyFont="1" applyFill="1" applyBorder="1" applyAlignment="1">
      <alignment horizontal="left" vertical="center" wrapText="1"/>
    </xf>
    <xf numFmtId="1" fontId="33" fillId="2" borderId="8" xfId="15" applyNumberFormat="1" applyFont="1" applyFill="1" applyBorder="1" applyAlignment="1">
      <alignment horizontal="left" vertical="center" wrapText="1"/>
    </xf>
    <xf numFmtId="0" fontId="34" fillId="0" borderId="8" xfId="11" applyFont="1" applyBorder="1" applyAlignment="1">
      <alignment horizontal="left" vertical="center" wrapText="1"/>
    </xf>
    <xf numFmtId="49" fontId="33" fillId="2" borderId="1" xfId="0" applyNumberFormat="1" applyFont="1" applyFill="1" applyBorder="1" applyAlignment="1">
      <alignment horizontal="center" vertical="center" wrapText="1"/>
    </xf>
    <xf numFmtId="49" fontId="33" fillId="2" borderId="1" xfId="1" applyNumberFormat="1" applyFont="1" applyFill="1" applyBorder="1" applyAlignment="1">
      <alignment horizontal="center" vertical="center" wrapText="1"/>
    </xf>
    <xf numFmtId="3" fontId="33" fillId="2" borderId="1" xfId="1" applyNumberFormat="1" applyFont="1" applyFill="1" applyBorder="1" applyAlignment="1">
      <alignment horizontal="right" vertical="center" wrapText="1"/>
    </xf>
    <xf numFmtId="0" fontId="21" fillId="2" borderId="0" xfId="0" applyFont="1" applyFill="1"/>
    <xf numFmtId="49" fontId="34" fillId="2" borderId="1" xfId="1" applyNumberFormat="1" applyFont="1" applyFill="1" applyBorder="1" applyAlignment="1">
      <alignment horizontal="center" vertical="center" wrapText="1"/>
    </xf>
    <xf numFmtId="3" fontId="34" fillId="2" borderId="1" xfId="1" applyNumberFormat="1" applyFont="1" applyFill="1" applyBorder="1" applyAlignment="1">
      <alignment horizontal="right" vertical="center" wrapText="1"/>
    </xf>
    <xf numFmtId="172" fontId="37" fillId="2" borderId="0" xfId="0" applyNumberFormat="1" applyFont="1" applyFill="1" applyAlignment="1">
      <alignment horizontal="center"/>
    </xf>
    <xf numFmtId="173" fontId="34" fillId="2" borderId="0" xfId="0" applyNumberFormat="1" applyFont="1" applyFill="1"/>
    <xf numFmtId="0" fontId="38" fillId="2" borderId="0" xfId="0" applyFont="1" applyFill="1"/>
    <xf numFmtId="0" fontId="11" fillId="8" borderId="0" xfId="0" applyFont="1" applyFill="1" applyAlignment="1">
      <alignment vertical="center"/>
    </xf>
    <xf numFmtId="0" fontId="39" fillId="2" borderId="0" xfId="0" applyFont="1" applyFill="1"/>
    <xf numFmtId="0" fontId="11" fillId="8" borderId="0" xfId="0" applyFont="1" applyFill="1" applyAlignment="1">
      <alignment horizontal="center" vertical="center"/>
    </xf>
    <xf numFmtId="0" fontId="21" fillId="8" borderId="0" xfId="0" applyFont="1" applyFill="1" applyAlignment="1">
      <alignment horizontal="center" vertical="center"/>
    </xf>
    <xf numFmtId="0" fontId="21" fillId="8" borderId="0" xfId="0" applyFont="1" applyFill="1" applyAlignment="1">
      <alignment vertical="center"/>
    </xf>
    <xf numFmtId="174" fontId="21" fillId="8" borderId="0" xfId="0" applyNumberFormat="1" applyFont="1" applyFill="1" applyAlignment="1">
      <alignment vertical="center"/>
    </xf>
    <xf numFmtId="169" fontId="21" fillId="8" borderId="0" xfId="0" applyNumberFormat="1" applyFont="1" applyFill="1" applyAlignment="1">
      <alignment vertical="center"/>
    </xf>
    <xf numFmtId="3" fontId="21" fillId="8" borderId="0" xfId="0" applyNumberFormat="1" applyFont="1" applyFill="1" applyAlignment="1">
      <alignment vertical="center"/>
    </xf>
    <xf numFmtId="0" fontId="20" fillId="8" borderId="19" xfId="0" applyFont="1" applyFill="1" applyBorder="1" applyAlignment="1">
      <alignment horizontal="center" vertical="center"/>
    </xf>
    <xf numFmtId="0" fontId="41" fillId="0" borderId="6" xfId="0" applyFont="1" applyBorder="1" applyAlignment="1">
      <alignment horizontal="center" vertical="center"/>
    </xf>
    <xf numFmtId="169" fontId="41" fillId="0" borderId="6" xfId="0" applyNumberFormat="1" applyFont="1" applyBorder="1" applyAlignment="1">
      <alignment horizontal="center" vertical="center"/>
    </xf>
    <xf numFmtId="0" fontId="21" fillId="8" borderId="19" xfId="0" applyFont="1" applyFill="1" applyBorder="1" applyAlignment="1">
      <alignment horizontal="center" vertical="center"/>
    </xf>
    <xf numFmtId="0" fontId="21" fillId="8" borderId="19" xfId="0" applyFont="1" applyFill="1" applyBorder="1" applyAlignment="1">
      <alignment horizontal="left" vertical="center"/>
    </xf>
    <xf numFmtId="0" fontId="42" fillId="0" borderId="21" xfId="0" applyFont="1" applyBorder="1" applyAlignment="1">
      <alignment horizontal="center" vertical="center"/>
    </xf>
    <xf numFmtId="0" fontId="42" fillId="0" borderId="21" xfId="0" applyFont="1" applyBorder="1" applyAlignment="1">
      <alignment horizontal="left" vertical="center"/>
    </xf>
    <xf numFmtId="169" fontId="42" fillId="0" borderId="21" xfId="0" applyNumberFormat="1" applyFont="1" applyBorder="1" applyAlignment="1">
      <alignment horizontal="right" vertical="center"/>
    </xf>
    <xf numFmtId="0" fontId="21" fillId="8" borderId="0" xfId="0" applyFont="1" applyFill="1"/>
    <xf numFmtId="169" fontId="41" fillId="0" borderId="6" xfId="0" applyNumberFormat="1" applyFont="1" applyBorder="1" applyAlignment="1">
      <alignment horizontal="center" vertical="center" wrapText="1"/>
    </xf>
    <xf numFmtId="0" fontId="36" fillId="8" borderId="5" xfId="0" applyFont="1" applyFill="1" applyBorder="1" applyAlignment="1">
      <alignment vertical="center"/>
    </xf>
    <xf numFmtId="0" fontId="36" fillId="8" borderId="0" xfId="0" applyFont="1" applyFill="1" applyAlignment="1">
      <alignment vertical="center"/>
    </xf>
    <xf numFmtId="0" fontId="43" fillId="2" borderId="0" xfId="0" applyFont="1" applyFill="1" applyAlignment="1">
      <alignment vertical="center"/>
    </xf>
    <xf numFmtId="0" fontId="20" fillId="8" borderId="0" xfId="0" applyFont="1" applyFill="1" applyAlignment="1">
      <alignment horizontal="center" vertical="center" wrapText="1"/>
    </xf>
    <xf numFmtId="0" fontId="44" fillId="2" borderId="0" xfId="0" applyFont="1" applyFill="1"/>
    <xf numFmtId="0" fontId="45" fillId="2" borderId="0" xfId="0" applyFont="1" applyFill="1"/>
    <xf numFmtId="0" fontId="33" fillId="2" borderId="0" xfId="0" applyFont="1" applyFill="1" applyAlignment="1">
      <alignment horizontal="center" vertical="center"/>
    </xf>
    <xf numFmtId="0" fontId="30" fillId="2" borderId="0" xfId="0" applyFont="1" applyFill="1"/>
    <xf numFmtId="0" fontId="41" fillId="2" borderId="0" xfId="0" applyFont="1" applyFill="1"/>
    <xf numFmtId="0" fontId="46" fillId="2" borderId="0" xfId="0" applyFont="1" applyFill="1" applyAlignment="1">
      <alignment horizontal="center" vertical="center" wrapText="1"/>
    </xf>
    <xf numFmtId="0" fontId="42" fillId="2" borderId="0" xfId="0" applyFont="1" applyFill="1" applyAlignment="1">
      <alignment horizontal="center" vertical="center" wrapText="1"/>
    </xf>
    <xf numFmtId="0" fontId="0" fillId="2" borderId="0" xfId="0" applyFill="1"/>
    <xf numFmtId="0" fontId="46" fillId="2" borderId="0" xfId="0" applyFont="1" applyFill="1"/>
    <xf numFmtId="175" fontId="42" fillId="2" borderId="0" xfId="1" applyNumberFormat="1" applyFont="1" applyFill="1"/>
    <xf numFmtId="0" fontId="42" fillId="2" borderId="0" xfId="0" applyFont="1" applyFill="1" applyAlignment="1">
      <alignment horizontal="center"/>
    </xf>
    <xf numFmtId="0" fontId="42" fillId="2" borderId="0" xfId="0" applyFont="1" applyFill="1"/>
    <xf numFmtId="0" fontId="42" fillId="2" borderId="0" xfId="0" applyFont="1" applyFill="1" applyAlignment="1">
      <alignment horizontal="right"/>
    </xf>
    <xf numFmtId="176" fontId="42" fillId="2" borderId="0" xfId="0" applyNumberFormat="1" applyFont="1" applyFill="1" applyAlignment="1">
      <alignment horizontal="right"/>
    </xf>
    <xf numFmtId="0" fontId="36" fillId="2" borderId="0" xfId="0" applyFont="1" applyFill="1" applyAlignment="1">
      <alignment horizontal="center" vertical="center" wrapText="1"/>
    </xf>
    <xf numFmtId="4" fontId="36" fillId="2" borderId="0" xfId="0" applyNumberFormat="1" applyFont="1" applyFill="1" applyAlignment="1">
      <alignment horizontal="center" vertical="center" wrapText="1"/>
    </xf>
    <xf numFmtId="0" fontId="46" fillId="2" borderId="2" xfId="0" applyFont="1" applyFill="1" applyBorder="1"/>
    <xf numFmtId="176" fontId="33" fillId="2" borderId="1" xfId="0" applyNumberFormat="1" applyFont="1" applyFill="1" applyBorder="1" applyAlignment="1">
      <alignment horizontal="center" vertical="center" wrapText="1"/>
    </xf>
    <xf numFmtId="0" fontId="30" fillId="2" borderId="1" xfId="0" applyFont="1" applyFill="1" applyBorder="1" applyAlignment="1">
      <alignment horizontal="center" vertical="center" wrapText="1"/>
    </xf>
    <xf numFmtId="3" fontId="30" fillId="2" borderId="1" xfId="0" applyNumberFormat="1" applyFont="1" applyFill="1" applyBorder="1" applyAlignment="1">
      <alignment horizontal="center" vertical="center" wrapText="1"/>
    </xf>
    <xf numFmtId="0" fontId="33" fillId="2" borderId="11" xfId="0" applyFont="1" applyFill="1" applyBorder="1" applyAlignment="1">
      <alignment horizontal="center" vertical="center" wrapText="1"/>
    </xf>
    <xf numFmtId="0" fontId="33" fillId="2" borderId="11" xfId="0" applyFont="1" applyFill="1" applyBorder="1" applyAlignment="1">
      <alignment horizontal="center" vertical="center"/>
    </xf>
    <xf numFmtId="4" fontId="33" fillId="2" borderId="11" xfId="0" applyNumberFormat="1" applyFont="1" applyFill="1" applyBorder="1" applyAlignment="1">
      <alignment vertical="center"/>
    </xf>
    <xf numFmtId="175" fontId="33" fillId="2" borderId="11" xfId="1" applyNumberFormat="1" applyFont="1" applyFill="1" applyBorder="1" applyAlignment="1">
      <alignment vertical="center"/>
    </xf>
    <xf numFmtId="0" fontId="33" fillId="2" borderId="7" xfId="0" applyFont="1" applyFill="1" applyBorder="1" applyAlignment="1">
      <alignment horizontal="center" vertical="center"/>
    </xf>
    <xf numFmtId="0" fontId="33" fillId="2" borderId="7" xfId="0" applyFont="1" applyFill="1" applyBorder="1" applyAlignment="1">
      <alignment vertical="center"/>
    </xf>
    <xf numFmtId="4" fontId="33" fillId="2" borderId="7" xfId="0" applyNumberFormat="1" applyFont="1" applyFill="1" applyBorder="1" applyAlignment="1">
      <alignment vertical="center"/>
    </xf>
    <xf numFmtId="175" fontId="33" fillId="2" borderId="7" xfId="1" applyNumberFormat="1" applyFont="1" applyFill="1" applyBorder="1" applyAlignment="1">
      <alignment vertical="center"/>
    </xf>
    <xf numFmtId="0" fontId="34" fillId="2" borderId="7" xfId="0" applyFont="1" applyFill="1" applyBorder="1" applyAlignment="1">
      <alignment horizontal="center" vertical="center"/>
    </xf>
    <xf numFmtId="0" fontId="34" fillId="2" borderId="7" xfId="0" applyFont="1" applyFill="1" applyBorder="1" applyAlignment="1">
      <alignment vertical="center"/>
    </xf>
    <xf numFmtId="4" fontId="34" fillId="2" borderId="7" xfId="0" applyNumberFormat="1" applyFont="1" applyFill="1" applyBorder="1" applyAlignment="1">
      <alignment vertical="center"/>
    </xf>
    <xf numFmtId="176" fontId="34" fillId="2" borderId="7" xfId="0" applyNumberFormat="1" applyFont="1" applyFill="1" applyBorder="1" applyAlignment="1">
      <alignment vertical="center"/>
    </xf>
    <xf numFmtId="175" fontId="34" fillId="2" borderId="7" xfId="1" applyNumberFormat="1" applyFont="1" applyFill="1" applyBorder="1" applyAlignment="1">
      <alignment vertical="center"/>
    </xf>
    <xf numFmtId="0" fontId="34" fillId="2" borderId="7" xfId="0" applyFont="1" applyFill="1" applyBorder="1" applyAlignment="1">
      <alignment horizontal="left" vertical="center" wrapText="1"/>
    </xf>
    <xf numFmtId="176" fontId="33" fillId="2" borderId="7" xfId="0" applyNumberFormat="1" applyFont="1" applyFill="1" applyBorder="1" applyAlignment="1">
      <alignment vertical="center"/>
    </xf>
    <xf numFmtId="3" fontId="34" fillId="2" borderId="7" xfId="0" applyNumberFormat="1" applyFont="1" applyFill="1" applyBorder="1" applyAlignment="1">
      <alignment vertical="center" wrapText="1"/>
    </xf>
    <xf numFmtId="175" fontId="47" fillId="2" borderId="7" xfId="1" applyNumberFormat="1" applyFont="1" applyFill="1" applyBorder="1" applyAlignment="1">
      <alignment horizontal="center" vertical="center" wrapText="1"/>
    </xf>
    <xf numFmtId="3" fontId="47" fillId="2" borderId="7" xfId="0" applyNumberFormat="1" applyFont="1" applyFill="1" applyBorder="1" applyAlignment="1">
      <alignment vertical="center" wrapText="1"/>
    </xf>
    <xf numFmtId="175" fontId="34" fillId="2" borderId="7" xfId="1" applyNumberFormat="1" applyFont="1" applyFill="1" applyBorder="1" applyAlignment="1">
      <alignment horizontal="center" vertical="center" wrapText="1"/>
    </xf>
    <xf numFmtId="3" fontId="34" fillId="2" borderId="7" xfId="0" applyNumberFormat="1" applyFont="1" applyFill="1" applyBorder="1" applyAlignment="1">
      <alignment vertical="center"/>
    </xf>
    <xf numFmtId="2" fontId="34" fillId="2" borderId="7" xfId="0" applyNumberFormat="1" applyFont="1" applyFill="1" applyBorder="1" applyAlignment="1">
      <alignment vertical="center" wrapText="1"/>
    </xf>
    <xf numFmtId="2" fontId="47" fillId="2" borderId="7" xfId="0" applyNumberFormat="1" applyFont="1" applyFill="1" applyBorder="1" applyAlignment="1">
      <alignment vertical="center" wrapText="1"/>
    </xf>
    <xf numFmtId="175" fontId="47" fillId="2" borderId="7" xfId="1" applyNumberFormat="1" applyFont="1" applyFill="1" applyBorder="1" applyAlignment="1">
      <alignment vertical="center"/>
    </xf>
    <xf numFmtId="0" fontId="33" fillId="2" borderId="7" xfId="0" applyFont="1" applyFill="1" applyBorder="1" applyAlignment="1">
      <alignment horizontal="left" vertical="center"/>
    </xf>
    <xf numFmtId="176" fontId="48" fillId="2" borderId="7" xfId="0" applyNumberFormat="1" applyFont="1" applyFill="1" applyBorder="1" applyAlignment="1">
      <alignment vertical="center"/>
    </xf>
    <xf numFmtId="2" fontId="34" fillId="2" borderId="7" xfId="0" applyNumberFormat="1" applyFont="1" applyFill="1" applyBorder="1" applyAlignment="1">
      <alignment horizontal="center" vertical="center"/>
    </xf>
    <xf numFmtId="175" fontId="34" fillId="2" borderId="7" xfId="1" applyNumberFormat="1" applyFont="1" applyFill="1" applyBorder="1" applyAlignment="1">
      <alignment horizontal="right" vertical="center"/>
    </xf>
    <xf numFmtId="2" fontId="47" fillId="2" borderId="7" xfId="0" applyNumberFormat="1" applyFont="1" applyFill="1" applyBorder="1" applyAlignment="1">
      <alignment horizontal="center" vertical="center"/>
    </xf>
    <xf numFmtId="0" fontId="47" fillId="2" borderId="7" xfId="0" applyFont="1" applyFill="1" applyBorder="1" applyAlignment="1">
      <alignment horizontal="left" vertical="center" wrapText="1"/>
    </xf>
    <xf numFmtId="4" fontId="47" fillId="2" borderId="7" xfId="0" applyNumberFormat="1" applyFont="1" applyFill="1" applyBorder="1" applyAlignment="1">
      <alignment vertical="center"/>
    </xf>
    <xf numFmtId="176" fontId="47" fillId="2" borderId="7" xfId="0" applyNumberFormat="1" applyFont="1" applyFill="1" applyBorder="1" applyAlignment="1">
      <alignment vertical="center"/>
    </xf>
    <xf numFmtId="175" fontId="47" fillId="2" borderId="7" xfId="1" applyNumberFormat="1" applyFont="1" applyFill="1" applyBorder="1" applyAlignment="1">
      <alignment horizontal="right" vertical="center"/>
    </xf>
    <xf numFmtId="4" fontId="34" fillId="2" borderId="7" xfId="0" applyNumberFormat="1" applyFont="1" applyFill="1" applyBorder="1" applyAlignment="1">
      <alignment horizontal="left" vertical="center" wrapText="1"/>
    </xf>
    <xf numFmtId="176" fontId="47" fillId="2" borderId="7" xfId="0" applyNumberFormat="1" applyFont="1" applyFill="1" applyBorder="1" applyAlignment="1">
      <alignment vertical="center" wrapText="1"/>
    </xf>
    <xf numFmtId="175" fontId="34" fillId="2" borderId="7" xfId="1" applyNumberFormat="1" applyFont="1" applyFill="1" applyBorder="1" applyAlignment="1">
      <alignment vertical="center" wrapText="1"/>
    </xf>
    <xf numFmtId="169" fontId="34" fillId="2" borderId="7" xfId="1" applyNumberFormat="1" applyFont="1" applyFill="1" applyBorder="1" applyAlignment="1">
      <alignment vertical="center" wrapText="1"/>
    </xf>
    <xf numFmtId="0" fontId="47" fillId="2" borderId="7" xfId="0" applyFont="1" applyFill="1" applyBorder="1" applyAlignment="1">
      <alignment horizontal="center" vertical="center"/>
    </xf>
    <xf numFmtId="173" fontId="46" fillId="2" borderId="2" xfId="0" applyNumberFormat="1" applyFont="1" applyFill="1" applyBorder="1"/>
    <xf numFmtId="175" fontId="33" fillId="2" borderId="7" xfId="1" applyNumberFormat="1" applyFont="1" applyFill="1" applyBorder="1" applyAlignment="1">
      <alignment horizontal="center" vertical="center" wrapText="1"/>
    </xf>
    <xf numFmtId="175" fontId="34" fillId="2" borderId="7" xfId="1" applyNumberFormat="1" applyFont="1" applyFill="1" applyBorder="1" applyAlignment="1">
      <alignment horizontal="right" vertical="center" wrapText="1"/>
    </xf>
    <xf numFmtId="175" fontId="49" fillId="2" borderId="7" xfId="1" applyNumberFormat="1" applyFont="1" applyFill="1" applyBorder="1" applyAlignment="1">
      <alignment horizontal="center" vertical="center" wrapText="1"/>
    </xf>
    <xf numFmtId="175" fontId="33" fillId="2" borderId="7" xfId="1" applyNumberFormat="1" applyFont="1" applyFill="1" applyBorder="1" applyAlignment="1">
      <alignment vertical="center" wrapText="1"/>
    </xf>
    <xf numFmtId="0" fontId="35" fillId="2" borderId="0" xfId="0" applyFont="1" applyFill="1" applyAlignment="1">
      <alignment horizontal="center" vertical="center" wrapText="1"/>
    </xf>
    <xf numFmtId="0" fontId="46" fillId="2" borderId="0" xfId="0" applyFont="1" applyFill="1" applyAlignment="1">
      <alignment horizontal="right"/>
    </xf>
    <xf numFmtId="0" fontId="41" fillId="2" borderId="0" xfId="0" applyFont="1" applyFill="1" applyAlignment="1">
      <alignment horizontal="center" vertical="center"/>
    </xf>
    <xf numFmtId="0" fontId="33" fillId="2" borderId="0" xfId="0" applyFont="1" applyFill="1" applyAlignment="1">
      <alignment horizontal="center" vertical="center" wrapText="1"/>
    </xf>
    <xf numFmtId="4" fontId="33" fillId="2" borderId="0" xfId="0" applyNumberFormat="1" applyFont="1" applyFill="1" applyAlignment="1">
      <alignment horizontal="center" vertical="center"/>
    </xf>
    <xf numFmtId="0" fontId="30" fillId="2" borderId="0" xfId="0" applyFont="1" applyFill="1" applyAlignment="1">
      <alignment horizontal="center" vertical="center" wrapText="1"/>
    </xf>
    <xf numFmtId="176" fontId="41" fillId="2" borderId="0" xfId="0" applyNumberFormat="1" applyFont="1" applyFill="1" applyAlignment="1">
      <alignment vertical="center"/>
    </xf>
    <xf numFmtId="4" fontId="41" fillId="2" borderId="0" xfId="0" applyNumberFormat="1" applyFont="1" applyFill="1"/>
    <xf numFmtId="176" fontId="41" fillId="2" borderId="0" xfId="0" applyNumberFormat="1" applyFont="1" applyFill="1"/>
    <xf numFmtId="4" fontId="42" fillId="2" borderId="0" xfId="0" applyNumberFormat="1" applyFont="1" applyFill="1"/>
    <xf numFmtId="176" fontId="45" fillId="2" borderId="0" xfId="0" applyNumberFormat="1" applyFont="1" applyFill="1" applyAlignment="1">
      <alignment vertical="center"/>
    </xf>
    <xf numFmtId="0" fontId="47" fillId="2" borderId="7" xfId="0" applyFont="1" applyFill="1" applyBorder="1" applyAlignment="1">
      <alignment vertical="center"/>
    </xf>
    <xf numFmtId="0" fontId="34" fillId="2" borderId="7" xfId="0" applyFont="1" applyFill="1" applyBorder="1" applyAlignment="1">
      <alignment vertical="center" wrapText="1"/>
    </xf>
    <xf numFmtId="169" fontId="34" fillId="2" borderId="7" xfId="1" applyNumberFormat="1" applyFont="1" applyFill="1" applyBorder="1" applyAlignment="1">
      <alignment vertical="center"/>
    </xf>
    <xf numFmtId="169" fontId="47" fillId="2" borderId="7" xfId="1" applyNumberFormat="1" applyFont="1" applyFill="1" applyBorder="1" applyAlignment="1">
      <alignment vertical="center"/>
    </xf>
    <xf numFmtId="176" fontId="33" fillId="2" borderId="7" xfId="0" applyNumberFormat="1" applyFont="1" applyFill="1" applyBorder="1" applyAlignment="1">
      <alignment horizontal="right" vertical="center"/>
    </xf>
    <xf numFmtId="175" fontId="33" fillId="2" borderId="7" xfId="1" applyNumberFormat="1" applyFont="1" applyFill="1" applyBorder="1" applyAlignment="1">
      <alignment horizontal="right" vertical="center"/>
    </xf>
    <xf numFmtId="176" fontId="34" fillId="2" borderId="7" xfId="0" applyNumberFormat="1" applyFont="1" applyFill="1" applyBorder="1" applyAlignment="1">
      <alignment horizontal="center" vertical="center"/>
    </xf>
    <xf numFmtId="176" fontId="47" fillId="2" borderId="7" xfId="0" applyNumberFormat="1" applyFont="1" applyFill="1" applyBorder="1" applyAlignment="1">
      <alignment horizontal="center" vertical="center"/>
    </xf>
    <xf numFmtId="0" fontId="34" fillId="2" borderId="7" xfId="0" applyFont="1" applyFill="1" applyBorder="1" applyAlignment="1">
      <alignment horizontal="justify" vertical="center" wrapText="1"/>
    </xf>
    <xf numFmtId="0" fontId="33" fillId="2" borderId="7" xfId="0" applyFont="1" applyFill="1" applyBorder="1" applyAlignment="1">
      <alignment vertical="center" wrapText="1"/>
    </xf>
    <xf numFmtId="175" fontId="34" fillId="2" borderId="26" xfId="1" applyNumberFormat="1" applyFont="1" applyFill="1" applyBorder="1" applyAlignment="1">
      <alignment vertical="center" wrapText="1"/>
    </xf>
    <xf numFmtId="175" fontId="34" fillId="2" borderId="7" xfId="1" applyNumberFormat="1" applyFont="1" applyFill="1" applyBorder="1" applyAlignment="1">
      <alignment horizontal="center" vertical="center"/>
    </xf>
    <xf numFmtId="175" fontId="34" fillId="2" borderId="26" xfId="1" applyNumberFormat="1" applyFont="1" applyFill="1" applyBorder="1" applyAlignment="1">
      <alignment horizontal="center" vertical="center"/>
    </xf>
    <xf numFmtId="4" fontId="34" fillId="2" borderId="26" xfId="0" applyNumberFormat="1" applyFont="1" applyFill="1" applyBorder="1" applyAlignment="1">
      <alignment vertical="center"/>
    </xf>
    <xf numFmtId="175" fontId="34" fillId="2" borderId="26" xfId="1" applyNumberFormat="1" applyFont="1" applyFill="1" applyBorder="1" applyAlignment="1">
      <alignment horizontal="right" vertical="center"/>
    </xf>
    <xf numFmtId="175" fontId="34" fillId="2" borderId="26" xfId="1" applyNumberFormat="1" applyFont="1" applyFill="1" applyBorder="1" applyAlignment="1">
      <alignment vertical="center"/>
    </xf>
    <xf numFmtId="0" fontId="33" fillId="2" borderId="1" xfId="0" applyFont="1" applyFill="1" applyBorder="1" applyAlignment="1">
      <alignment horizontal="center"/>
    </xf>
    <xf numFmtId="0" fontId="33" fillId="2" borderId="1" xfId="0" applyFont="1" applyFill="1" applyBorder="1"/>
    <xf numFmtId="0" fontId="33" fillId="2" borderId="1" xfId="0" applyFont="1" applyFill="1" applyBorder="1" applyAlignment="1">
      <alignment horizontal="right"/>
    </xf>
    <xf numFmtId="175" fontId="33" fillId="2" borderId="1" xfId="1" applyNumberFormat="1" applyFont="1" applyFill="1" applyBorder="1" applyAlignment="1">
      <alignment horizontal="right"/>
    </xf>
    <xf numFmtId="175" fontId="33" fillId="2" borderId="1" xfId="1" applyNumberFormat="1" applyFont="1" applyFill="1" applyBorder="1"/>
    <xf numFmtId="176" fontId="42" fillId="2" borderId="0" xfId="0" applyNumberFormat="1" applyFont="1" applyFill="1"/>
    <xf numFmtId="175" fontId="41" fillId="2" borderId="0" xfId="1" applyNumberFormat="1" applyFont="1" applyFill="1" applyAlignment="1">
      <alignment vertical="center"/>
    </xf>
    <xf numFmtId="0" fontId="21" fillId="2" borderId="0" xfId="0" applyFont="1" applyFill="1" applyAlignment="1">
      <alignment vertical="center"/>
    </xf>
    <xf numFmtId="0" fontId="46" fillId="2" borderId="0" xfId="0" applyFont="1" applyFill="1" applyAlignment="1">
      <alignment vertical="center"/>
    </xf>
    <xf numFmtId="0" fontId="42" fillId="2" borderId="0" xfId="0" applyFont="1" applyFill="1" applyAlignment="1">
      <alignment vertical="center"/>
    </xf>
    <xf numFmtId="0" fontId="20" fillId="2" borderId="0" xfId="0" applyFont="1" applyFill="1" applyAlignment="1">
      <alignment vertical="center"/>
    </xf>
    <xf numFmtId="0" fontId="50" fillId="2" borderId="0" xfId="0" applyFont="1" applyFill="1" applyAlignment="1">
      <alignment vertical="center"/>
    </xf>
    <xf numFmtId="0" fontId="51" fillId="2" borderId="0" xfId="0" applyFont="1" applyFill="1" applyAlignment="1">
      <alignment vertical="center"/>
    </xf>
    <xf numFmtId="0" fontId="52" fillId="2" borderId="0" xfId="0" applyFont="1" applyFill="1" applyAlignment="1">
      <alignment vertical="center"/>
    </xf>
    <xf numFmtId="0" fontId="44" fillId="2" borderId="0" xfId="0" applyFont="1" applyFill="1" applyAlignment="1">
      <alignment vertical="center"/>
    </xf>
    <xf numFmtId="0" fontId="35" fillId="2" borderId="0" xfId="0" applyFont="1" applyFill="1" applyAlignment="1">
      <alignment vertical="center"/>
    </xf>
    <xf numFmtId="0" fontId="53" fillId="2" borderId="0" xfId="0" applyFont="1" applyFill="1" applyAlignment="1">
      <alignment horizontal="center" vertical="center"/>
    </xf>
    <xf numFmtId="0" fontId="53" fillId="2" borderId="0" xfId="0" applyFont="1" applyFill="1" applyAlignment="1">
      <alignment vertical="center" wrapText="1"/>
    </xf>
    <xf numFmtId="168" fontId="53" fillId="2" borderId="0" xfId="0" applyNumberFormat="1" applyFont="1" applyFill="1" applyAlignment="1">
      <alignment vertical="center"/>
    </xf>
    <xf numFmtId="0" fontId="53" fillId="2" borderId="0" xfId="0" applyFont="1" applyFill="1" applyAlignment="1">
      <alignment vertical="center"/>
    </xf>
    <xf numFmtId="169" fontId="53" fillId="2" borderId="0" xfId="0" applyNumberFormat="1" applyFont="1" applyFill="1" applyAlignment="1">
      <alignment vertical="center" wrapText="1"/>
    </xf>
    <xf numFmtId="177" fontId="20" fillId="2" borderId="1" xfId="16" applyNumberFormat="1" applyFont="1" applyFill="1" applyBorder="1" applyAlignment="1">
      <alignment horizontal="center" vertical="center" wrapText="1"/>
    </xf>
    <xf numFmtId="177" fontId="20" fillId="2" borderId="3" xfId="16" applyNumberFormat="1" applyFont="1" applyFill="1" applyBorder="1" applyAlignment="1">
      <alignment horizontal="center" vertical="center" wrapText="1"/>
    </xf>
    <xf numFmtId="0" fontId="36" fillId="2" borderId="1" xfId="0" applyFont="1" applyFill="1" applyBorder="1" applyAlignment="1">
      <alignment horizontal="center" vertical="center"/>
    </xf>
    <xf numFmtId="168" fontId="36" fillId="2" borderId="1" xfId="0" applyNumberFormat="1" applyFont="1" applyFill="1" applyBorder="1" applyAlignment="1">
      <alignment horizontal="center" vertical="center" wrapText="1"/>
    </xf>
    <xf numFmtId="0" fontId="54" fillId="2" borderId="0" xfId="0" applyFont="1" applyFill="1" applyAlignment="1">
      <alignment vertical="center"/>
    </xf>
    <xf numFmtId="0" fontId="21" fillId="2" borderId="1" xfId="0" applyFont="1" applyFill="1" applyBorder="1" applyAlignment="1">
      <alignment horizontal="center" vertical="center"/>
    </xf>
    <xf numFmtId="168" fontId="20" fillId="2" borderId="1" xfId="0" applyNumberFormat="1" applyFont="1" applyFill="1" applyBorder="1" applyAlignment="1">
      <alignment horizontal="left" vertical="center" wrapText="1"/>
    </xf>
    <xf numFmtId="169" fontId="20" fillId="2" borderId="1" xfId="1" applyNumberFormat="1" applyFont="1" applyFill="1" applyBorder="1" applyAlignment="1">
      <alignment horizontal="right" vertical="center"/>
    </xf>
    <xf numFmtId="169" fontId="53" fillId="2" borderId="0" xfId="0" applyNumberFormat="1" applyFont="1" applyFill="1" applyAlignment="1">
      <alignment vertical="center"/>
    </xf>
    <xf numFmtId="169" fontId="42" fillId="2" borderId="0" xfId="0" applyNumberFormat="1" applyFont="1" applyFill="1" applyAlignment="1">
      <alignment vertical="center"/>
    </xf>
    <xf numFmtId="0" fontId="20" fillId="2" borderId="1" xfId="0" applyFont="1" applyFill="1" applyBorder="1" applyAlignment="1">
      <alignment horizontal="center" vertical="center"/>
    </xf>
    <xf numFmtId="170" fontId="20" fillId="2" borderId="1" xfId="0" applyNumberFormat="1" applyFont="1" applyFill="1" applyBorder="1" applyAlignment="1">
      <alignment horizontal="left" vertical="center" wrapText="1"/>
    </xf>
    <xf numFmtId="169" fontId="20" fillId="2" borderId="1" xfId="1" applyNumberFormat="1" applyFont="1" applyFill="1" applyBorder="1" applyAlignment="1">
      <alignment vertical="center"/>
    </xf>
    <xf numFmtId="169" fontId="20" fillId="2" borderId="0" xfId="0" applyNumberFormat="1" applyFont="1" applyFill="1" applyAlignment="1">
      <alignment vertical="center"/>
    </xf>
    <xf numFmtId="0" fontId="20" fillId="2" borderId="1" xfId="0" applyFont="1" applyFill="1" applyBorder="1" applyAlignment="1">
      <alignment horizontal="left" vertical="center" wrapText="1"/>
    </xf>
    <xf numFmtId="169" fontId="13" fillId="2" borderId="1" xfId="1" applyNumberFormat="1" applyFont="1" applyFill="1" applyBorder="1" applyAlignment="1">
      <alignment vertical="center"/>
    </xf>
    <xf numFmtId="170" fontId="21" fillId="2" borderId="1" xfId="0" applyNumberFormat="1" applyFont="1" applyFill="1" applyBorder="1" applyAlignment="1">
      <alignment horizontal="left" vertical="center" wrapText="1"/>
    </xf>
    <xf numFmtId="169" fontId="1" fillId="2" borderId="1" xfId="1" applyNumberFormat="1" applyFont="1" applyFill="1" applyBorder="1" applyAlignment="1">
      <alignment vertical="center"/>
    </xf>
    <xf numFmtId="169" fontId="1" fillId="2" borderId="1" xfId="1" applyNumberFormat="1" applyFont="1" applyFill="1" applyBorder="1" applyAlignment="1">
      <alignment horizontal="right" vertical="center"/>
    </xf>
    <xf numFmtId="169" fontId="52" fillId="2" borderId="0" xfId="0" applyNumberFormat="1" applyFont="1" applyFill="1" applyAlignment="1">
      <alignment vertical="center"/>
    </xf>
    <xf numFmtId="170" fontId="21" fillId="2" borderId="1" xfId="0" applyNumberFormat="1" applyFont="1" applyFill="1" applyBorder="1" applyAlignment="1">
      <alignment horizontal="left" vertical="center" wrapText="1" indent="1"/>
    </xf>
    <xf numFmtId="170" fontId="20" fillId="2" borderId="1" xfId="0" applyNumberFormat="1" applyFont="1" applyFill="1" applyBorder="1" applyAlignment="1">
      <alignment vertical="center" wrapText="1"/>
    </xf>
    <xf numFmtId="3" fontId="13" fillId="2" borderId="1" xfId="1" applyNumberFormat="1" applyFont="1" applyFill="1" applyBorder="1" applyAlignment="1">
      <alignment horizontal="right" vertical="center"/>
    </xf>
    <xf numFmtId="169" fontId="13" fillId="2" borderId="1" xfId="1" applyNumberFormat="1" applyFont="1" applyFill="1" applyBorder="1" applyAlignment="1">
      <alignment horizontal="right" vertical="center"/>
    </xf>
    <xf numFmtId="170" fontId="36" fillId="2" borderId="1" xfId="0" applyNumberFormat="1" applyFont="1" applyFill="1" applyBorder="1" applyAlignment="1">
      <alignment vertical="center" wrapText="1"/>
    </xf>
    <xf numFmtId="3" fontId="18" fillId="2" borderId="1" xfId="1" applyNumberFormat="1" applyFont="1" applyFill="1" applyBorder="1" applyAlignment="1">
      <alignment horizontal="right" vertical="center"/>
    </xf>
    <xf numFmtId="169" fontId="18" fillId="2" borderId="1" xfId="1" applyNumberFormat="1" applyFont="1" applyFill="1" applyBorder="1" applyAlignment="1">
      <alignment horizontal="right" vertical="center"/>
    </xf>
    <xf numFmtId="0" fontId="55" fillId="2" borderId="0" xfId="0" applyFont="1" applyFill="1" applyAlignment="1">
      <alignment vertical="center"/>
    </xf>
    <xf numFmtId="3" fontId="1" fillId="2" borderId="1" xfId="1" applyNumberFormat="1" applyFont="1" applyFill="1" applyBorder="1" applyAlignment="1">
      <alignment vertical="center"/>
    </xf>
    <xf numFmtId="170" fontId="44" fillId="2" borderId="0" xfId="0" applyNumberFormat="1" applyFont="1" applyFill="1" applyAlignment="1">
      <alignment vertical="center"/>
    </xf>
    <xf numFmtId="0" fontId="20" fillId="2" borderId="1" xfId="0" applyFont="1" applyFill="1" applyBorder="1" applyAlignment="1">
      <alignment vertical="center" wrapText="1"/>
    </xf>
    <xf numFmtId="0" fontId="56" fillId="2" borderId="0" xfId="0" applyFont="1" applyFill="1" applyAlignment="1">
      <alignment vertical="center"/>
    </xf>
    <xf numFmtId="169" fontId="56" fillId="2" borderId="0" xfId="0" applyNumberFormat="1" applyFont="1" applyFill="1" applyAlignment="1">
      <alignment vertical="center"/>
    </xf>
    <xf numFmtId="0" fontId="20" fillId="9" borderId="1" xfId="14" applyFont="1" applyFill="1" applyBorder="1" applyAlignment="1">
      <alignment vertical="center" wrapText="1"/>
    </xf>
    <xf numFmtId="0" fontId="57" fillId="0" borderId="0" xfId="0" applyFont="1" applyAlignment="1">
      <alignment vertical="center"/>
    </xf>
    <xf numFmtId="0" fontId="11" fillId="0" borderId="0" xfId="0" applyFont="1" applyAlignment="1">
      <alignment vertical="center"/>
    </xf>
    <xf numFmtId="0" fontId="21" fillId="0" borderId="0" xfId="0" applyFont="1" applyAlignment="1">
      <alignment vertical="center"/>
    </xf>
    <xf numFmtId="0" fontId="9" fillId="0" borderId="0" xfId="0" applyFont="1" applyAlignment="1">
      <alignment vertical="center"/>
    </xf>
    <xf numFmtId="0" fontId="58" fillId="0" borderId="0" xfId="0" applyFont="1" applyAlignment="1">
      <alignment horizontal="center" vertical="center"/>
    </xf>
    <xf numFmtId="0" fontId="44" fillId="0" borderId="0" xfId="0" applyFont="1" applyAlignment="1">
      <alignment vertical="center"/>
    </xf>
    <xf numFmtId="0" fontId="31" fillId="0" borderId="0" xfId="0" applyFont="1" applyAlignment="1">
      <alignment vertical="center"/>
    </xf>
    <xf numFmtId="0" fontId="35" fillId="0" borderId="0" xfId="0" applyFont="1" applyAlignment="1">
      <alignment vertical="center"/>
    </xf>
    <xf numFmtId="0" fontId="59" fillId="0" borderId="0" xfId="0" applyFont="1" applyAlignment="1">
      <alignment vertical="center"/>
    </xf>
    <xf numFmtId="0" fontId="60" fillId="0" borderId="0" xfId="0" applyFont="1" applyAlignment="1">
      <alignment vertical="center"/>
    </xf>
    <xf numFmtId="0" fontId="13" fillId="0" borderId="0" xfId="0" applyFont="1" applyAlignment="1">
      <alignment vertical="center"/>
    </xf>
    <xf numFmtId="0" fontId="61" fillId="0" borderId="0" xfId="0" applyFont="1" applyAlignment="1">
      <alignment vertical="center"/>
    </xf>
    <xf numFmtId="170" fontId="61" fillId="0" borderId="0" xfId="0" applyNumberFormat="1" applyFont="1" applyAlignment="1">
      <alignment vertical="center"/>
    </xf>
    <xf numFmtId="0" fontId="42" fillId="0" borderId="0" xfId="0" applyFont="1" applyAlignment="1">
      <alignment horizontal="right" vertical="center"/>
    </xf>
    <xf numFmtId="0" fontId="33" fillId="0" borderId="0" xfId="0" applyFont="1" applyAlignment="1">
      <alignment vertical="center"/>
    </xf>
    <xf numFmtId="178"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179" fontId="18" fillId="0" borderId="1" xfId="0" applyNumberFormat="1" applyFont="1" applyBorder="1" applyAlignment="1">
      <alignment horizontal="center" vertical="center"/>
    </xf>
    <xf numFmtId="178" fontId="13" fillId="0" borderId="1" xfId="0" applyNumberFormat="1" applyFont="1" applyBorder="1" applyAlignment="1">
      <alignment vertical="center"/>
    </xf>
    <xf numFmtId="169" fontId="13" fillId="0" borderId="1" xfId="1" applyNumberFormat="1" applyFont="1" applyFill="1" applyBorder="1" applyAlignment="1">
      <alignment horizontal="right" vertical="center" wrapText="1"/>
    </xf>
    <xf numFmtId="178" fontId="18" fillId="0" borderId="1" xfId="0" applyNumberFormat="1" applyFont="1" applyBorder="1" applyAlignment="1">
      <alignment vertical="center"/>
    </xf>
    <xf numFmtId="169" fontId="18" fillId="0" borderId="1" xfId="1" applyNumberFormat="1" applyFont="1" applyFill="1" applyBorder="1" applyAlignment="1">
      <alignment horizontal="right" vertical="center" wrapText="1"/>
    </xf>
    <xf numFmtId="178" fontId="13" fillId="0" borderId="1" xfId="0" applyNumberFormat="1" applyFont="1" applyBorder="1" applyAlignment="1">
      <alignment horizontal="center" vertical="center"/>
    </xf>
    <xf numFmtId="0" fontId="13" fillId="0" borderId="1" xfId="0" applyFont="1" applyBorder="1" applyAlignment="1">
      <alignment horizontal="left" vertical="center"/>
    </xf>
    <xf numFmtId="169" fontId="35" fillId="0" borderId="0" xfId="0" applyNumberFormat="1" applyFont="1" applyAlignment="1">
      <alignment vertical="center"/>
    </xf>
    <xf numFmtId="178" fontId="1" fillId="0" borderId="1" xfId="0" applyNumberFormat="1" applyFont="1" applyBorder="1" applyAlignment="1">
      <alignment horizontal="center" vertical="center"/>
    </xf>
    <xf numFmtId="0" fontId="21" fillId="0" borderId="1" xfId="6" applyFont="1" applyBorder="1" applyAlignment="1">
      <alignment vertical="center" wrapText="1"/>
    </xf>
    <xf numFmtId="169" fontId="1" fillId="0" borderId="1" xfId="1" applyNumberFormat="1" applyFont="1" applyFill="1" applyBorder="1" applyAlignment="1">
      <alignment horizontal="right" vertical="center" wrapText="1"/>
    </xf>
    <xf numFmtId="178" fontId="20" fillId="0" borderId="1" xfId="0" applyNumberFormat="1" applyFont="1" applyBorder="1" applyAlignment="1">
      <alignment horizontal="center" vertical="center"/>
    </xf>
    <xf numFmtId="0" fontId="20" fillId="0" borderId="1" xfId="0" applyFont="1" applyBorder="1" applyAlignment="1">
      <alignment vertical="center" wrapText="1"/>
    </xf>
    <xf numFmtId="0" fontId="62" fillId="0" borderId="0" xfId="0" applyFont="1" applyAlignment="1">
      <alignment vertical="center"/>
    </xf>
    <xf numFmtId="0" fontId="57" fillId="0" borderId="0" xfId="0" applyFont="1"/>
    <xf numFmtId="0" fontId="63" fillId="0" borderId="0" xfId="0" applyFont="1"/>
    <xf numFmtId="0" fontId="34" fillId="0" borderId="0" xfId="0" applyFont="1" applyAlignment="1">
      <alignment horizontal="center"/>
    </xf>
    <xf numFmtId="0" fontId="21" fillId="0" borderId="0" xfId="0" applyFont="1"/>
    <xf numFmtId="0" fontId="61" fillId="0" borderId="0" xfId="0" applyFont="1"/>
    <xf numFmtId="180" fontId="11" fillId="0" borderId="0" xfId="0" applyNumberFormat="1" applyFont="1" applyAlignment="1">
      <alignment vertical="center"/>
    </xf>
    <xf numFmtId="180" fontId="21" fillId="0" borderId="0" xfId="0" applyNumberFormat="1" applyFont="1" applyAlignment="1">
      <alignment horizontal="right" vertical="center"/>
    </xf>
    <xf numFmtId="180" fontId="34" fillId="0" borderId="0" xfId="0" applyNumberFormat="1" applyFont="1" applyAlignment="1">
      <alignment horizontal="center"/>
    </xf>
    <xf numFmtId="49" fontId="20" fillId="0" borderId="1" xfId="0" applyNumberFormat="1" applyFont="1" applyBorder="1" applyAlignment="1">
      <alignment horizontal="center" vertical="center" wrapText="1"/>
    </xf>
    <xf numFmtId="180" fontId="20" fillId="0" borderId="1" xfId="0" applyNumberFormat="1" applyFont="1" applyBorder="1" applyAlignment="1">
      <alignment vertical="center"/>
    </xf>
    <xf numFmtId="3" fontId="20" fillId="0" borderId="1" xfId="0" applyNumberFormat="1" applyFont="1" applyBorder="1" applyAlignment="1">
      <alignment vertical="center"/>
    </xf>
    <xf numFmtId="0" fontId="0" fillId="0" borderId="1" xfId="0" applyBorder="1"/>
    <xf numFmtId="3" fontId="20" fillId="0" borderId="1" xfId="1" applyNumberFormat="1" applyFont="1" applyBorder="1" applyAlignment="1">
      <alignment vertical="center"/>
    </xf>
    <xf numFmtId="0" fontId="12" fillId="0" borderId="1" xfId="0" applyFont="1" applyBorder="1"/>
    <xf numFmtId="49" fontId="21" fillId="0" borderId="1" xfId="0" applyNumberFormat="1" applyFont="1" applyBorder="1" applyAlignment="1">
      <alignment horizontal="center" vertical="center" wrapText="1"/>
    </xf>
    <xf numFmtId="180" fontId="21" fillId="0" borderId="1" xfId="0" applyNumberFormat="1" applyFont="1" applyBorder="1" applyAlignment="1">
      <alignment vertical="center"/>
    </xf>
    <xf numFmtId="3" fontId="21" fillId="0" borderId="1" xfId="1" applyNumberFormat="1" applyFont="1" applyBorder="1" applyAlignment="1">
      <alignment vertical="center"/>
    </xf>
    <xf numFmtId="49" fontId="36" fillId="0" borderId="1" xfId="0" applyNumberFormat="1" applyFont="1" applyBorder="1" applyAlignment="1">
      <alignment horizontal="center" vertical="center" wrapText="1"/>
    </xf>
    <xf numFmtId="3" fontId="21" fillId="0" borderId="1" xfId="0" applyNumberFormat="1" applyFont="1" applyBorder="1" applyAlignment="1">
      <alignment vertical="center"/>
    </xf>
    <xf numFmtId="0" fontId="63" fillId="0" borderId="1" xfId="0" applyFont="1" applyBorder="1"/>
    <xf numFmtId="180" fontId="63" fillId="0" borderId="0" xfId="0" applyNumberFormat="1" applyFont="1"/>
    <xf numFmtId="180" fontId="21" fillId="0" borderId="1" xfId="0" applyNumberFormat="1" applyFont="1" applyBorder="1" applyAlignment="1">
      <alignment vertical="center" wrapText="1"/>
    </xf>
    <xf numFmtId="180" fontId="20" fillId="0" borderId="1" xfId="0" applyNumberFormat="1" applyFont="1" applyBorder="1" applyAlignment="1">
      <alignment vertical="center" wrapText="1"/>
    </xf>
    <xf numFmtId="180" fontId="0" fillId="0" borderId="1" xfId="0" applyNumberFormat="1" applyBorder="1"/>
    <xf numFmtId="180" fontId="0" fillId="0" borderId="0" xfId="0" applyNumberFormat="1"/>
    <xf numFmtId="0" fontId="61" fillId="0" borderId="1" xfId="0" applyFont="1" applyBorder="1"/>
    <xf numFmtId="181" fontId="61" fillId="0" borderId="0" xfId="0" applyNumberFormat="1" applyFont="1"/>
    <xf numFmtId="0" fontId="64" fillId="0" borderId="1" xfId="0" applyFont="1" applyBorder="1" applyAlignment="1">
      <alignment horizontal="center" vertical="center"/>
    </xf>
    <xf numFmtId="169" fontId="20" fillId="0" borderId="1" xfId="1" applyNumberFormat="1" applyFont="1" applyBorder="1" applyAlignment="1">
      <alignment vertical="center"/>
    </xf>
    <xf numFmtId="180" fontId="61" fillId="0" borderId="1" xfId="0" applyNumberFormat="1" applyFont="1" applyBorder="1"/>
    <xf numFmtId="180" fontId="21" fillId="0" borderId="1" xfId="0" quotePrefix="1" applyNumberFormat="1" applyFont="1" applyBorder="1" applyAlignment="1">
      <alignment vertical="center" wrapText="1"/>
    </xf>
    <xf numFmtId="180" fontId="20" fillId="0" borderId="1" xfId="0" quotePrefix="1" applyNumberFormat="1" applyFont="1" applyBorder="1" applyAlignment="1">
      <alignment vertical="center" wrapText="1"/>
    </xf>
    <xf numFmtId="180" fontId="20" fillId="0" borderId="1" xfId="0" quotePrefix="1" applyNumberFormat="1" applyFont="1" applyBorder="1" applyAlignment="1">
      <alignment vertical="center"/>
    </xf>
    <xf numFmtId="0" fontId="34" fillId="2" borderId="7" xfId="0" quotePrefix="1" applyFont="1" applyFill="1" applyBorder="1" applyAlignment="1">
      <alignment horizontal="left" vertical="center" wrapText="1"/>
    </xf>
    <xf numFmtId="0" fontId="34" fillId="2" borderId="7" xfId="0" quotePrefix="1" applyFont="1" applyFill="1" applyBorder="1" applyAlignment="1">
      <alignment horizontal="center" vertical="center"/>
    </xf>
    <xf numFmtId="3" fontId="1" fillId="0" borderId="1" xfId="0" quotePrefix="1" applyNumberFormat="1" applyFont="1" applyBorder="1" applyAlignment="1">
      <alignment horizontal="center" vertical="center" wrapText="1"/>
    </xf>
    <xf numFmtId="0" fontId="41" fillId="2" borderId="1" xfId="0" applyFont="1" applyFill="1" applyBorder="1" applyAlignment="1">
      <alignment horizontal="center" vertical="center"/>
    </xf>
    <xf numFmtId="0" fontId="41" fillId="2" borderId="1" xfId="0" applyFont="1" applyFill="1" applyBorder="1" applyAlignment="1">
      <alignment vertical="center" wrapText="1"/>
    </xf>
    <xf numFmtId="169" fontId="1" fillId="2" borderId="1" xfId="1" applyNumberFormat="1" applyFont="1" applyFill="1" applyBorder="1" applyAlignment="1">
      <alignment horizontal="center" vertical="center"/>
    </xf>
    <xf numFmtId="168" fontId="42" fillId="2" borderId="1" xfId="0" applyNumberFormat="1" applyFont="1" applyFill="1" applyBorder="1" applyAlignment="1">
      <alignment horizontal="center" vertical="center"/>
    </xf>
    <xf numFmtId="0" fontId="34" fillId="0" borderId="0" xfId="0" applyFont="1"/>
    <xf numFmtId="0" fontId="36" fillId="0" borderId="0" xfId="0" applyFont="1" applyAlignment="1">
      <alignment horizontal="right"/>
    </xf>
    <xf numFmtId="0" fontId="34" fillId="0" borderId="2" xfId="0" applyFont="1" applyBorder="1"/>
    <xf numFmtId="0" fontId="34" fillId="0" borderId="2" xfId="0" applyFont="1" applyBorder="1" applyAlignment="1">
      <alignment horizontal="right"/>
    </xf>
    <xf numFmtId="0" fontId="33" fillId="0" borderId="4" xfId="0" applyFont="1" applyBorder="1" applyAlignment="1">
      <alignment horizontal="center" vertical="center" wrapText="1"/>
    </xf>
    <xf numFmtId="0" fontId="33" fillId="0" borderId="11" xfId="0" applyFont="1" applyBorder="1" applyAlignment="1">
      <alignment horizontal="center" vertical="center" wrapText="1"/>
    </xf>
    <xf numFmtId="3" fontId="33" fillId="0" borderId="11" xfId="0" applyNumberFormat="1" applyFont="1" applyBorder="1" applyAlignment="1">
      <alignment horizontal="right" vertical="center"/>
    </xf>
    <xf numFmtId="0" fontId="33" fillId="0" borderId="0" xfId="0" applyFont="1"/>
    <xf numFmtId="0" fontId="33" fillId="0" borderId="7" xfId="0" applyFont="1" applyBorder="1" applyAlignment="1">
      <alignment horizontal="center" vertical="center" wrapText="1"/>
    </xf>
    <xf numFmtId="0" fontId="33" fillId="0" borderId="7" xfId="0" applyFont="1" applyBorder="1" applyAlignment="1">
      <alignment horizontal="left" vertical="center" wrapText="1"/>
    </xf>
    <xf numFmtId="3" fontId="33" fillId="0" borderId="7" xfId="0" applyNumberFormat="1" applyFont="1" applyBorder="1" applyAlignment="1">
      <alignment horizontal="right" vertical="center"/>
    </xf>
    <xf numFmtId="0" fontId="34" fillId="0" borderId="7" xfId="0" applyFont="1" applyBorder="1" applyAlignment="1">
      <alignment horizontal="center" vertical="center" wrapText="1"/>
    </xf>
    <xf numFmtId="0" fontId="34" fillId="9" borderId="7" xfId="0" applyFont="1" applyFill="1" applyBorder="1" applyAlignment="1">
      <alignment vertical="center" wrapText="1"/>
    </xf>
    <xf numFmtId="3" fontId="34" fillId="0" borderId="7" xfId="0" applyNumberFormat="1" applyFont="1" applyBorder="1" applyAlignment="1">
      <alignment horizontal="right" vertical="center"/>
    </xf>
    <xf numFmtId="43" fontId="34" fillId="0" borderId="7" xfId="2" applyFont="1" applyBorder="1" applyAlignment="1">
      <alignment vertical="center"/>
    </xf>
    <xf numFmtId="0" fontId="33" fillId="0" borderId="7" xfId="0" applyFont="1" applyBorder="1" applyAlignment="1">
      <alignment vertical="center" wrapText="1"/>
    </xf>
    <xf numFmtId="169" fontId="34" fillId="0" borderId="7" xfId="2" applyNumberFormat="1" applyFont="1" applyBorder="1" applyAlignment="1">
      <alignment horizontal="right" vertical="center"/>
    </xf>
    <xf numFmtId="0" fontId="34" fillId="9" borderId="26" xfId="0" applyFont="1" applyFill="1" applyBorder="1" applyAlignment="1">
      <alignment vertical="center" wrapText="1"/>
    </xf>
    <xf numFmtId="169" fontId="34" fillId="0" borderId="26" xfId="2" applyNumberFormat="1" applyFont="1" applyBorder="1" applyAlignment="1">
      <alignment horizontal="right" vertical="center"/>
    </xf>
    <xf numFmtId="3" fontId="34" fillId="0" borderId="26" xfId="0" applyNumberFormat="1" applyFont="1" applyBorder="1" applyAlignment="1">
      <alignment horizontal="right" vertical="center"/>
    </xf>
    <xf numFmtId="43" fontId="34" fillId="0" borderId="26" xfId="2" applyFont="1" applyBorder="1" applyAlignment="1">
      <alignment vertical="center"/>
    </xf>
    <xf numFmtId="0" fontId="34" fillId="9" borderId="12" xfId="0" applyFont="1" applyFill="1" applyBorder="1" applyAlignment="1">
      <alignment vertical="center" wrapText="1"/>
    </xf>
    <xf numFmtId="3" fontId="34" fillId="0" borderId="12" xfId="0" applyNumberFormat="1" applyFont="1" applyBorder="1" applyAlignment="1">
      <alignment horizontal="right" vertical="center"/>
    </xf>
    <xf numFmtId="169" fontId="34" fillId="0" borderId="12" xfId="2" applyNumberFormat="1" applyFont="1" applyBorder="1" applyAlignment="1">
      <alignment horizontal="right" vertical="center"/>
    </xf>
    <xf numFmtId="43" fontId="34" fillId="0" borderId="12" xfId="2" applyFont="1" applyBorder="1" applyAlignment="1">
      <alignment vertical="center"/>
    </xf>
    <xf numFmtId="0" fontId="34" fillId="0" borderId="12" xfId="0" applyFont="1" applyBorder="1" applyAlignment="1">
      <alignment horizontal="center" vertical="center" wrapText="1"/>
    </xf>
    <xf numFmtId="3" fontId="33" fillId="2" borderId="1" xfId="0" applyNumberFormat="1" applyFont="1" applyFill="1" applyBorder="1" applyAlignment="1">
      <alignment horizontal="right" vertical="center"/>
    </xf>
    <xf numFmtId="0" fontId="75" fillId="2" borderId="1" xfId="0" applyFont="1" applyFill="1" applyBorder="1" applyAlignment="1">
      <alignment horizontal="center" vertical="center" wrapText="1"/>
    </xf>
    <xf numFmtId="0" fontId="76" fillId="2" borderId="1" xfId="0" quotePrefix="1" applyFont="1" applyFill="1" applyBorder="1" applyAlignment="1">
      <alignment horizontal="center" vertical="center" wrapText="1"/>
    </xf>
    <xf numFmtId="3" fontId="34" fillId="2" borderId="1" xfId="0" applyNumberFormat="1" applyFont="1" applyFill="1" applyBorder="1" applyAlignment="1">
      <alignment horizontal="right" vertical="center"/>
    </xf>
    <xf numFmtId="0" fontId="34" fillId="2" borderId="1" xfId="0" applyFont="1" applyFill="1" applyBorder="1" applyAlignment="1">
      <alignment vertical="center" wrapText="1"/>
    </xf>
    <xf numFmtId="0" fontId="34" fillId="0" borderId="1" xfId="0" applyFont="1" applyBorder="1"/>
    <xf numFmtId="0" fontId="33" fillId="0" borderId="1" xfId="0" applyFont="1" applyBorder="1"/>
    <xf numFmtId="0" fontId="34" fillId="0" borderId="1" xfId="0" applyFont="1" applyBorder="1" applyAlignment="1">
      <alignment vertical="center"/>
    </xf>
    <xf numFmtId="3" fontId="34" fillId="0" borderId="1" xfId="0" applyNumberFormat="1" applyFont="1" applyBorder="1" applyAlignment="1">
      <alignment vertical="center"/>
    </xf>
    <xf numFmtId="3" fontId="34" fillId="0" borderId="1" xfId="0" applyNumberFormat="1" applyFont="1" applyBorder="1"/>
    <xf numFmtId="0" fontId="33" fillId="2" borderId="1" xfId="0" applyFont="1" applyFill="1" applyBorder="1" applyAlignment="1">
      <alignment vertical="center" wrapText="1"/>
    </xf>
    <xf numFmtId="0" fontId="34" fillId="0" borderId="2" xfId="0" applyFont="1" applyBorder="1" applyAlignment="1">
      <alignment horizontal="center"/>
    </xf>
    <xf numFmtId="0" fontId="34" fillId="0" borderId="1" xfId="0" applyFont="1" applyBorder="1" applyAlignment="1">
      <alignment horizontal="center"/>
    </xf>
    <xf numFmtId="0" fontId="33" fillId="0" borderId="1" xfId="0" applyFont="1" applyBorder="1" applyAlignment="1">
      <alignment horizontal="center"/>
    </xf>
    <xf numFmtId="0" fontId="77" fillId="2" borderId="1" xfId="0" applyFont="1" applyFill="1" applyBorder="1" applyAlignment="1">
      <alignment horizontal="center" vertical="center" wrapText="1"/>
    </xf>
    <xf numFmtId="3" fontId="49" fillId="2" borderId="1" xfId="0" applyNumberFormat="1" applyFont="1" applyFill="1" applyBorder="1" applyAlignment="1">
      <alignment horizontal="right" vertical="center"/>
    </xf>
    <xf numFmtId="0" fontId="49" fillId="0" borderId="0" xfId="0" applyFont="1"/>
    <xf numFmtId="0" fontId="49" fillId="0" borderId="1" xfId="0" applyFont="1" applyBorder="1" applyAlignment="1">
      <alignment horizontal="center"/>
    </xf>
    <xf numFmtId="0" fontId="49" fillId="0" borderId="1" xfId="0" applyFont="1" applyBorder="1"/>
    <xf numFmtId="0" fontId="47" fillId="0" borderId="0" xfId="0" applyFont="1"/>
    <xf numFmtId="3" fontId="49" fillId="0" borderId="1" xfId="0" applyNumberFormat="1" applyFont="1" applyBorder="1"/>
    <xf numFmtId="3" fontId="33" fillId="0" borderId="1" xfId="0" applyNumberFormat="1" applyFont="1" applyBorder="1"/>
    <xf numFmtId="0" fontId="49" fillId="2" borderId="1" xfId="0" applyFont="1" applyFill="1" applyBorder="1" applyAlignment="1">
      <alignment vertical="center" wrapText="1"/>
    </xf>
    <xf numFmtId="0" fontId="21" fillId="0" borderId="11" xfId="0" applyFont="1" applyBorder="1" applyAlignment="1">
      <alignment horizontal="center" vertical="center" wrapText="1"/>
    </xf>
    <xf numFmtId="0" fontId="21" fillId="0" borderId="11" xfId="0" applyFont="1" applyBorder="1" applyAlignment="1">
      <alignment vertical="center" wrapText="1"/>
    </xf>
    <xf numFmtId="3" fontId="21" fillId="0" borderId="11" xfId="0" applyNumberFormat="1" applyFont="1" applyBorder="1" applyAlignment="1">
      <alignment horizontal="right" vertical="center"/>
    </xf>
    <xf numFmtId="3" fontId="20" fillId="0" borderId="11" xfId="0" applyNumberFormat="1" applyFont="1" applyBorder="1" applyAlignment="1">
      <alignment horizontal="right" vertical="center"/>
    </xf>
    <xf numFmtId="43" fontId="42" fillId="0" borderId="21" xfId="0" applyNumberFormat="1" applyFont="1" applyBorder="1" applyAlignment="1">
      <alignment horizontal="right" vertical="center"/>
    </xf>
    <xf numFmtId="180" fontId="11" fillId="9" borderId="0" xfId="0" applyNumberFormat="1" applyFont="1" applyFill="1" applyAlignment="1">
      <alignment horizontal="center" vertical="center"/>
    </xf>
    <xf numFmtId="180" fontId="31" fillId="9" borderId="0" xfId="0" applyNumberFormat="1" applyFont="1" applyFill="1" applyAlignment="1">
      <alignment horizontal="center" vertical="center" wrapText="1"/>
    </xf>
    <xf numFmtId="180" fontId="36" fillId="0" borderId="2" xfId="0" applyNumberFormat="1" applyFont="1" applyBorder="1" applyAlignment="1">
      <alignment horizontal="right" vertical="center"/>
    </xf>
    <xf numFmtId="177" fontId="20" fillId="0" borderId="3" xfId="16" applyNumberFormat="1" applyFont="1" applyBorder="1" applyAlignment="1">
      <alignment horizontal="center" vertical="center" wrapText="1"/>
    </xf>
    <xf numFmtId="177" fontId="20" fillId="0" borderId="4" xfId="16" applyNumberFormat="1" applyFont="1" applyBorder="1" applyAlignment="1">
      <alignment horizontal="center" vertical="center" wrapText="1"/>
    </xf>
    <xf numFmtId="0" fontId="11" fillId="0" borderId="0" xfId="0" applyFont="1" applyAlignment="1">
      <alignment horizontal="center" vertical="center" wrapText="1"/>
    </xf>
    <xf numFmtId="0" fontId="31" fillId="0" borderId="0" xfId="0" applyFont="1" applyAlignment="1">
      <alignment horizontal="center" vertical="center" wrapText="1"/>
    </xf>
    <xf numFmtId="170" fontId="36" fillId="0" borderId="2" xfId="0" applyNumberFormat="1" applyFont="1" applyBorder="1" applyAlignment="1">
      <alignment horizontal="right" vertical="center"/>
    </xf>
    <xf numFmtId="0" fontId="21" fillId="0" borderId="0" xfId="0" applyFont="1" applyAlignment="1">
      <alignment horizontal="left" vertical="center" wrapText="1"/>
    </xf>
    <xf numFmtId="0" fontId="21" fillId="0" borderId="0" xfId="0" applyFont="1" applyAlignment="1">
      <alignment horizontal="left" vertical="center"/>
    </xf>
    <xf numFmtId="177" fontId="13" fillId="0" borderId="1" xfId="16" applyNumberFormat="1" applyFont="1" applyBorder="1" applyAlignment="1">
      <alignment horizontal="center" vertical="center" wrapText="1"/>
    </xf>
    <xf numFmtId="168" fontId="20" fillId="2" borderId="0" xfId="0" applyNumberFormat="1" applyFont="1" applyFill="1" applyAlignment="1">
      <alignment horizontal="right" vertical="center"/>
    </xf>
    <xf numFmtId="0" fontId="11" fillId="2" borderId="0" xfId="0" applyFont="1" applyFill="1" applyAlignment="1">
      <alignment horizontal="center" vertical="center"/>
    </xf>
    <xf numFmtId="0" fontId="31" fillId="2" borderId="0" xfId="0" applyFont="1" applyFill="1" applyAlignment="1">
      <alignment horizontal="center" vertical="center" wrapText="1"/>
    </xf>
    <xf numFmtId="168" fontId="36" fillId="2" borderId="2" xfId="0" applyNumberFormat="1" applyFont="1" applyFill="1" applyBorder="1" applyAlignment="1">
      <alignment horizontal="right" vertical="center"/>
    </xf>
    <xf numFmtId="0" fontId="41" fillId="2" borderId="0" xfId="0" applyFont="1" applyFill="1" applyAlignment="1">
      <alignment horizontal="right"/>
    </xf>
    <xf numFmtId="0" fontId="11" fillId="2" borderId="0" xfId="0" applyFont="1" applyFill="1" applyAlignment="1">
      <alignment horizontal="center" vertical="center" wrapText="1"/>
    </xf>
    <xf numFmtId="0" fontId="10" fillId="2" borderId="0" xfId="0" applyFont="1" applyFill="1" applyAlignment="1">
      <alignment horizontal="center" vertical="center" wrapText="1"/>
    </xf>
    <xf numFmtId="0" fontId="41" fillId="2" borderId="8" xfId="0" applyFont="1" applyFill="1" applyBorder="1" applyAlignment="1">
      <alignment horizontal="center" vertical="center"/>
    </xf>
    <xf numFmtId="0" fontId="41" fillId="2" borderId="9" xfId="0" applyFont="1" applyFill="1" applyBorder="1" applyAlignment="1">
      <alignment horizontal="center" vertical="center"/>
    </xf>
    <xf numFmtId="0" fontId="41" fillId="2" borderId="10" xfId="0" applyFont="1" applyFill="1" applyBorder="1" applyAlignment="1">
      <alignment horizontal="center" vertical="center"/>
    </xf>
    <xf numFmtId="0" fontId="33" fillId="2" borderId="1"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33" fillId="2" borderId="4" xfId="0" applyFont="1" applyFill="1" applyBorder="1" applyAlignment="1">
      <alignment horizontal="center" vertical="center" wrapText="1"/>
    </xf>
    <xf numFmtId="176" fontId="33" fillId="2" borderId="1" xfId="0" applyNumberFormat="1" applyFont="1" applyFill="1" applyBorder="1" applyAlignment="1">
      <alignment horizontal="center" vertical="center" wrapText="1"/>
    </xf>
    <xf numFmtId="0" fontId="41" fillId="0" borderId="17" xfId="0" applyFont="1" applyBorder="1" applyAlignment="1">
      <alignment horizontal="center" vertical="center" wrapText="1"/>
    </xf>
    <xf numFmtId="0" fontId="39" fillId="0" borderId="22" xfId="0" applyFont="1" applyBorder="1"/>
    <xf numFmtId="0" fontId="39" fillId="0" borderId="18" xfId="0" applyFont="1" applyBorder="1"/>
    <xf numFmtId="0" fontId="20" fillId="8" borderId="16" xfId="0" applyFont="1" applyFill="1" applyBorder="1" applyAlignment="1">
      <alignment horizontal="center" vertical="center"/>
    </xf>
    <xf numFmtId="0" fontId="39" fillId="2" borderId="19" xfId="0" applyFont="1" applyFill="1" applyBorder="1"/>
    <xf numFmtId="0" fontId="41" fillId="0" borderId="16" xfId="0" applyFont="1" applyBorder="1" applyAlignment="1">
      <alignment horizontal="center" vertical="center"/>
    </xf>
    <xf numFmtId="0" fontId="39" fillId="0" borderId="19" xfId="0" applyFont="1" applyBorder="1"/>
    <xf numFmtId="0" fontId="39" fillId="0" borderId="20" xfId="0" applyFont="1" applyBorder="1"/>
    <xf numFmtId="169" fontId="41" fillId="0" borderId="16" xfId="0" applyNumberFormat="1" applyFont="1" applyBorder="1" applyAlignment="1">
      <alignment horizontal="center" vertical="center" wrapText="1"/>
    </xf>
    <xf numFmtId="0" fontId="41" fillId="0" borderId="16" xfId="0" applyFont="1" applyBorder="1" applyAlignment="1">
      <alignment horizontal="center" vertical="center" wrapText="1"/>
    </xf>
    <xf numFmtId="169" fontId="41" fillId="0" borderId="17" xfId="0" applyNumberFormat="1" applyFont="1" applyBorder="1" applyAlignment="1">
      <alignment horizontal="center" vertical="center" wrapText="1"/>
    </xf>
    <xf numFmtId="169" fontId="41" fillId="0" borderId="23" xfId="0" applyNumberFormat="1" applyFont="1" applyBorder="1" applyAlignment="1">
      <alignment horizontal="center" vertical="center" wrapText="1"/>
    </xf>
    <xf numFmtId="0" fontId="39" fillId="0" borderId="24" xfId="0" applyFont="1" applyBorder="1"/>
    <xf numFmtId="0" fontId="39" fillId="0" borderId="25" xfId="0" applyFont="1" applyBorder="1"/>
    <xf numFmtId="0" fontId="41" fillId="0" borderId="23" xfId="0" applyFont="1" applyBorder="1" applyAlignment="1">
      <alignment horizontal="center" vertical="center" wrapText="1"/>
    </xf>
    <xf numFmtId="0" fontId="11" fillId="8" borderId="0" xfId="0" applyFont="1" applyFill="1" applyAlignment="1">
      <alignment horizontal="center" vertical="center"/>
    </xf>
    <xf numFmtId="0" fontId="39" fillId="2" borderId="0" xfId="0" applyFont="1" applyFill="1"/>
    <xf numFmtId="0" fontId="40" fillId="2" borderId="0" xfId="0" applyFont="1" applyFill="1" applyAlignment="1">
      <alignment horizontal="center"/>
    </xf>
    <xf numFmtId="0" fontId="41" fillId="0" borderId="17" xfId="0" applyFont="1" applyBorder="1" applyAlignment="1">
      <alignment horizontal="center" vertical="center"/>
    </xf>
    <xf numFmtId="0" fontId="35" fillId="2" borderId="0" xfId="0" applyFont="1" applyFill="1" applyAlignment="1">
      <alignment horizontal="center" vertical="center"/>
    </xf>
    <xf numFmtId="0" fontId="36" fillId="2" borderId="0" xfId="0" applyFont="1" applyFill="1" applyAlignment="1">
      <alignment horizontal="center"/>
    </xf>
    <xf numFmtId="0" fontId="36" fillId="2" borderId="2" xfId="0" applyFont="1" applyFill="1" applyBorder="1" applyAlignment="1">
      <alignment horizontal="right"/>
    </xf>
    <xf numFmtId="0" fontId="33" fillId="2" borderId="8"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1" fillId="0" borderId="0" xfId="0" applyFont="1" applyAlignment="1">
      <alignment horizontal="center"/>
    </xf>
    <xf numFmtId="0" fontId="33" fillId="0" borderId="8" xfId="0" applyFont="1" applyBorder="1" applyAlignment="1">
      <alignment horizontal="center" vertical="center" wrapText="1"/>
    </xf>
    <xf numFmtId="0" fontId="33" fillId="0" borderId="9"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4" xfId="0" applyFont="1" applyBorder="1" applyAlignment="1">
      <alignment horizontal="center" vertical="center" wrapText="1"/>
    </xf>
    <xf numFmtId="0" fontId="34" fillId="2" borderId="3" xfId="0" applyFont="1" applyFill="1" applyBorder="1" applyAlignment="1">
      <alignment vertical="center" wrapText="1"/>
    </xf>
    <xf numFmtId="0" fontId="34" fillId="2" borderId="4" xfId="0" applyFont="1" applyFill="1" applyBorder="1" applyAlignment="1">
      <alignment vertical="center" wrapText="1"/>
    </xf>
    <xf numFmtId="0" fontId="33" fillId="0" borderId="1" xfId="0" applyFont="1" applyBorder="1" applyAlignment="1">
      <alignment horizontal="center" vertical="center" wrapText="1"/>
    </xf>
    <xf numFmtId="0" fontId="11" fillId="0" borderId="0" xfId="0" applyFont="1" applyAlignment="1">
      <alignment horizontal="center" vertical="center"/>
    </xf>
    <xf numFmtId="0" fontId="20" fillId="0" borderId="1"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169" fontId="27" fillId="0" borderId="8" xfId="1" applyNumberFormat="1" applyFont="1" applyFill="1" applyBorder="1" applyAlignment="1" applyProtection="1">
      <alignment horizontal="center" vertical="center" wrapText="1"/>
    </xf>
    <xf numFmtId="169" fontId="27" fillId="0" borderId="10" xfId="1" applyNumberFormat="1" applyFont="1" applyFill="1" applyBorder="1" applyAlignment="1" applyProtection="1">
      <alignment horizontal="center" vertical="center" wrapText="1"/>
    </xf>
    <xf numFmtId="169" fontId="27" fillId="0" borderId="9" xfId="1" applyNumberFormat="1" applyFont="1" applyFill="1" applyBorder="1" applyAlignment="1" applyProtection="1">
      <alignment horizontal="center" vertical="center" wrapText="1"/>
    </xf>
    <xf numFmtId="167" fontId="27" fillId="0" borderId="3" xfId="13" applyNumberFormat="1" applyFont="1" applyBorder="1" applyAlignment="1">
      <alignment horizontal="center" vertical="center" wrapText="1"/>
    </xf>
    <xf numFmtId="167" fontId="27" fillId="0" borderId="15" xfId="13" applyNumberFormat="1" applyFont="1" applyBorder="1" applyAlignment="1">
      <alignment horizontal="center" vertical="center" wrapText="1"/>
    </xf>
    <xf numFmtId="167" fontId="27" fillId="0" borderId="4" xfId="13" applyNumberFormat="1" applyFont="1" applyBorder="1" applyAlignment="1">
      <alignment horizontal="center" vertical="center" wrapText="1"/>
    </xf>
    <xf numFmtId="43" fontId="27" fillId="2" borderId="3" xfId="1" applyFont="1" applyFill="1" applyBorder="1" applyAlignment="1">
      <alignment horizontal="center" vertical="center" wrapText="1"/>
    </xf>
    <xf numFmtId="43" fontId="27" fillId="2" borderId="4" xfId="1" applyFont="1" applyFill="1" applyBorder="1" applyAlignment="1">
      <alignment horizontal="center" vertical="center" wrapText="1"/>
    </xf>
    <xf numFmtId="169" fontId="27" fillId="0" borderId="3" xfId="1" applyNumberFormat="1" applyFont="1" applyFill="1" applyBorder="1" applyAlignment="1" applyProtection="1">
      <alignment horizontal="center" vertical="center" wrapText="1"/>
    </xf>
    <xf numFmtId="169" fontId="27" fillId="0" borderId="4" xfId="1" applyNumberFormat="1" applyFont="1" applyFill="1" applyBorder="1" applyAlignment="1" applyProtection="1">
      <alignment horizontal="center" vertical="center" wrapText="1"/>
    </xf>
    <xf numFmtId="0" fontId="31" fillId="0" borderId="0" xfId="13" applyFont="1" applyAlignment="1">
      <alignment horizontal="center"/>
    </xf>
    <xf numFmtId="0" fontId="10" fillId="0" borderId="0" xfId="0" applyFont="1" applyAlignment="1">
      <alignment horizontal="center" vertical="center" wrapText="1"/>
    </xf>
    <xf numFmtId="0" fontId="27" fillId="2" borderId="8" xfId="13" applyFont="1" applyFill="1" applyBorder="1" applyAlignment="1">
      <alignment horizontal="center" vertical="center" wrapText="1"/>
    </xf>
    <xf numFmtId="0" fontId="27" fillId="2" borderId="10" xfId="13" applyFont="1" applyFill="1" applyBorder="1" applyAlignment="1">
      <alignment horizontal="center" vertical="center" wrapText="1"/>
    </xf>
    <xf numFmtId="0" fontId="27" fillId="2" borderId="9" xfId="13" applyFont="1" applyFill="1" applyBorder="1" applyAlignment="1">
      <alignment horizontal="center" vertical="center" wrapText="1"/>
    </xf>
    <xf numFmtId="171" fontId="1" fillId="0" borderId="0" xfId="0" applyNumberFormat="1" applyFont="1" applyAlignment="1">
      <alignment horizontal="left"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171" fontId="13" fillId="0" borderId="1" xfId="0" applyNumberFormat="1" applyFont="1" applyBorder="1" applyAlignment="1">
      <alignment horizontal="center" vertical="center"/>
    </xf>
    <xf numFmtId="171" fontId="13" fillId="0" borderId="3" xfId="0" applyNumberFormat="1" applyFont="1" applyBorder="1" applyAlignment="1">
      <alignment horizontal="center" vertical="center" wrapText="1"/>
    </xf>
    <xf numFmtId="171" fontId="13" fillId="0" borderId="4" xfId="0" applyNumberFormat="1" applyFont="1" applyBorder="1" applyAlignment="1">
      <alignment horizontal="center" vertical="center" wrapText="1"/>
    </xf>
    <xf numFmtId="171" fontId="13" fillId="0" borderId="0" xfId="0" applyNumberFormat="1" applyFont="1" applyAlignment="1">
      <alignment horizontal="center"/>
    </xf>
    <xf numFmtId="171" fontId="23" fillId="0" borderId="0" xfId="0" applyNumberFormat="1" applyFont="1" applyAlignment="1">
      <alignment horizontal="center"/>
    </xf>
    <xf numFmtId="171" fontId="13" fillId="0" borderId="8" xfId="0" applyNumberFormat="1" applyFont="1" applyBorder="1" applyAlignment="1">
      <alignment horizontal="center" vertical="center"/>
    </xf>
    <xf numFmtId="171" fontId="13" fillId="0" borderId="9" xfId="0" applyNumberFormat="1" applyFont="1" applyBorder="1" applyAlignment="1">
      <alignment horizontal="center" vertical="center"/>
    </xf>
    <xf numFmtId="171" fontId="13" fillId="0" borderId="10" xfId="0" applyNumberFormat="1" applyFont="1" applyBorder="1" applyAlignment="1">
      <alignment horizontal="center" vertical="center"/>
    </xf>
    <xf numFmtId="171" fontId="13" fillId="0" borderId="1" xfId="0" applyNumberFormat="1" applyFont="1" applyBorder="1" applyAlignment="1">
      <alignment horizontal="center" vertical="center" wrapText="1"/>
    </xf>
    <xf numFmtId="171" fontId="13" fillId="0" borderId="4" xfId="0" applyNumberFormat="1" applyFont="1" applyBorder="1" applyAlignment="1">
      <alignment horizontal="center" vertical="center"/>
    </xf>
    <xf numFmtId="171" fontId="18" fillId="0" borderId="2" xfId="0" applyNumberFormat="1" applyFont="1" applyBorder="1" applyAlignment="1">
      <alignment horizontal="center"/>
    </xf>
    <xf numFmtId="0" fontId="5" fillId="0" borderId="0" xfId="0" applyFont="1" applyAlignment="1">
      <alignment horizontal="right" vertical="center"/>
    </xf>
    <xf numFmtId="0" fontId="5" fillId="0" borderId="0" xfId="0" applyFont="1" applyAlignment="1">
      <alignment horizontal="center" vertical="center"/>
    </xf>
    <xf numFmtId="0" fontId="6" fillId="0" borderId="5" xfId="0" applyFont="1" applyBorder="1" applyAlignment="1">
      <alignment horizontal="right" vertical="center"/>
    </xf>
    <xf numFmtId="167" fontId="8" fillId="0" borderId="1" xfId="0" applyNumberFormat="1" applyFont="1" applyBorder="1" applyAlignment="1">
      <alignment vertical="center" wrapText="1"/>
    </xf>
    <xf numFmtId="0" fontId="18" fillId="0" borderId="0" xfId="0" applyFont="1" applyAlignment="1">
      <alignment horizontal="left" vertical="top"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xf>
    <xf numFmtId="0" fontId="6" fillId="0" borderId="2" xfId="0" applyFont="1" applyBorder="1" applyAlignment="1">
      <alignment horizontal="right" vertical="center"/>
    </xf>
    <xf numFmtId="166" fontId="5" fillId="0" borderId="1"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1" fillId="0" borderId="0" xfId="10" applyFont="1" applyAlignment="1">
      <alignment horizontal="center"/>
    </xf>
    <xf numFmtId="0" fontId="11" fillId="0" borderId="0" xfId="10" applyFont="1" applyAlignment="1">
      <alignment horizontal="left"/>
    </xf>
    <xf numFmtId="3" fontId="10" fillId="0" borderId="0" xfId="8" applyNumberFormat="1" applyFont="1" applyAlignment="1">
      <alignment horizontal="center" vertical="center" wrapText="1"/>
    </xf>
    <xf numFmtId="0" fontId="13" fillId="0" borderId="0" xfId="0" applyFont="1" applyAlignment="1">
      <alignment horizontal="right"/>
    </xf>
    <xf numFmtId="0" fontId="4" fillId="0" borderId="0" xfId="0" applyFont="1" applyAlignment="1">
      <alignment horizontal="left"/>
    </xf>
    <xf numFmtId="0" fontId="12" fillId="0" borderId="0" xfId="0" applyFont="1" applyAlignment="1">
      <alignment horizontal="right"/>
    </xf>
  </cellXfs>
  <cellStyles count="19">
    <cellStyle name="Comma" xfId="1" builtinId="3"/>
    <cellStyle name="Comma 3" xfId="2" xr:uid="{00000000-0005-0000-0000-000031000000}"/>
    <cellStyle name="Comma 4" xfId="3" xr:uid="{00000000-0005-0000-0000-000032000000}"/>
    <cellStyle name="Comma 5" xfId="4" xr:uid="{00000000-0005-0000-0000-000033000000}"/>
    <cellStyle name="Normal" xfId="0" builtinId="0"/>
    <cellStyle name="Normal 10" xfId="5" xr:uid="{00000000-0005-0000-0000-000034000000}"/>
    <cellStyle name="Normal 10 2 24" xfId="6" xr:uid="{00000000-0005-0000-0000-000035000000}"/>
    <cellStyle name="Normal 14" xfId="7" xr:uid="{00000000-0005-0000-0000-000036000000}"/>
    <cellStyle name="Normal 17" xfId="8" xr:uid="{00000000-0005-0000-0000-000037000000}"/>
    <cellStyle name="Normal 2" xfId="9" xr:uid="{00000000-0005-0000-0000-000038000000}"/>
    <cellStyle name="Normal 2 2" xfId="10" xr:uid="{00000000-0005-0000-0000-000039000000}"/>
    <cellStyle name="Normal 2 3 2" xfId="11" xr:uid="{00000000-0005-0000-0000-00003A000000}"/>
    <cellStyle name="Normal 7" xfId="12" xr:uid="{00000000-0005-0000-0000-00003B000000}"/>
    <cellStyle name="Normal 8" xfId="13" xr:uid="{00000000-0005-0000-0000-00003C000000}"/>
    <cellStyle name="Normal_A151020 Bieu bo sung co muc tieu von SN nam 2016" xfId="14" xr:uid="{00000000-0005-0000-0000-00003D000000}"/>
    <cellStyle name="Normal_Bieu mau (CV )" xfId="15" xr:uid="{00000000-0005-0000-0000-00003E000000}"/>
    <cellStyle name="Normal_Sheet1" xfId="16" xr:uid="{00000000-0005-0000-0000-00003F000000}"/>
    <cellStyle name="th" xfId="17" xr:uid="{00000000-0005-0000-0000-000040000000}"/>
    <cellStyle name="th 2" xfId="18" xr:uid="{00000000-0005-0000-0000-00004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38100</xdr:rowOff>
    </xdr:from>
    <xdr:to>
      <xdr:col>1</xdr:col>
      <xdr:colOff>0</xdr:colOff>
      <xdr:row>1</xdr:row>
      <xdr:rowOff>212834</xdr:rowOff>
    </xdr:to>
    <xdr:sp macro="" textlink="">
      <xdr:nvSpPr>
        <xdr:cNvPr id="2" name="Text Box 2">
          <a:extLst>
            <a:ext uri="{FF2B5EF4-FFF2-40B4-BE49-F238E27FC236}">
              <a16:creationId xmlns:a16="http://schemas.microsoft.com/office/drawing/2014/main" id="{00000000-0008-0000-0200-000002000000}"/>
            </a:ext>
          </a:extLst>
        </xdr:cNvPr>
        <xdr:cNvSpPr txBox="1">
          <a:spLocks noChangeArrowheads="1"/>
        </xdr:cNvSpPr>
      </xdr:nvSpPr>
      <xdr:spPr>
        <a:xfrm>
          <a:off x="466725" y="314325"/>
          <a:ext cx="0" cy="174625"/>
        </a:xfrm>
        <a:prstGeom prst="rect">
          <a:avLst/>
        </a:prstGeom>
        <a:solidFill>
          <a:srgbClr val="FFFFFF"/>
        </a:solidFill>
        <a:ln w="9525">
          <a:solidFill>
            <a:srgbClr val="FFFFFF"/>
          </a:solidFill>
          <a:miter lim="800000"/>
        </a:ln>
      </xdr:spPr>
      <xdr:txBody>
        <a:bodyPr vertOverflow="clip" wrap="square" lIns="27432" tIns="22860" rIns="27432" bIns="0" anchor="t" upright="1"/>
        <a:lstStyle/>
        <a:p>
          <a:pPr algn="ctr" rtl="0">
            <a:defRPr sz="1000"/>
          </a:pPr>
          <a:r>
            <a:rPr lang="en-US" sz="1000" b="1" i="0" strike="noStrike">
              <a:solidFill>
                <a:srgbClr val="000000"/>
              </a:solidFill>
              <a:latin typeface=".VnTime"/>
            </a:rPr>
            <a:t>Phô biÓu sè: 04</a:t>
          </a:r>
        </a:p>
      </xdr:txBody>
    </xdr:sp>
    <xdr:clientData/>
  </xdr:twoCellAnchor>
  <xdr:twoCellAnchor>
    <xdr:from>
      <xdr:col>1</xdr:col>
      <xdr:colOff>0</xdr:colOff>
      <xdr:row>1</xdr:row>
      <xdr:rowOff>76200</xdr:rowOff>
    </xdr:from>
    <xdr:to>
      <xdr:col>1</xdr:col>
      <xdr:colOff>0</xdr:colOff>
      <xdr:row>2</xdr:row>
      <xdr:rowOff>0</xdr:rowOff>
    </xdr:to>
    <xdr:sp macro="" textlink="">
      <xdr:nvSpPr>
        <xdr:cNvPr id="3" name="Text Box 3">
          <a:extLst>
            <a:ext uri="{FF2B5EF4-FFF2-40B4-BE49-F238E27FC236}">
              <a16:creationId xmlns:a16="http://schemas.microsoft.com/office/drawing/2014/main" id="{00000000-0008-0000-0200-000003000000}"/>
            </a:ext>
          </a:extLst>
        </xdr:cNvPr>
        <xdr:cNvSpPr txBox="1">
          <a:spLocks noChangeArrowheads="1"/>
        </xdr:cNvSpPr>
      </xdr:nvSpPr>
      <xdr:spPr>
        <a:xfrm>
          <a:off x="466725" y="352425"/>
          <a:ext cx="0" cy="200025"/>
        </a:xfrm>
        <a:prstGeom prst="rect">
          <a:avLst/>
        </a:prstGeom>
        <a:solidFill>
          <a:srgbClr val="FFFFFF"/>
        </a:solidFill>
        <a:ln w="9525">
          <a:solidFill>
            <a:srgbClr val="FFFFFF"/>
          </a:solidFill>
          <a:miter lim="800000"/>
        </a:ln>
      </xdr:spPr>
      <xdr:txBody>
        <a:bodyPr vertOverflow="clip" wrap="square" lIns="27432" tIns="22860" rIns="27432" bIns="0" anchor="t" upright="1"/>
        <a:lstStyle/>
        <a:p>
          <a:pPr algn="ctr" rtl="0">
            <a:defRPr sz="1000"/>
          </a:pPr>
          <a:r>
            <a:rPr lang="en-US" sz="1000" b="1" i="0" strike="noStrike">
              <a:solidFill>
                <a:srgbClr val="000000"/>
              </a:solidFill>
              <a:latin typeface=".VnTime"/>
            </a:rPr>
            <a:t>Phô biÓu sè: 03</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192;I%20LI&#7878;U%20HOA\PH&#210;NG%20QLNS\D&#7920;%20TO&#193;N%20C&#193;C%20N&#258;M\N&#259;m%202025\DT%20tr&#236;nh%20H&#272;ND%20(02.12.2024)\DT%20NQ%20D&#7921;%20to&#225;n%202025%20(03.12.20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Documents\Zalo%20Received%20Files\&#272;i&#7873;u%20ch&#7881;nh%20d&#7921;%20to&#225;n%20chi%20kh&#7889;i%20huy&#7879;n%20(14.6.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Documents\Zalo%20Received%20Files\CQ\Giang%20syt%20Dieuchinhdutoan.3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Documents\Zalo%20Received%20Files\1.%20D&#7921;%20to&#225;n%20t&#7893;ng%20h&#7907;p%2035,37,38%20N&#272;%2031%20HCSN%2010.7.25%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 2,1"/>
      <sheetName val="bieu 2,2"/>
      <sheetName val="bieu 2,3"/>
      <sheetName val="biểu 2,4"/>
      <sheetName val="Biểu 2,5"/>
      <sheetName val="bieu 2,6"/>
      <sheetName val="bieu 2.7"/>
      <sheetName val="biểu 2,8"/>
      <sheetName val="Chi khối huyện"/>
      <sheetName val="Sheet1"/>
    </sheetNames>
    <sheetDataSet>
      <sheetData sheetId="0" refreshError="1"/>
      <sheetData sheetId="1" refreshError="1"/>
      <sheetData sheetId="2" refreshError="1">
        <row r="39">
          <cell r="B39" t="str">
            <v>Chi từ nguồn viện trợ, huy động, 
đóng góp</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4"/>
      <sheetName val="Tổng "/>
      <sheetName val="Thu "/>
      <sheetName val="Giáo dục"/>
      <sheetName val="TPTN"/>
      <sheetName val="Đại Từ"/>
      <sheetName val="Phổ Yên"/>
      <sheetName val="Phú Bình"/>
      <sheetName val="Đồng Hỷ"/>
      <sheetName val="Sông Công"/>
      <sheetName val="Phú Lương"/>
      <sheetName val="Định Hoá - xã "/>
      <sheetName val="Định Hoá - Huyện"/>
      <sheetName val="Võ Nhai"/>
      <sheetName val="06"/>
      <sheetName val="07"/>
      <sheetName val="08"/>
      <sheetName val="09"/>
      <sheetName val="10"/>
      <sheetName val="11"/>
      <sheetName val="Sheet12"/>
    </sheetNames>
    <sheetDataSet>
      <sheetData sheetId="0"/>
      <sheetData sheetId="1">
        <row r="7">
          <cell r="I7">
            <v>269229.65999999997</v>
          </cell>
        </row>
        <row r="8">
          <cell r="D8">
            <v>16799.655999999999</v>
          </cell>
          <cell r="F8">
            <v>48168.925000000003</v>
          </cell>
          <cell r="G8">
            <v>284466.016</v>
          </cell>
          <cell r="J8">
            <v>12674.906000000001</v>
          </cell>
          <cell r="K8">
            <v>362109.50300000003</v>
          </cell>
          <cell r="N8">
            <v>284466.016</v>
          </cell>
          <cell r="R8">
            <v>0</v>
          </cell>
          <cell r="S8">
            <v>1476.585</v>
          </cell>
          <cell r="T8">
            <v>3164.223</v>
          </cell>
        </row>
        <row r="9">
          <cell r="D9">
            <v>15823.05</v>
          </cell>
          <cell r="F9">
            <v>30555.393</v>
          </cell>
          <cell r="G9">
            <v>125252.285</v>
          </cell>
          <cell r="J9">
            <v>1612.3530000000001</v>
          </cell>
          <cell r="K9">
            <v>173241.87100000001</v>
          </cell>
          <cell r="N9">
            <v>125252.285</v>
          </cell>
          <cell r="R9">
            <v>0</v>
          </cell>
          <cell r="S9">
            <v>950.40800000000002</v>
          </cell>
          <cell r="T9">
            <v>0</v>
          </cell>
        </row>
        <row r="10">
          <cell r="D10">
            <v>8485.5519999999997</v>
          </cell>
          <cell r="F10">
            <v>35843.044999999998</v>
          </cell>
          <cell r="G10">
            <v>148502.79</v>
          </cell>
          <cell r="J10">
            <v>3812.9189999999999</v>
          </cell>
          <cell r="K10">
            <v>196644.30600000001</v>
          </cell>
          <cell r="N10">
            <v>148502.79</v>
          </cell>
          <cell r="R10">
            <v>0</v>
          </cell>
          <cell r="S10">
            <v>954.23599999999999</v>
          </cell>
          <cell r="T10">
            <v>0</v>
          </cell>
        </row>
        <row r="11">
          <cell r="D11">
            <v>6262.5039999999999</v>
          </cell>
          <cell r="F11">
            <v>33361.671000000002</v>
          </cell>
          <cell r="G11">
            <v>94384.680999999997</v>
          </cell>
          <cell r="J11">
            <v>88.453999999999994</v>
          </cell>
          <cell r="K11">
            <v>134096.92600000001</v>
          </cell>
          <cell r="N11">
            <v>94384.680999999997</v>
          </cell>
          <cell r="R11">
            <v>0</v>
          </cell>
          <cell r="S11">
            <v>786.66499999999996</v>
          </cell>
          <cell r="T11">
            <v>0</v>
          </cell>
        </row>
        <row r="12">
          <cell r="D12">
            <v>4524.46</v>
          </cell>
          <cell r="F12">
            <v>14899.018</v>
          </cell>
          <cell r="G12">
            <v>58250.207000000002</v>
          </cell>
          <cell r="J12">
            <v>18572.703000000001</v>
          </cell>
          <cell r="K12">
            <v>96246.388000000006</v>
          </cell>
          <cell r="N12">
            <v>58250.207000000002</v>
          </cell>
          <cell r="R12">
            <v>0</v>
          </cell>
          <cell r="S12">
            <v>517.23900000000003</v>
          </cell>
          <cell r="T12">
            <v>11923.982</v>
          </cell>
        </row>
        <row r="13">
          <cell r="D13">
            <v>8533.9959999999992</v>
          </cell>
          <cell r="F13">
            <v>25823.682000000001</v>
          </cell>
          <cell r="G13">
            <v>103017.97199999999</v>
          </cell>
          <cell r="J13">
            <v>3323.46</v>
          </cell>
          <cell r="K13">
            <v>140699.10999999999</v>
          </cell>
          <cell r="N13">
            <v>103017.97199999999</v>
          </cell>
          <cell r="R13">
            <v>0</v>
          </cell>
          <cell r="S13">
            <v>746.74699999999996</v>
          </cell>
          <cell r="T13">
            <v>0</v>
          </cell>
        </row>
        <row r="14">
          <cell r="D14">
            <v>5091.5519999999997</v>
          </cell>
          <cell r="F14">
            <v>20457</v>
          </cell>
          <cell r="G14">
            <v>59310.741000000002</v>
          </cell>
          <cell r="J14">
            <v>3427.221</v>
          </cell>
          <cell r="K14">
            <v>88287.513999999996</v>
          </cell>
          <cell r="N14">
            <v>59310.741000000002</v>
          </cell>
          <cell r="R14">
            <v>0</v>
          </cell>
          <cell r="S14">
            <v>574.13699999999994</v>
          </cell>
          <cell r="T14">
            <v>0</v>
          </cell>
        </row>
        <row r="15">
          <cell r="D15">
            <v>10764.008</v>
          </cell>
          <cell r="F15">
            <v>23095.536</v>
          </cell>
          <cell r="G15">
            <v>144523.83600000001</v>
          </cell>
          <cell r="J15">
            <v>4569.3860000000004</v>
          </cell>
          <cell r="K15">
            <v>182952.766</v>
          </cell>
          <cell r="N15">
            <v>138869.83600000001</v>
          </cell>
          <cell r="R15">
            <v>0</v>
          </cell>
          <cell r="S15">
            <v>755.51499999999999</v>
          </cell>
          <cell r="T15">
            <v>20.609000000000002</v>
          </cell>
        </row>
        <row r="16">
          <cell r="D16">
            <v>891</v>
          </cell>
          <cell r="F16">
            <v>22609</v>
          </cell>
          <cell r="G16">
            <v>84414.5</v>
          </cell>
          <cell r="J16">
            <v>0</v>
          </cell>
          <cell r="K16">
            <v>107914.5</v>
          </cell>
          <cell r="N16">
            <v>70493.5</v>
          </cell>
          <cell r="R16">
            <v>0</v>
          </cell>
          <cell r="S16">
            <v>507</v>
          </cell>
          <cell r="T16">
            <v>0</v>
          </cell>
        </row>
        <row r="17">
          <cell r="D17">
            <v>272</v>
          </cell>
          <cell r="F17">
            <v>14332</v>
          </cell>
          <cell r="G17">
            <v>45112.3</v>
          </cell>
          <cell r="J17">
            <v>0</v>
          </cell>
          <cell r="K17">
            <v>59716.3</v>
          </cell>
          <cell r="N17">
            <v>36303.300000000003</v>
          </cell>
          <cell r="R17">
            <v>0</v>
          </cell>
          <cell r="S17">
            <v>320</v>
          </cell>
          <cell r="T17">
            <v>0</v>
          </cell>
        </row>
        <row r="18">
          <cell r="D18">
            <v>737</v>
          </cell>
          <cell r="F18">
            <v>16481</v>
          </cell>
          <cell r="G18">
            <v>65154.8</v>
          </cell>
          <cell r="J18">
            <v>0</v>
          </cell>
          <cell r="K18">
            <v>82372.800000000003</v>
          </cell>
          <cell r="N18">
            <v>54629.8</v>
          </cell>
          <cell r="R18">
            <v>0</v>
          </cell>
          <cell r="S18">
            <v>379</v>
          </cell>
          <cell r="T18">
            <v>0</v>
          </cell>
        </row>
        <row r="19">
          <cell r="D19">
            <v>1588</v>
          </cell>
          <cell r="F19">
            <v>14700</v>
          </cell>
          <cell r="G19">
            <v>61915</v>
          </cell>
          <cell r="J19">
            <v>0</v>
          </cell>
          <cell r="K19">
            <v>78203</v>
          </cell>
          <cell r="N19">
            <v>52223</v>
          </cell>
          <cell r="R19">
            <v>0</v>
          </cell>
          <cell r="S19">
            <v>363</v>
          </cell>
          <cell r="T19">
            <v>0</v>
          </cell>
        </row>
        <row r="20">
          <cell r="D20">
            <v>658</v>
          </cell>
          <cell r="F20">
            <v>17233</v>
          </cell>
          <cell r="G20">
            <v>67225.8</v>
          </cell>
          <cell r="J20">
            <v>0</v>
          </cell>
          <cell r="K20">
            <v>85116.800000000003</v>
          </cell>
          <cell r="N20">
            <v>56294.8</v>
          </cell>
          <cell r="R20">
            <v>0</v>
          </cell>
          <cell r="S20">
            <v>397</v>
          </cell>
          <cell r="T20">
            <v>0</v>
          </cell>
        </row>
        <row r="21">
          <cell r="D21">
            <v>1056</v>
          </cell>
          <cell r="F21">
            <v>15790</v>
          </cell>
          <cell r="G21">
            <v>66568.800000000003</v>
          </cell>
          <cell r="J21">
            <v>0</v>
          </cell>
          <cell r="K21">
            <v>83414.8</v>
          </cell>
          <cell r="N21">
            <v>54942.8</v>
          </cell>
          <cell r="R21">
            <v>0</v>
          </cell>
          <cell r="S21">
            <v>388</v>
          </cell>
          <cell r="T21">
            <v>0</v>
          </cell>
        </row>
        <row r="22">
          <cell r="D22">
            <v>1004</v>
          </cell>
          <cell r="F22">
            <v>11987</v>
          </cell>
          <cell r="G22">
            <v>44207.8</v>
          </cell>
          <cell r="J22">
            <v>0</v>
          </cell>
          <cell r="K22">
            <v>57198.8</v>
          </cell>
          <cell r="N22">
            <v>37198.800000000003</v>
          </cell>
          <cell r="R22">
            <v>0</v>
          </cell>
          <cell r="S22">
            <v>274</v>
          </cell>
          <cell r="T22">
            <v>0</v>
          </cell>
        </row>
        <row r="23">
          <cell r="D23">
            <v>1937</v>
          </cell>
          <cell r="F23">
            <v>15708</v>
          </cell>
          <cell r="G23">
            <v>58040.3</v>
          </cell>
          <cell r="J23">
            <v>0</v>
          </cell>
          <cell r="K23">
            <v>75686.3</v>
          </cell>
          <cell r="N23">
            <v>51869.3</v>
          </cell>
          <cell r="R23">
            <v>0</v>
          </cell>
          <cell r="S23">
            <v>322</v>
          </cell>
          <cell r="T23">
            <v>0</v>
          </cell>
        </row>
        <row r="24">
          <cell r="D24">
            <v>1250</v>
          </cell>
          <cell r="F24">
            <v>14072</v>
          </cell>
          <cell r="G24">
            <v>63905.599999999999</v>
          </cell>
          <cell r="J24">
            <v>0</v>
          </cell>
          <cell r="K24">
            <v>79227.600000000006</v>
          </cell>
          <cell r="N24">
            <v>55108.6</v>
          </cell>
          <cell r="R24">
            <v>0</v>
          </cell>
          <cell r="S24">
            <v>335</v>
          </cell>
          <cell r="T24">
            <v>0</v>
          </cell>
        </row>
        <row r="25">
          <cell r="D25">
            <v>3443.76</v>
          </cell>
          <cell r="F25">
            <v>29221.759999999998</v>
          </cell>
          <cell r="G25">
            <v>106665.94</v>
          </cell>
          <cell r="J25">
            <v>3759.0309999999999</v>
          </cell>
          <cell r="K25">
            <v>143090.49100000001</v>
          </cell>
          <cell r="N25">
            <v>106665.94</v>
          </cell>
          <cell r="R25">
            <v>0</v>
          </cell>
          <cell r="S25">
            <v>718.58199999999999</v>
          </cell>
          <cell r="T25">
            <v>3759.0309999999999</v>
          </cell>
        </row>
        <row r="26">
          <cell r="D26">
            <v>4075.12</v>
          </cell>
          <cell r="F26">
            <v>31189.966</v>
          </cell>
          <cell r="G26">
            <v>111001.94</v>
          </cell>
          <cell r="J26">
            <v>3639.8229999999999</v>
          </cell>
          <cell r="K26">
            <v>149906.84899999999</v>
          </cell>
          <cell r="N26">
            <v>111001.94</v>
          </cell>
          <cell r="R26">
            <v>0</v>
          </cell>
          <cell r="S26">
            <v>767.32</v>
          </cell>
          <cell r="T26">
            <v>3639.8229999999999</v>
          </cell>
        </row>
        <row r="27">
          <cell r="D27">
            <v>1487.36</v>
          </cell>
          <cell r="F27">
            <v>32329.178</v>
          </cell>
          <cell r="G27">
            <v>84026.48</v>
          </cell>
          <cell r="J27">
            <v>794.53599999999994</v>
          </cell>
          <cell r="K27">
            <v>118639.11</v>
          </cell>
          <cell r="N27">
            <v>84026.48</v>
          </cell>
          <cell r="R27">
            <v>0</v>
          </cell>
          <cell r="S27">
            <v>682.64200000000005</v>
          </cell>
          <cell r="T27">
            <v>795.09199999999998</v>
          </cell>
        </row>
        <row r="28">
          <cell r="D28">
            <v>1395.68</v>
          </cell>
          <cell r="F28">
            <v>28615.65</v>
          </cell>
          <cell r="G28">
            <v>80828.31</v>
          </cell>
          <cell r="J28">
            <v>1553.105</v>
          </cell>
          <cell r="K28">
            <v>112392.745</v>
          </cell>
          <cell r="N28">
            <v>80828.31</v>
          </cell>
          <cell r="R28">
            <v>0</v>
          </cell>
          <cell r="S28">
            <v>622.20399999999995</v>
          </cell>
          <cell r="T28">
            <v>1553.105</v>
          </cell>
        </row>
        <row r="29">
          <cell r="D29">
            <v>619.28</v>
          </cell>
          <cell r="F29">
            <v>22555.383000000002</v>
          </cell>
          <cell r="G29">
            <v>64377.014999999999</v>
          </cell>
          <cell r="J29">
            <v>375.19900000000001</v>
          </cell>
          <cell r="K29">
            <v>87926.876999999993</v>
          </cell>
          <cell r="N29">
            <v>64377.014999999999</v>
          </cell>
          <cell r="R29">
            <v>0</v>
          </cell>
          <cell r="S29">
            <v>463.97500000000002</v>
          </cell>
          <cell r="T29">
            <v>375.19900000000001</v>
          </cell>
        </row>
        <row r="30">
          <cell r="D30">
            <v>2809</v>
          </cell>
          <cell r="F30">
            <v>40396</v>
          </cell>
          <cell r="G30">
            <v>124789.5</v>
          </cell>
          <cell r="J30">
            <v>0</v>
          </cell>
          <cell r="K30">
            <v>167994.5</v>
          </cell>
          <cell r="N30">
            <v>124789.5</v>
          </cell>
          <cell r="R30">
            <v>0</v>
          </cell>
          <cell r="S30">
            <v>508</v>
          </cell>
          <cell r="T30">
            <v>0</v>
          </cell>
        </row>
        <row r="31">
          <cell r="D31">
            <v>739</v>
          </cell>
          <cell r="F31">
            <v>26384</v>
          </cell>
          <cell r="G31">
            <v>80345.22</v>
          </cell>
          <cell r="J31">
            <v>0</v>
          </cell>
          <cell r="K31">
            <v>107468.22</v>
          </cell>
          <cell r="N31">
            <v>80345.22</v>
          </cell>
          <cell r="R31">
            <v>0</v>
          </cell>
          <cell r="S31">
            <v>316</v>
          </cell>
          <cell r="T31">
            <v>0</v>
          </cell>
        </row>
        <row r="32">
          <cell r="D32">
            <v>1514</v>
          </cell>
          <cell r="F32">
            <v>34009</v>
          </cell>
          <cell r="G32">
            <v>111142.36</v>
          </cell>
          <cell r="J32">
            <v>0</v>
          </cell>
          <cell r="K32">
            <v>146665.35999999999</v>
          </cell>
          <cell r="N32">
            <v>111142.36</v>
          </cell>
          <cell r="R32">
            <v>0</v>
          </cell>
          <cell r="S32">
            <v>419</v>
          </cell>
          <cell r="T32">
            <v>0</v>
          </cell>
        </row>
        <row r="33">
          <cell r="D33">
            <v>1983</v>
          </cell>
          <cell r="F33">
            <v>40835</v>
          </cell>
          <cell r="G33">
            <v>117280.3</v>
          </cell>
          <cell r="J33">
            <v>0</v>
          </cell>
          <cell r="K33">
            <v>160098.29999999999</v>
          </cell>
          <cell r="N33">
            <v>117280.3</v>
          </cell>
          <cell r="R33">
            <v>0</v>
          </cell>
          <cell r="S33">
            <v>516</v>
          </cell>
          <cell r="T33">
            <v>0</v>
          </cell>
        </row>
        <row r="34">
          <cell r="D34">
            <v>671</v>
          </cell>
          <cell r="F34">
            <v>25054</v>
          </cell>
          <cell r="G34">
            <v>70788.92</v>
          </cell>
          <cell r="J34">
            <v>0</v>
          </cell>
          <cell r="K34">
            <v>96513.919999999998</v>
          </cell>
          <cell r="N34">
            <v>70788.92</v>
          </cell>
          <cell r="R34">
            <v>0</v>
          </cell>
          <cell r="S34">
            <v>311</v>
          </cell>
          <cell r="T34">
            <v>0</v>
          </cell>
        </row>
        <row r="35">
          <cell r="D35">
            <v>1161.5</v>
          </cell>
          <cell r="F35">
            <v>28790</v>
          </cell>
          <cell r="G35">
            <v>109145.018</v>
          </cell>
          <cell r="J35">
            <v>0</v>
          </cell>
          <cell r="K35">
            <v>139096.01800000001</v>
          </cell>
          <cell r="N35">
            <v>109145.018</v>
          </cell>
          <cell r="R35">
            <v>0</v>
          </cell>
          <cell r="S35">
            <v>587</v>
          </cell>
          <cell r="T35">
            <v>0</v>
          </cell>
        </row>
        <row r="36">
          <cell r="D36">
            <v>321</v>
          </cell>
          <cell r="F36">
            <v>14544.5</v>
          </cell>
          <cell r="G36">
            <v>50609.758999999998</v>
          </cell>
          <cell r="J36">
            <v>0</v>
          </cell>
          <cell r="K36">
            <v>65475.258999999998</v>
          </cell>
          <cell r="N36">
            <v>50609.758999999998</v>
          </cell>
          <cell r="R36">
            <v>0</v>
          </cell>
          <cell r="S36">
            <v>292</v>
          </cell>
          <cell r="T36">
            <v>0</v>
          </cell>
        </row>
        <row r="37">
          <cell r="D37">
            <v>1231.5</v>
          </cell>
          <cell r="F37">
            <v>19945.5</v>
          </cell>
          <cell r="G37">
            <v>63392.985000000001</v>
          </cell>
          <cell r="J37">
            <v>0</v>
          </cell>
          <cell r="K37">
            <v>84569.985000000001</v>
          </cell>
          <cell r="N37">
            <v>63392.985000000001</v>
          </cell>
          <cell r="R37">
            <v>0</v>
          </cell>
          <cell r="S37">
            <v>394</v>
          </cell>
          <cell r="T37">
            <v>0</v>
          </cell>
        </row>
        <row r="38">
          <cell r="D38">
            <v>1040</v>
          </cell>
          <cell r="F38">
            <v>15329</v>
          </cell>
          <cell r="G38">
            <v>52523.347999999998</v>
          </cell>
          <cell r="J38">
            <v>0</v>
          </cell>
          <cell r="K38">
            <v>68892.347999999998</v>
          </cell>
          <cell r="N38">
            <v>52523.347999999998</v>
          </cell>
          <cell r="R38">
            <v>0</v>
          </cell>
          <cell r="S38">
            <v>322</v>
          </cell>
          <cell r="T38">
            <v>0</v>
          </cell>
        </row>
        <row r="39">
          <cell r="D39">
            <v>635</v>
          </cell>
          <cell r="F39">
            <v>17758</v>
          </cell>
          <cell r="G39">
            <v>50138.218000000001</v>
          </cell>
          <cell r="J39">
            <v>0</v>
          </cell>
          <cell r="K39">
            <v>68531.217999999993</v>
          </cell>
          <cell r="N39">
            <v>50138.218000000001</v>
          </cell>
          <cell r="R39">
            <v>0</v>
          </cell>
          <cell r="S39">
            <v>361</v>
          </cell>
          <cell r="T39">
            <v>0</v>
          </cell>
        </row>
        <row r="40">
          <cell r="D40">
            <v>447</v>
          </cell>
          <cell r="F40">
            <v>15281</v>
          </cell>
          <cell r="G40">
            <v>52487.237999999998</v>
          </cell>
          <cell r="J40">
            <v>0</v>
          </cell>
          <cell r="K40">
            <v>68215.237999999998</v>
          </cell>
          <cell r="N40">
            <v>52487.237999999998</v>
          </cell>
          <cell r="R40">
            <v>0</v>
          </cell>
          <cell r="S40">
            <v>309</v>
          </cell>
          <cell r="T40">
            <v>0</v>
          </cell>
        </row>
        <row r="41">
          <cell r="D41">
            <v>932</v>
          </cell>
          <cell r="F41">
            <v>23842</v>
          </cell>
          <cell r="G41">
            <v>38422</v>
          </cell>
          <cell r="J41">
            <v>0</v>
          </cell>
          <cell r="K41">
            <v>63195</v>
          </cell>
          <cell r="N41">
            <v>38422</v>
          </cell>
          <cell r="R41">
            <v>0</v>
          </cell>
          <cell r="S41">
            <v>489</v>
          </cell>
          <cell r="T41">
            <v>0</v>
          </cell>
        </row>
        <row r="42">
          <cell r="D42">
            <v>1415</v>
          </cell>
          <cell r="F42">
            <v>23051</v>
          </cell>
          <cell r="G42">
            <v>55735</v>
          </cell>
          <cell r="J42">
            <v>0</v>
          </cell>
          <cell r="K42">
            <v>80200</v>
          </cell>
          <cell r="N42">
            <v>55735</v>
          </cell>
          <cell r="R42">
            <v>0</v>
          </cell>
          <cell r="S42">
            <v>482</v>
          </cell>
          <cell r="T42">
            <v>0</v>
          </cell>
        </row>
        <row r="43">
          <cell r="D43">
            <v>1887</v>
          </cell>
          <cell r="F43">
            <v>24372</v>
          </cell>
          <cell r="G43">
            <v>43531</v>
          </cell>
          <cell r="J43">
            <v>0</v>
          </cell>
          <cell r="K43">
            <v>69790</v>
          </cell>
          <cell r="N43">
            <v>43531</v>
          </cell>
          <cell r="R43">
            <v>0</v>
          </cell>
          <cell r="S43">
            <v>518</v>
          </cell>
          <cell r="T43">
            <v>0</v>
          </cell>
        </row>
        <row r="44">
          <cell r="D44">
            <v>3808</v>
          </cell>
          <cell r="F44">
            <v>19356</v>
          </cell>
          <cell r="G44">
            <v>205642</v>
          </cell>
          <cell r="J44">
            <v>0</v>
          </cell>
          <cell r="K44">
            <v>228806</v>
          </cell>
          <cell r="N44">
            <v>182333</v>
          </cell>
          <cell r="R44">
            <v>0</v>
          </cell>
          <cell r="S44">
            <v>894</v>
          </cell>
          <cell r="T44">
            <v>0</v>
          </cell>
        </row>
        <row r="45">
          <cell r="D45">
            <v>2903</v>
          </cell>
          <cell r="F45">
            <v>21834</v>
          </cell>
          <cell r="G45">
            <v>130395</v>
          </cell>
          <cell r="J45">
            <v>0</v>
          </cell>
          <cell r="K45">
            <v>155132</v>
          </cell>
          <cell r="N45">
            <v>112591</v>
          </cell>
          <cell r="R45">
            <v>0</v>
          </cell>
          <cell r="S45">
            <v>824</v>
          </cell>
          <cell r="T45">
            <v>0</v>
          </cell>
        </row>
        <row r="46">
          <cell r="D46">
            <v>2101</v>
          </cell>
          <cell r="F46">
            <v>15966</v>
          </cell>
          <cell r="G46">
            <v>85906</v>
          </cell>
          <cell r="J46">
            <v>0</v>
          </cell>
          <cell r="K46">
            <v>103973</v>
          </cell>
          <cell r="N46">
            <v>75225</v>
          </cell>
          <cell r="R46">
            <v>0</v>
          </cell>
          <cell r="S46">
            <v>555</v>
          </cell>
          <cell r="T46">
            <v>0</v>
          </cell>
        </row>
        <row r="47">
          <cell r="D47">
            <v>742</v>
          </cell>
          <cell r="F47">
            <v>14112</v>
          </cell>
          <cell r="G47">
            <v>44013</v>
          </cell>
          <cell r="J47">
            <v>0</v>
          </cell>
          <cell r="K47">
            <v>58867</v>
          </cell>
          <cell r="N47">
            <v>35921</v>
          </cell>
          <cell r="R47">
            <v>0</v>
          </cell>
          <cell r="S47">
            <v>443</v>
          </cell>
          <cell r="T47">
            <v>0</v>
          </cell>
        </row>
        <row r="48">
          <cell r="D48">
            <v>3223.3</v>
          </cell>
          <cell r="F48">
            <v>19395.88</v>
          </cell>
          <cell r="G48">
            <v>102759.82</v>
          </cell>
          <cell r="J48">
            <v>0</v>
          </cell>
          <cell r="K48">
            <v>125379</v>
          </cell>
          <cell r="N48">
            <v>85643</v>
          </cell>
          <cell r="R48">
            <v>2154</v>
          </cell>
          <cell r="S48">
            <v>422</v>
          </cell>
          <cell r="T48">
            <v>0</v>
          </cell>
        </row>
        <row r="49">
          <cell r="D49">
            <v>1039.32</v>
          </cell>
          <cell r="F49">
            <v>19280.2</v>
          </cell>
          <cell r="G49">
            <v>87291.48</v>
          </cell>
          <cell r="J49">
            <v>0</v>
          </cell>
          <cell r="K49">
            <v>107611</v>
          </cell>
          <cell r="N49">
            <v>76345</v>
          </cell>
          <cell r="R49">
            <v>582</v>
          </cell>
          <cell r="S49">
            <v>351</v>
          </cell>
          <cell r="T49">
            <v>0</v>
          </cell>
        </row>
        <row r="50">
          <cell r="D50">
            <v>1978.12</v>
          </cell>
          <cell r="F50">
            <v>13931.6</v>
          </cell>
          <cell r="G50">
            <v>48769.279999999999</v>
          </cell>
          <cell r="J50">
            <v>0</v>
          </cell>
          <cell r="K50">
            <v>64679</v>
          </cell>
          <cell r="N50">
            <v>40839</v>
          </cell>
          <cell r="R50">
            <v>930</v>
          </cell>
          <cell r="S50">
            <v>262</v>
          </cell>
          <cell r="T50">
            <v>0</v>
          </cell>
        </row>
        <row r="51">
          <cell r="D51">
            <v>568.96</v>
          </cell>
          <cell r="F51">
            <v>14613.8</v>
          </cell>
          <cell r="G51">
            <v>59845.96</v>
          </cell>
          <cell r="J51">
            <v>0</v>
          </cell>
          <cell r="K51">
            <v>75029</v>
          </cell>
          <cell r="N51">
            <v>51541</v>
          </cell>
          <cell r="R51">
            <v>297</v>
          </cell>
          <cell r="S51">
            <v>266</v>
          </cell>
          <cell r="T51">
            <v>0</v>
          </cell>
        </row>
        <row r="52">
          <cell r="D52">
            <v>399.32</v>
          </cell>
          <cell r="F52">
            <v>10342.6</v>
          </cell>
          <cell r="G52">
            <v>43395.08</v>
          </cell>
          <cell r="J52">
            <v>0</v>
          </cell>
          <cell r="K52">
            <v>54137</v>
          </cell>
          <cell r="N52">
            <v>37077</v>
          </cell>
          <cell r="R52">
            <v>140</v>
          </cell>
          <cell r="S52">
            <v>186</v>
          </cell>
          <cell r="T52">
            <v>0</v>
          </cell>
        </row>
        <row r="53">
          <cell r="D53">
            <v>527.28</v>
          </cell>
          <cell r="F53">
            <v>10283</v>
          </cell>
          <cell r="G53">
            <v>35616.720000000001</v>
          </cell>
          <cell r="J53">
            <v>0</v>
          </cell>
          <cell r="K53">
            <v>46427</v>
          </cell>
          <cell r="N53">
            <v>29848</v>
          </cell>
          <cell r="R53">
            <v>259</v>
          </cell>
          <cell r="S53">
            <v>187</v>
          </cell>
          <cell r="T53">
            <v>0</v>
          </cell>
        </row>
        <row r="54">
          <cell r="D54">
            <v>559</v>
          </cell>
          <cell r="F54">
            <v>12745</v>
          </cell>
          <cell r="G54">
            <v>43649</v>
          </cell>
          <cell r="J54">
            <v>0</v>
          </cell>
          <cell r="K54">
            <v>56953</v>
          </cell>
          <cell r="N54">
            <v>39307</v>
          </cell>
          <cell r="R54">
            <v>205</v>
          </cell>
          <cell r="S54">
            <v>221</v>
          </cell>
          <cell r="T54">
            <v>0</v>
          </cell>
        </row>
        <row r="55">
          <cell r="D55">
            <v>236.08</v>
          </cell>
          <cell r="F55">
            <v>10601.6</v>
          </cell>
          <cell r="G55">
            <v>36381.32</v>
          </cell>
          <cell r="J55">
            <v>0</v>
          </cell>
          <cell r="K55">
            <v>47219</v>
          </cell>
          <cell r="N55">
            <v>30471</v>
          </cell>
          <cell r="R55">
            <v>115</v>
          </cell>
          <cell r="S55">
            <v>188</v>
          </cell>
          <cell r="T55">
            <v>0</v>
          </cell>
        </row>
        <row r="56">
          <cell r="D56">
            <v>1938</v>
          </cell>
          <cell r="F56">
            <v>13705</v>
          </cell>
          <cell r="G56">
            <v>108909.872</v>
          </cell>
          <cell r="J56">
            <v>0</v>
          </cell>
          <cell r="K56">
            <v>124552.872</v>
          </cell>
          <cell r="N56">
            <v>98875.872000000003</v>
          </cell>
          <cell r="R56">
            <v>607</v>
          </cell>
          <cell r="S56">
            <v>309</v>
          </cell>
          <cell r="T56">
            <v>0</v>
          </cell>
        </row>
        <row r="57">
          <cell r="D57">
            <v>1359</v>
          </cell>
          <cell r="F57">
            <v>16110</v>
          </cell>
          <cell r="G57">
            <v>109755.421</v>
          </cell>
          <cell r="J57">
            <v>0</v>
          </cell>
          <cell r="K57">
            <v>127224.421</v>
          </cell>
          <cell r="N57">
            <v>99050.421000000002</v>
          </cell>
          <cell r="R57">
            <v>675</v>
          </cell>
          <cell r="S57">
            <v>346</v>
          </cell>
          <cell r="T57">
            <v>0</v>
          </cell>
        </row>
        <row r="58">
          <cell r="D58">
            <v>170</v>
          </cell>
          <cell r="F58">
            <v>10067</v>
          </cell>
          <cell r="G58">
            <v>66274.702000000005</v>
          </cell>
          <cell r="J58">
            <v>0</v>
          </cell>
          <cell r="K58">
            <v>76511.702000000005</v>
          </cell>
          <cell r="N58">
            <v>60314.701999999997</v>
          </cell>
          <cell r="R58">
            <v>0</v>
          </cell>
          <cell r="S58">
            <v>211</v>
          </cell>
          <cell r="T58">
            <v>0</v>
          </cell>
        </row>
        <row r="59">
          <cell r="D59">
            <v>125</v>
          </cell>
          <cell r="F59">
            <v>9749</v>
          </cell>
          <cell r="G59">
            <v>65328.231</v>
          </cell>
          <cell r="J59">
            <v>0</v>
          </cell>
          <cell r="K59">
            <v>75202.231</v>
          </cell>
          <cell r="N59">
            <v>59901.231</v>
          </cell>
          <cell r="R59">
            <v>45</v>
          </cell>
          <cell r="S59">
            <v>205</v>
          </cell>
          <cell r="T59">
            <v>0</v>
          </cell>
        </row>
        <row r="60">
          <cell r="D60">
            <v>1267</v>
          </cell>
          <cell r="F60">
            <v>9831</v>
          </cell>
          <cell r="G60">
            <v>64665.67</v>
          </cell>
          <cell r="J60">
            <v>0</v>
          </cell>
          <cell r="K60">
            <v>75763.67</v>
          </cell>
          <cell r="N60">
            <v>58110.67</v>
          </cell>
          <cell r="R60">
            <v>585</v>
          </cell>
          <cell r="S60">
            <v>218</v>
          </cell>
          <cell r="T60">
            <v>0</v>
          </cell>
        </row>
        <row r="61">
          <cell r="D61">
            <v>825</v>
          </cell>
          <cell r="F61">
            <v>10650</v>
          </cell>
          <cell r="G61">
            <v>90837.888000000006</v>
          </cell>
          <cell r="J61">
            <v>0</v>
          </cell>
          <cell r="K61">
            <v>102312.88800000001</v>
          </cell>
          <cell r="N61">
            <v>83165.888000000006</v>
          </cell>
          <cell r="R61">
            <v>338</v>
          </cell>
          <cell r="S61">
            <v>238</v>
          </cell>
          <cell r="T61">
            <v>0</v>
          </cell>
        </row>
        <row r="62">
          <cell r="D62">
            <v>52</v>
          </cell>
          <cell r="F62">
            <v>5191</v>
          </cell>
          <cell r="G62">
            <v>36243.482000000004</v>
          </cell>
          <cell r="J62">
            <v>0</v>
          </cell>
          <cell r="K62">
            <v>41486.482000000004</v>
          </cell>
          <cell r="N62">
            <v>33022.482000000004</v>
          </cell>
          <cell r="R62">
            <v>0</v>
          </cell>
          <cell r="S62">
            <v>109</v>
          </cell>
          <cell r="T62">
            <v>0</v>
          </cell>
        </row>
      </sheetData>
      <sheetData sheetId="2">
        <row r="4">
          <cell r="D4">
            <v>2955.4560000000001</v>
          </cell>
          <cell r="E4">
            <v>11813.65</v>
          </cell>
          <cell r="F4">
            <v>0</v>
          </cell>
        </row>
        <row r="5">
          <cell r="D5">
            <v>2024.9359999999999</v>
          </cell>
          <cell r="E5">
            <v>6618.9390000000003</v>
          </cell>
          <cell r="F5">
            <v>0</v>
          </cell>
        </row>
        <row r="6">
          <cell r="D6">
            <v>1718.38</v>
          </cell>
          <cell r="E6">
            <v>2661.3130000000001</v>
          </cell>
          <cell r="F6">
            <v>0</v>
          </cell>
        </row>
        <row r="7">
          <cell r="D7">
            <v>1674.2439999999999</v>
          </cell>
          <cell r="E7">
            <v>5377.7160000000003</v>
          </cell>
          <cell r="F7">
            <v>0</v>
          </cell>
        </row>
        <row r="8">
          <cell r="D8">
            <v>2150.06</v>
          </cell>
          <cell r="E8">
            <v>9044.9850000000006</v>
          </cell>
          <cell r="F8">
            <v>0</v>
          </cell>
        </row>
        <row r="9">
          <cell r="D9">
            <v>2671.9960000000001</v>
          </cell>
          <cell r="E9">
            <v>8779.491</v>
          </cell>
          <cell r="F9">
            <v>0</v>
          </cell>
        </row>
        <row r="10">
          <cell r="D10">
            <v>3604.5839999999998</v>
          </cell>
          <cell r="E10">
            <v>3872.8310000000001</v>
          </cell>
          <cell r="F10">
            <v>0</v>
          </cell>
        </row>
        <row r="11">
          <cell r="D11">
            <v>2908.5540000000001</v>
          </cell>
          <cell r="E11">
            <v>6491.77</v>
          </cell>
          <cell r="F11">
            <v>0</v>
          </cell>
          <cell r="G11">
            <v>0</v>
          </cell>
        </row>
        <row r="12">
          <cell r="D12">
            <v>5851.92</v>
          </cell>
          <cell r="E12">
            <v>3953.8159999999998</v>
          </cell>
          <cell r="F12">
            <v>0</v>
          </cell>
          <cell r="G12">
            <v>31.751999999999999</v>
          </cell>
        </row>
        <row r="13">
          <cell r="D13">
            <v>3044.3760000000002</v>
          </cell>
          <cell r="E13">
            <v>4334.5690000000004</v>
          </cell>
          <cell r="F13">
            <v>0</v>
          </cell>
          <cell r="G13">
            <v>1517.7449999999999</v>
          </cell>
        </row>
        <row r="14">
          <cell r="D14">
            <v>1283.1199999999999</v>
          </cell>
          <cell r="E14">
            <v>8680.6509999999998</v>
          </cell>
          <cell r="F14">
            <v>0</v>
          </cell>
          <cell r="G14">
            <v>35.316000000000003</v>
          </cell>
        </row>
        <row r="15">
          <cell r="D15">
            <v>2735.08</v>
          </cell>
          <cell r="E15">
            <v>7094.5870000000004</v>
          </cell>
          <cell r="F15">
            <v>0</v>
          </cell>
          <cell r="G15">
            <v>27.54</v>
          </cell>
        </row>
        <row r="16">
          <cell r="D16">
            <v>1770.7719999999999</v>
          </cell>
          <cell r="E16">
            <v>7794.7449999999999</v>
          </cell>
          <cell r="F16">
            <v>0</v>
          </cell>
          <cell r="G16">
            <v>285.95400000000001</v>
          </cell>
        </row>
        <row r="17">
          <cell r="D17">
            <v>2734.904</v>
          </cell>
          <cell r="E17">
            <v>7642.04</v>
          </cell>
          <cell r="F17">
            <v>0</v>
          </cell>
          <cell r="G17">
            <v>34.021000000000001</v>
          </cell>
        </row>
        <row r="18">
          <cell r="D18">
            <v>579.24</v>
          </cell>
          <cell r="E18">
            <v>7143.0550000000003</v>
          </cell>
          <cell r="F18">
            <v>0</v>
          </cell>
          <cell r="G18">
            <v>0</v>
          </cell>
        </row>
        <row r="19">
          <cell r="D19">
            <v>2038.992</v>
          </cell>
          <cell r="E19">
            <v>4101.9690000000001</v>
          </cell>
          <cell r="F19">
            <v>0</v>
          </cell>
          <cell r="G19">
            <v>3459.5709999999999</v>
          </cell>
        </row>
        <row r="20">
          <cell r="D20">
            <v>1361.644</v>
          </cell>
          <cell r="E20">
            <v>9161.2360000000008</v>
          </cell>
          <cell r="F20">
            <v>0</v>
          </cell>
          <cell r="G20">
            <v>33.372999999999998</v>
          </cell>
        </row>
        <row r="21">
          <cell r="D21">
            <v>2110.192</v>
          </cell>
          <cell r="E21">
            <v>8809.5069999999996</v>
          </cell>
          <cell r="F21">
            <v>0</v>
          </cell>
          <cell r="G21">
            <v>35.64</v>
          </cell>
        </row>
        <row r="22">
          <cell r="D22">
            <v>521.74400000000003</v>
          </cell>
          <cell r="E22">
            <v>8027.2079999999996</v>
          </cell>
          <cell r="F22">
            <v>0</v>
          </cell>
          <cell r="G22">
            <v>23.329000000000001</v>
          </cell>
        </row>
        <row r="23">
          <cell r="D23">
            <v>1642.748</v>
          </cell>
          <cell r="E23">
            <v>8251.1080000000002</v>
          </cell>
          <cell r="F23">
            <v>0</v>
          </cell>
          <cell r="G23">
            <v>29.484999999999999</v>
          </cell>
        </row>
        <row r="24">
          <cell r="D24">
            <v>1987.82</v>
          </cell>
          <cell r="E24">
            <v>8273.848</v>
          </cell>
          <cell r="F24">
            <v>0</v>
          </cell>
          <cell r="G24">
            <v>0</v>
          </cell>
        </row>
        <row r="25">
          <cell r="D25">
            <v>1711.8119999999999</v>
          </cell>
          <cell r="E25">
            <v>5925.902</v>
          </cell>
          <cell r="F25">
            <v>0</v>
          </cell>
          <cell r="G25">
            <v>1750.9960000000001</v>
          </cell>
        </row>
        <row r="26">
          <cell r="D26">
            <v>2073.4479999999999</v>
          </cell>
          <cell r="E26">
            <v>2273.991</v>
          </cell>
          <cell r="F26">
            <v>0</v>
          </cell>
          <cell r="G26">
            <v>16764.078000000001</v>
          </cell>
        </row>
        <row r="27">
          <cell r="D27">
            <v>739.2</v>
          </cell>
          <cell r="E27">
            <v>6699.125</v>
          </cell>
          <cell r="F27">
            <v>0</v>
          </cell>
          <cell r="G27">
            <v>57.628999999999998</v>
          </cell>
        </row>
        <row r="28">
          <cell r="D28">
            <v>1341.252</v>
          </cell>
          <cell r="E28">
            <v>7129.01</v>
          </cell>
          <cell r="F28">
            <v>0</v>
          </cell>
          <cell r="G28">
            <v>21.384</v>
          </cell>
        </row>
        <row r="29">
          <cell r="D29">
            <v>1411.6</v>
          </cell>
          <cell r="E29">
            <v>7621.6319999999996</v>
          </cell>
          <cell r="F29">
            <v>0</v>
          </cell>
          <cell r="G29">
            <v>0</v>
          </cell>
        </row>
        <row r="30">
          <cell r="D30">
            <v>2488.1439999999998</v>
          </cell>
          <cell r="E30">
            <v>6199.2479999999996</v>
          </cell>
          <cell r="F30">
            <v>0</v>
          </cell>
          <cell r="G30">
            <v>22.681000000000001</v>
          </cell>
        </row>
        <row r="31">
          <cell r="D31">
            <v>3293</v>
          </cell>
          <cell r="E31">
            <v>4873.7920000000004</v>
          </cell>
          <cell r="F31">
            <v>0</v>
          </cell>
          <cell r="G31">
            <v>3279.395</v>
          </cell>
        </row>
        <row r="32">
          <cell r="D32">
            <v>1874.68</v>
          </cell>
          <cell r="E32">
            <v>7058.9309999999996</v>
          </cell>
          <cell r="F32">
            <v>0</v>
          </cell>
          <cell r="G32">
            <v>47.061999999999998</v>
          </cell>
        </row>
        <row r="33">
          <cell r="D33">
            <v>2813.8719999999998</v>
          </cell>
          <cell r="E33">
            <v>2600.069</v>
          </cell>
          <cell r="F33">
            <v>0</v>
          </cell>
          <cell r="G33">
            <v>3380.1590000000001</v>
          </cell>
        </row>
        <row r="34">
          <cell r="D34">
            <v>2473.672</v>
          </cell>
          <cell r="E34">
            <v>1961.2149999999999</v>
          </cell>
          <cell r="F34">
            <v>0</v>
          </cell>
          <cell r="G34">
            <v>3571.4780000000001</v>
          </cell>
        </row>
        <row r="35">
          <cell r="D35">
            <v>1429.816</v>
          </cell>
          <cell r="E35">
            <v>5867.6779999999999</v>
          </cell>
          <cell r="F35">
            <v>0</v>
          </cell>
          <cell r="G35">
            <v>977.29899999999998</v>
          </cell>
        </row>
        <row r="37">
          <cell r="D37">
            <v>634</v>
          </cell>
          <cell r="E37">
            <v>4568</v>
          </cell>
          <cell r="F37">
            <v>2645</v>
          </cell>
        </row>
        <row r="38">
          <cell r="D38">
            <v>6136</v>
          </cell>
          <cell r="E38">
            <v>2817</v>
          </cell>
          <cell r="F38">
            <v>3009</v>
          </cell>
        </row>
        <row r="39">
          <cell r="D39">
            <v>302</v>
          </cell>
          <cell r="E39">
            <v>5796</v>
          </cell>
          <cell r="F39">
            <v>3807</v>
          </cell>
        </row>
        <row r="40">
          <cell r="D40">
            <v>280</v>
          </cell>
          <cell r="E40">
            <v>5966</v>
          </cell>
          <cell r="F40">
            <v>3249</v>
          </cell>
        </row>
        <row r="41">
          <cell r="D41">
            <v>125</v>
          </cell>
          <cell r="E41">
            <v>5991</v>
          </cell>
          <cell r="F41">
            <v>3826</v>
          </cell>
        </row>
        <row r="42">
          <cell r="D42">
            <v>184</v>
          </cell>
          <cell r="E42">
            <v>4856</v>
          </cell>
          <cell r="F42">
            <v>3039</v>
          </cell>
        </row>
        <row r="43">
          <cell r="D43">
            <v>164</v>
          </cell>
          <cell r="E43">
            <v>4733</v>
          </cell>
          <cell r="F43">
            <v>3028</v>
          </cell>
        </row>
        <row r="44">
          <cell r="D44">
            <v>55</v>
          </cell>
          <cell r="E44">
            <v>4509</v>
          </cell>
          <cell r="F44">
            <v>2583</v>
          </cell>
        </row>
        <row r="45">
          <cell r="D45">
            <v>53</v>
          </cell>
          <cell r="E45">
            <v>5090</v>
          </cell>
          <cell r="F45">
            <v>3198</v>
          </cell>
        </row>
        <row r="46">
          <cell r="D46">
            <v>141</v>
          </cell>
          <cell r="E46">
            <v>4762</v>
          </cell>
          <cell r="F46">
            <v>2775</v>
          </cell>
        </row>
        <row r="47">
          <cell r="D47">
            <v>401</v>
          </cell>
          <cell r="E47">
            <v>5631</v>
          </cell>
          <cell r="F47">
            <v>4423</v>
          </cell>
        </row>
        <row r="48">
          <cell r="D48">
            <v>195</v>
          </cell>
          <cell r="E48">
            <v>6088</v>
          </cell>
          <cell r="F48">
            <v>3327</v>
          </cell>
        </row>
        <row r="49">
          <cell r="D49">
            <v>218</v>
          </cell>
          <cell r="E49">
            <v>4530</v>
          </cell>
          <cell r="F49">
            <v>2691</v>
          </cell>
        </row>
        <row r="50">
          <cell r="D50">
            <v>250</v>
          </cell>
          <cell r="E50">
            <v>5557</v>
          </cell>
          <cell r="F50">
            <v>3617</v>
          </cell>
        </row>
        <row r="51">
          <cell r="D51">
            <v>1120</v>
          </cell>
          <cell r="E51">
            <v>4613</v>
          </cell>
          <cell r="F51">
            <v>3384</v>
          </cell>
        </row>
        <row r="52">
          <cell r="D52">
            <v>175</v>
          </cell>
          <cell r="E52">
            <v>6001</v>
          </cell>
          <cell r="F52">
            <v>3748</v>
          </cell>
        </row>
        <row r="53">
          <cell r="D53">
            <v>236</v>
          </cell>
          <cell r="E53">
            <v>5591</v>
          </cell>
          <cell r="F53">
            <v>3299</v>
          </cell>
        </row>
        <row r="54">
          <cell r="D54">
            <v>247</v>
          </cell>
          <cell r="E54">
            <v>5641</v>
          </cell>
          <cell r="F54">
            <v>3884</v>
          </cell>
        </row>
        <row r="55">
          <cell r="D55">
            <v>184</v>
          </cell>
          <cell r="E55">
            <v>5500</v>
          </cell>
          <cell r="F55">
            <v>3691</v>
          </cell>
        </row>
        <row r="56">
          <cell r="D56">
            <v>323</v>
          </cell>
          <cell r="E56">
            <v>5574</v>
          </cell>
          <cell r="F56">
            <v>3598</v>
          </cell>
        </row>
        <row r="57">
          <cell r="D57">
            <v>549</v>
          </cell>
          <cell r="E57">
            <v>4716</v>
          </cell>
          <cell r="F57">
            <v>4337</v>
          </cell>
        </row>
        <row r="58">
          <cell r="D58">
            <v>858</v>
          </cell>
          <cell r="E58">
            <v>6757</v>
          </cell>
          <cell r="F58">
            <v>3968</v>
          </cell>
        </row>
        <row r="59">
          <cell r="D59">
            <v>146</v>
          </cell>
          <cell r="E59">
            <v>5230</v>
          </cell>
          <cell r="F59">
            <v>3041</v>
          </cell>
        </row>
        <row r="60">
          <cell r="D60">
            <v>1769</v>
          </cell>
          <cell r="E60">
            <v>9508</v>
          </cell>
          <cell r="F60">
            <v>2429</v>
          </cell>
        </row>
        <row r="61">
          <cell r="D61">
            <v>168</v>
          </cell>
          <cell r="E61">
            <v>6200</v>
          </cell>
          <cell r="F61">
            <v>3742</v>
          </cell>
        </row>
        <row r="62">
          <cell r="D62">
            <v>891</v>
          </cell>
          <cell r="E62">
            <v>7361</v>
          </cell>
          <cell r="F62">
            <v>4445</v>
          </cell>
        </row>
        <row r="63">
          <cell r="D63">
            <v>359</v>
          </cell>
          <cell r="E63">
            <v>6711</v>
          </cell>
          <cell r="F63">
            <v>4352</v>
          </cell>
        </row>
        <row r="65">
          <cell r="D65">
            <v>1514</v>
          </cell>
          <cell r="E65">
            <v>7790.9579999999996</v>
          </cell>
          <cell r="F65">
            <v>0</v>
          </cell>
          <cell r="G65">
            <v>249.32300000000001</v>
          </cell>
        </row>
        <row r="66">
          <cell r="D66">
            <v>1132.8</v>
          </cell>
          <cell r="E66">
            <v>5726.2849999999999</v>
          </cell>
          <cell r="F66">
            <v>0</v>
          </cell>
          <cell r="G66">
            <v>2862.3989999999999</v>
          </cell>
        </row>
        <row r="67">
          <cell r="D67">
            <v>323</v>
          </cell>
          <cell r="E67">
            <v>7004.04</v>
          </cell>
          <cell r="F67">
            <v>0</v>
          </cell>
          <cell r="G67">
            <v>401.60899999999998</v>
          </cell>
        </row>
        <row r="68">
          <cell r="D68">
            <v>473.96</v>
          </cell>
          <cell r="E68">
            <v>8700.4770000000008</v>
          </cell>
          <cell r="F68">
            <v>0</v>
          </cell>
          <cell r="G68">
            <v>245.7</v>
          </cell>
        </row>
        <row r="69">
          <cell r="D69">
            <v>966.36</v>
          </cell>
          <cell r="E69">
            <v>7077.8770000000004</v>
          </cell>
          <cell r="F69">
            <v>0</v>
          </cell>
          <cell r="G69">
            <v>281.548</v>
          </cell>
        </row>
        <row r="70">
          <cell r="D70">
            <v>2119</v>
          </cell>
          <cell r="E70">
            <v>4571.1360000000004</v>
          </cell>
          <cell r="F70">
            <v>0</v>
          </cell>
          <cell r="G70">
            <v>2780.9389999999999</v>
          </cell>
        </row>
        <row r="71">
          <cell r="D71">
            <v>728.52</v>
          </cell>
          <cell r="E71">
            <v>7167.8890000000001</v>
          </cell>
          <cell r="F71">
            <v>0</v>
          </cell>
          <cell r="G71">
            <v>498.834</v>
          </cell>
        </row>
        <row r="72">
          <cell r="D72">
            <v>261.24</v>
          </cell>
          <cell r="E72">
            <v>12373.064</v>
          </cell>
          <cell r="F72">
            <v>0</v>
          </cell>
          <cell r="G72">
            <v>78.501999999999995</v>
          </cell>
        </row>
        <row r="73">
          <cell r="D73">
            <v>585.16</v>
          </cell>
          <cell r="E73">
            <v>8330.0409999999993</v>
          </cell>
          <cell r="F73">
            <v>0</v>
          </cell>
          <cell r="G73">
            <v>450.11099999999999</v>
          </cell>
        </row>
        <row r="74">
          <cell r="D74">
            <v>303.32</v>
          </cell>
          <cell r="E74">
            <v>8139.6019999999999</v>
          </cell>
          <cell r="F74">
            <v>0</v>
          </cell>
          <cell r="G74">
            <v>28.279</v>
          </cell>
        </row>
        <row r="75">
          <cell r="D75">
            <v>258.88</v>
          </cell>
          <cell r="E75">
            <v>7879.5649999999996</v>
          </cell>
          <cell r="F75">
            <v>0</v>
          </cell>
          <cell r="G75">
            <v>165</v>
          </cell>
        </row>
        <row r="76">
          <cell r="D76">
            <v>340</v>
          </cell>
          <cell r="E76">
            <v>7979.97</v>
          </cell>
          <cell r="F76">
            <v>0</v>
          </cell>
          <cell r="G76">
            <v>151.14599999999999</v>
          </cell>
        </row>
        <row r="77">
          <cell r="D77">
            <v>177.36</v>
          </cell>
          <cell r="E77">
            <v>7283.3270000000002</v>
          </cell>
          <cell r="F77">
            <v>0</v>
          </cell>
          <cell r="G77">
            <v>29.245000000000001</v>
          </cell>
        </row>
        <row r="78">
          <cell r="D78">
            <v>692.52</v>
          </cell>
          <cell r="E78">
            <v>12613.616</v>
          </cell>
          <cell r="F78">
            <v>0</v>
          </cell>
          <cell r="G78">
            <v>56.332000000000001</v>
          </cell>
        </row>
        <row r="79">
          <cell r="D79">
            <v>525.79999999999995</v>
          </cell>
          <cell r="E79">
            <v>8718.7070000000003</v>
          </cell>
          <cell r="F79">
            <v>0</v>
          </cell>
          <cell r="G79">
            <v>1467.528</v>
          </cell>
        </row>
        <row r="80">
          <cell r="D80">
            <v>411.96</v>
          </cell>
          <cell r="E80">
            <v>12490.653</v>
          </cell>
          <cell r="F80">
            <v>0</v>
          </cell>
          <cell r="G80">
            <v>308.74400000000003</v>
          </cell>
        </row>
        <row r="81">
          <cell r="D81">
            <v>207.32</v>
          </cell>
          <cell r="E81">
            <v>10064.73</v>
          </cell>
          <cell r="F81">
            <v>0</v>
          </cell>
          <cell r="G81">
            <v>66.454999999999998</v>
          </cell>
        </row>
        <row r="82">
          <cell r="D82">
            <v>90.52</v>
          </cell>
          <cell r="E82">
            <v>7881.643</v>
          </cell>
          <cell r="F82">
            <v>0</v>
          </cell>
          <cell r="G82">
            <v>20.609000000000002</v>
          </cell>
        </row>
        <row r="84">
          <cell r="D84">
            <v>787</v>
          </cell>
          <cell r="E84">
            <v>7585</v>
          </cell>
          <cell r="F84">
            <v>0</v>
          </cell>
        </row>
        <row r="85">
          <cell r="D85">
            <v>84</v>
          </cell>
          <cell r="E85">
            <v>8060</v>
          </cell>
          <cell r="F85">
            <v>0</v>
          </cell>
        </row>
        <row r="86">
          <cell r="D86">
            <v>360</v>
          </cell>
          <cell r="E86">
            <v>8434</v>
          </cell>
          <cell r="F86">
            <v>0</v>
          </cell>
        </row>
        <row r="87">
          <cell r="D87">
            <v>271</v>
          </cell>
          <cell r="E87">
            <v>8230</v>
          </cell>
          <cell r="F87">
            <v>0</v>
          </cell>
        </row>
        <row r="88">
          <cell r="D88">
            <v>1307</v>
          </cell>
          <cell r="E88">
            <v>8087</v>
          </cell>
          <cell r="F88">
            <v>0</v>
          </cell>
        </row>
        <row r="89">
          <cell r="D89">
            <v>173</v>
          </cell>
          <cell r="E89">
            <v>8958</v>
          </cell>
          <cell r="F89">
            <v>0</v>
          </cell>
        </row>
        <row r="90">
          <cell r="D90">
            <v>270</v>
          </cell>
          <cell r="E90">
            <v>9479</v>
          </cell>
          <cell r="F90">
            <v>0</v>
          </cell>
        </row>
        <row r="91">
          <cell r="D91">
            <v>296</v>
          </cell>
          <cell r="E91">
            <v>7947</v>
          </cell>
          <cell r="F91">
            <v>0</v>
          </cell>
        </row>
        <row r="92">
          <cell r="D92">
            <v>860</v>
          </cell>
          <cell r="E92">
            <v>7356</v>
          </cell>
          <cell r="F92">
            <v>0</v>
          </cell>
        </row>
        <row r="93">
          <cell r="D93">
            <v>185</v>
          </cell>
          <cell r="E93">
            <v>8109</v>
          </cell>
          <cell r="F93">
            <v>0</v>
          </cell>
        </row>
        <row r="94">
          <cell r="D94">
            <v>245</v>
          </cell>
          <cell r="E94">
            <v>9884</v>
          </cell>
          <cell r="F94">
            <v>0</v>
          </cell>
        </row>
        <row r="95">
          <cell r="D95">
            <v>224</v>
          </cell>
          <cell r="E95">
            <v>8660</v>
          </cell>
          <cell r="F95">
            <v>0</v>
          </cell>
        </row>
        <row r="96">
          <cell r="D96">
            <v>1045</v>
          </cell>
          <cell r="E96">
            <v>7696</v>
          </cell>
          <cell r="F96">
            <v>0</v>
          </cell>
        </row>
        <row r="97">
          <cell r="D97">
            <v>270</v>
          </cell>
          <cell r="E97">
            <v>7568</v>
          </cell>
          <cell r="F97">
            <v>0</v>
          </cell>
        </row>
        <row r="98">
          <cell r="D98">
            <v>156</v>
          </cell>
          <cell r="E98">
            <v>7836</v>
          </cell>
          <cell r="F98">
            <v>0</v>
          </cell>
        </row>
        <row r="99">
          <cell r="D99">
            <v>165</v>
          </cell>
          <cell r="E99">
            <v>8376</v>
          </cell>
          <cell r="F99">
            <v>0</v>
          </cell>
        </row>
        <row r="100">
          <cell r="D100">
            <v>347</v>
          </cell>
          <cell r="E100">
            <v>9359</v>
          </cell>
          <cell r="F100">
            <v>0</v>
          </cell>
        </row>
        <row r="101">
          <cell r="D101">
            <v>286</v>
          </cell>
          <cell r="E101">
            <v>9406</v>
          </cell>
          <cell r="F101">
            <v>0</v>
          </cell>
        </row>
        <row r="102">
          <cell r="D102">
            <v>167</v>
          </cell>
          <cell r="E102">
            <v>8461</v>
          </cell>
          <cell r="F102">
            <v>0</v>
          </cell>
        </row>
        <row r="103">
          <cell r="D103">
            <v>218</v>
          </cell>
          <cell r="E103">
            <v>7187</v>
          </cell>
          <cell r="F103">
            <v>0</v>
          </cell>
        </row>
        <row r="105">
          <cell r="D105">
            <v>238.5</v>
          </cell>
          <cell r="E105">
            <v>6475</v>
          </cell>
          <cell r="F105">
            <v>0</v>
          </cell>
        </row>
        <row r="106">
          <cell r="D106">
            <v>203</v>
          </cell>
          <cell r="E106">
            <v>6982</v>
          </cell>
          <cell r="F106">
            <v>0</v>
          </cell>
        </row>
        <row r="107">
          <cell r="D107">
            <v>575</v>
          </cell>
          <cell r="E107">
            <v>8477.5</v>
          </cell>
          <cell r="F107">
            <v>0</v>
          </cell>
        </row>
        <row r="108">
          <cell r="D108">
            <v>145</v>
          </cell>
          <cell r="E108">
            <v>6855.5</v>
          </cell>
          <cell r="F108">
            <v>0</v>
          </cell>
        </row>
        <row r="109">
          <cell r="D109">
            <v>81.5</v>
          </cell>
          <cell r="E109">
            <v>7815</v>
          </cell>
          <cell r="F109">
            <v>0</v>
          </cell>
        </row>
        <row r="110">
          <cell r="D110">
            <v>239.5</v>
          </cell>
          <cell r="E110">
            <v>6729.5</v>
          </cell>
          <cell r="F110">
            <v>0</v>
          </cell>
        </row>
        <row r="111">
          <cell r="D111">
            <v>323</v>
          </cell>
          <cell r="E111">
            <v>8080.5</v>
          </cell>
          <cell r="F111">
            <v>0</v>
          </cell>
        </row>
        <row r="112">
          <cell r="D112">
            <v>908.5</v>
          </cell>
          <cell r="E112">
            <v>11865</v>
          </cell>
          <cell r="F112">
            <v>0</v>
          </cell>
        </row>
        <row r="113">
          <cell r="D113">
            <v>830</v>
          </cell>
          <cell r="E113">
            <v>8631.5</v>
          </cell>
          <cell r="F113">
            <v>0</v>
          </cell>
        </row>
        <row r="114">
          <cell r="D114">
            <v>210</v>
          </cell>
          <cell r="E114">
            <v>6697.5</v>
          </cell>
          <cell r="F114">
            <v>0</v>
          </cell>
        </row>
        <row r="115">
          <cell r="D115">
            <v>375</v>
          </cell>
          <cell r="E115">
            <v>9161.5</v>
          </cell>
          <cell r="F115">
            <v>0</v>
          </cell>
        </row>
        <row r="116">
          <cell r="D116">
            <v>260</v>
          </cell>
          <cell r="E116">
            <v>8596.5</v>
          </cell>
          <cell r="F116">
            <v>0</v>
          </cell>
        </row>
        <row r="117">
          <cell r="D117">
            <v>249</v>
          </cell>
          <cell r="E117">
            <v>9175.5</v>
          </cell>
          <cell r="F117">
            <v>0</v>
          </cell>
        </row>
        <row r="118">
          <cell r="D118">
            <v>198</v>
          </cell>
          <cell r="E118">
            <v>6105.5</v>
          </cell>
          <cell r="F118">
            <v>0</v>
          </cell>
        </row>
        <row r="120">
          <cell r="D120">
            <v>374</v>
          </cell>
          <cell r="E120">
            <v>8913</v>
          </cell>
          <cell r="F120">
            <v>0</v>
          </cell>
        </row>
        <row r="121">
          <cell r="D121">
            <v>267</v>
          </cell>
          <cell r="E121">
            <v>7588</v>
          </cell>
          <cell r="F121">
            <v>0</v>
          </cell>
        </row>
        <row r="122">
          <cell r="D122">
            <v>291</v>
          </cell>
          <cell r="E122">
            <v>7341</v>
          </cell>
          <cell r="F122">
            <v>0</v>
          </cell>
        </row>
        <row r="123">
          <cell r="D123">
            <v>546</v>
          </cell>
          <cell r="E123">
            <v>7991</v>
          </cell>
          <cell r="F123">
            <v>0</v>
          </cell>
        </row>
        <row r="124">
          <cell r="D124">
            <v>158</v>
          </cell>
          <cell r="E124">
            <v>7736</v>
          </cell>
          <cell r="F124">
            <v>0</v>
          </cell>
        </row>
        <row r="125">
          <cell r="D125">
            <v>711</v>
          </cell>
          <cell r="E125">
            <v>7324</v>
          </cell>
        </row>
        <row r="126">
          <cell r="D126">
            <v>352</v>
          </cell>
          <cell r="E126">
            <v>7723</v>
          </cell>
        </row>
        <row r="127">
          <cell r="D127">
            <v>320</v>
          </cell>
          <cell r="E127">
            <v>10577</v>
          </cell>
        </row>
        <row r="128">
          <cell r="D128">
            <v>1215</v>
          </cell>
          <cell r="E128">
            <v>6072</v>
          </cell>
        </row>
        <row r="129">
          <cell r="D129">
            <v>403</v>
          </cell>
          <cell r="E129">
            <v>10798</v>
          </cell>
        </row>
        <row r="131">
          <cell r="D131">
            <v>338</v>
          </cell>
          <cell r="E131">
            <v>5796</v>
          </cell>
          <cell r="F131">
            <v>3587</v>
          </cell>
        </row>
        <row r="132">
          <cell r="D132">
            <v>715</v>
          </cell>
          <cell r="E132">
            <v>5997</v>
          </cell>
          <cell r="F132">
            <v>4924</v>
          </cell>
        </row>
        <row r="133">
          <cell r="D133">
            <v>2093</v>
          </cell>
          <cell r="E133">
            <v>4031</v>
          </cell>
          <cell r="F133">
            <v>7489</v>
          </cell>
        </row>
        <row r="134">
          <cell r="D134">
            <v>662</v>
          </cell>
          <cell r="E134">
            <v>3532</v>
          </cell>
          <cell r="F134">
            <v>7309</v>
          </cell>
        </row>
        <row r="135">
          <cell r="D135">
            <v>783</v>
          </cell>
          <cell r="E135">
            <v>5689</v>
          </cell>
          <cell r="F135">
            <v>4487</v>
          </cell>
        </row>
        <row r="136">
          <cell r="D136">
            <v>1219</v>
          </cell>
          <cell r="E136">
            <v>5078</v>
          </cell>
          <cell r="F136">
            <v>4465</v>
          </cell>
        </row>
        <row r="137">
          <cell r="D137">
            <v>556</v>
          </cell>
          <cell r="E137">
            <v>6048</v>
          </cell>
          <cell r="F137">
            <v>4987</v>
          </cell>
        </row>
        <row r="138">
          <cell r="D138">
            <v>345</v>
          </cell>
          <cell r="E138">
            <v>5019</v>
          </cell>
          <cell r="F138">
            <v>3865</v>
          </cell>
        </row>
        <row r="139">
          <cell r="D139">
            <v>1012</v>
          </cell>
          <cell r="E139">
            <v>5020</v>
          </cell>
          <cell r="F139">
            <v>3453</v>
          </cell>
        </row>
        <row r="140">
          <cell r="D140">
            <v>815</v>
          </cell>
          <cell r="E140">
            <v>5183</v>
          </cell>
          <cell r="F140">
            <v>3956</v>
          </cell>
        </row>
        <row r="141">
          <cell r="D141">
            <v>274</v>
          </cell>
          <cell r="E141">
            <v>5763</v>
          </cell>
          <cell r="F141">
            <v>3272</v>
          </cell>
        </row>
        <row r="142">
          <cell r="D142">
            <v>227</v>
          </cell>
          <cell r="E142">
            <v>4543</v>
          </cell>
          <cell r="F142">
            <v>2631</v>
          </cell>
        </row>
        <row r="143">
          <cell r="D143">
            <v>291</v>
          </cell>
          <cell r="E143">
            <v>4632</v>
          </cell>
          <cell r="F143">
            <v>2781</v>
          </cell>
        </row>
        <row r="144">
          <cell r="D144">
            <v>224</v>
          </cell>
          <cell r="E144">
            <v>4937</v>
          </cell>
          <cell r="F144">
            <v>2680</v>
          </cell>
        </row>
        <row r="146">
          <cell r="D146">
            <v>56.4</v>
          </cell>
          <cell r="E146">
            <v>4693</v>
          </cell>
          <cell r="F146">
            <v>2398.6</v>
          </cell>
        </row>
        <row r="147">
          <cell r="D147">
            <v>84.24</v>
          </cell>
          <cell r="E147">
            <v>4582.4799999999996</v>
          </cell>
          <cell r="F147">
            <v>2483.2800000000002</v>
          </cell>
        </row>
        <row r="148">
          <cell r="D148">
            <v>273</v>
          </cell>
          <cell r="E148">
            <v>5285.6</v>
          </cell>
          <cell r="F148">
            <v>2831.4</v>
          </cell>
        </row>
        <row r="149">
          <cell r="D149">
            <v>2809.66</v>
          </cell>
          <cell r="E149">
            <v>4834.8</v>
          </cell>
          <cell r="F149">
            <v>9403.5400000000009</v>
          </cell>
        </row>
        <row r="150">
          <cell r="D150">
            <v>427</v>
          </cell>
          <cell r="E150">
            <v>4680</v>
          </cell>
          <cell r="F150">
            <v>2746</v>
          </cell>
        </row>
        <row r="151">
          <cell r="D151">
            <v>320.68</v>
          </cell>
          <cell r="E151">
            <v>4730.6000000000004</v>
          </cell>
          <cell r="F151">
            <v>2680.72</v>
          </cell>
        </row>
        <row r="152">
          <cell r="D152">
            <v>158.12</v>
          </cell>
          <cell r="E152">
            <v>4859.8</v>
          </cell>
          <cell r="F152">
            <v>2717.08</v>
          </cell>
        </row>
        <row r="153">
          <cell r="D153">
            <v>133.52000000000001</v>
          </cell>
          <cell r="E153">
            <v>5009.8</v>
          </cell>
          <cell r="F153">
            <v>2802.68</v>
          </cell>
        </row>
        <row r="154">
          <cell r="D154">
            <v>1194</v>
          </cell>
          <cell r="E154">
            <v>4653.6000000000004</v>
          </cell>
          <cell r="F154">
            <v>2953.4</v>
          </cell>
        </row>
        <row r="155">
          <cell r="D155">
            <v>371.12</v>
          </cell>
          <cell r="E155">
            <v>4141.8</v>
          </cell>
          <cell r="F155">
            <v>2379.08</v>
          </cell>
        </row>
        <row r="156">
          <cell r="D156">
            <v>413</v>
          </cell>
          <cell r="E156">
            <v>5136.2</v>
          </cell>
          <cell r="F156">
            <v>2597.8000000000002</v>
          </cell>
        </row>
        <row r="157">
          <cell r="D157">
            <v>102.92</v>
          </cell>
          <cell r="E157">
            <v>4745</v>
          </cell>
          <cell r="F157">
            <v>2968.8</v>
          </cell>
        </row>
        <row r="158">
          <cell r="D158">
            <v>244.24</v>
          </cell>
          <cell r="E158">
            <v>4979.3999999999996</v>
          </cell>
          <cell r="F158">
            <v>2494.36</v>
          </cell>
        </row>
        <row r="159">
          <cell r="D159">
            <v>221.8</v>
          </cell>
          <cell r="E159">
            <v>4889.3999999999996</v>
          </cell>
          <cell r="F159">
            <v>2841.8</v>
          </cell>
        </row>
        <row r="160">
          <cell r="D160">
            <v>223.6</v>
          </cell>
          <cell r="E160">
            <v>5296.2</v>
          </cell>
          <cell r="F160">
            <v>3586.2</v>
          </cell>
        </row>
        <row r="161">
          <cell r="D161">
            <v>175.72</v>
          </cell>
          <cell r="E161">
            <v>5046.3999999999996</v>
          </cell>
          <cell r="F161">
            <v>2731.88</v>
          </cell>
        </row>
        <row r="162">
          <cell r="D162">
            <v>251.72</v>
          </cell>
          <cell r="E162">
            <v>5221.8</v>
          </cell>
          <cell r="F162">
            <v>2704.48</v>
          </cell>
        </row>
        <row r="163">
          <cell r="D163">
            <v>275.56</v>
          </cell>
          <cell r="E163">
            <v>5061.2</v>
          </cell>
          <cell r="F163">
            <v>3064.24</v>
          </cell>
        </row>
        <row r="164">
          <cell r="D164">
            <v>391.8</v>
          </cell>
          <cell r="E164">
            <v>6763</v>
          </cell>
          <cell r="F164">
            <v>2084.1999999999998</v>
          </cell>
        </row>
        <row r="165">
          <cell r="D165">
            <v>167.2</v>
          </cell>
          <cell r="E165">
            <v>5982</v>
          </cell>
          <cell r="F165">
            <v>2257.8000000000002</v>
          </cell>
        </row>
        <row r="166">
          <cell r="D166">
            <v>165.44</v>
          </cell>
          <cell r="E166">
            <v>5183.2</v>
          </cell>
          <cell r="F166">
            <v>2920.36</v>
          </cell>
        </row>
        <row r="167">
          <cell r="D167">
            <v>70.64</v>
          </cell>
          <cell r="E167">
            <v>5418.4</v>
          </cell>
          <cell r="F167">
            <v>2989.96</v>
          </cell>
        </row>
        <row r="169">
          <cell r="D169">
            <v>740</v>
          </cell>
          <cell r="E169">
            <v>4777</v>
          </cell>
          <cell r="F169">
            <v>3573</v>
          </cell>
        </row>
        <row r="170">
          <cell r="D170">
            <v>410</v>
          </cell>
          <cell r="E170">
            <v>4813</v>
          </cell>
          <cell r="F170">
            <v>3452</v>
          </cell>
        </row>
        <row r="171">
          <cell r="D171">
            <v>788</v>
          </cell>
          <cell r="E171">
            <v>4115</v>
          </cell>
          <cell r="F171">
            <v>3009</v>
          </cell>
        </row>
        <row r="172">
          <cell r="D172">
            <v>327</v>
          </cell>
          <cell r="E172">
            <v>5245</v>
          </cell>
          <cell r="F172">
            <v>3902</v>
          </cell>
        </row>
        <row r="173">
          <cell r="D173">
            <v>461</v>
          </cell>
          <cell r="E173">
            <v>5473</v>
          </cell>
          <cell r="F173">
            <v>3682</v>
          </cell>
        </row>
        <row r="174">
          <cell r="D174">
            <v>571</v>
          </cell>
          <cell r="E174">
            <v>5392</v>
          </cell>
          <cell r="F174">
            <v>3119</v>
          </cell>
        </row>
        <row r="175">
          <cell r="D175">
            <v>63</v>
          </cell>
          <cell r="E175">
            <v>5075</v>
          </cell>
          <cell r="F175">
            <v>3388</v>
          </cell>
        </row>
        <row r="176">
          <cell r="D176">
            <v>107</v>
          </cell>
          <cell r="E176">
            <v>4992</v>
          </cell>
          <cell r="F176">
            <v>2572</v>
          </cell>
        </row>
        <row r="177">
          <cell r="D177">
            <v>90</v>
          </cell>
          <cell r="E177">
            <v>5231</v>
          </cell>
          <cell r="F177">
            <v>3042</v>
          </cell>
        </row>
        <row r="178">
          <cell r="D178">
            <v>35</v>
          </cell>
          <cell r="E178">
            <v>4518</v>
          </cell>
          <cell r="F178">
            <v>2385</v>
          </cell>
        </row>
        <row r="179">
          <cell r="D179">
            <v>1023</v>
          </cell>
          <cell r="E179">
            <v>5386</v>
          </cell>
          <cell r="F179">
            <v>4121</v>
          </cell>
        </row>
        <row r="180">
          <cell r="D180">
            <v>244</v>
          </cell>
          <cell r="E180">
            <v>4445</v>
          </cell>
          <cell r="F180">
            <v>2433</v>
          </cell>
        </row>
        <row r="181">
          <cell r="D181">
            <v>690</v>
          </cell>
          <cell r="E181">
            <v>5629</v>
          </cell>
          <cell r="F181">
            <v>4013</v>
          </cell>
        </row>
        <row r="182">
          <cell r="D182">
            <v>135</v>
          </cell>
          <cell r="E182">
            <v>5021</v>
          </cell>
          <cell r="F182">
            <v>3659</v>
          </cell>
        </row>
        <row r="183">
          <cell r="D183">
            <v>52</v>
          </cell>
          <cell r="E183">
            <v>5191</v>
          </cell>
          <cell r="F183">
            <v>3221</v>
          </cell>
        </row>
      </sheetData>
      <sheetData sheetId="3"/>
      <sheetData sheetId="4">
        <row r="11">
          <cell r="I11">
            <v>0</v>
          </cell>
        </row>
        <row r="16">
          <cell r="D16">
            <v>14476.007</v>
          </cell>
          <cell r="E16">
            <v>8488.1049999999996</v>
          </cell>
          <cell r="F16">
            <v>9345.0679999999993</v>
          </cell>
          <cell r="G16">
            <v>9125.1949999999997</v>
          </cell>
          <cell r="H16">
            <v>10973.01</v>
          </cell>
          <cell r="I16">
            <v>11262.306</v>
          </cell>
          <cell r="J16">
            <v>9332.9879999999994</v>
          </cell>
          <cell r="K16">
            <v>9213.8109999999997</v>
          </cell>
          <cell r="L16">
            <v>9642</v>
          </cell>
          <cell r="M16">
            <v>8719.9609999999993</v>
          </cell>
          <cell r="N16">
            <v>9801.1650000000009</v>
          </cell>
          <cell r="O16">
            <v>9662.241</v>
          </cell>
          <cell r="P16">
            <v>9656.2739999999994</v>
          </cell>
          <cell r="Q16">
            <v>7569.01</v>
          </cell>
          <cell r="R16">
            <v>10204.553</v>
          </cell>
          <cell r="S16">
            <v>9410.2950000000001</v>
          </cell>
          <cell r="T16">
            <v>10347.147999999999</v>
          </cell>
          <cell r="U16">
            <v>10738</v>
          </cell>
          <cell r="V16">
            <v>8402.3909999999996</v>
          </cell>
          <cell r="W16">
            <v>9726.7860000000001</v>
          </cell>
          <cell r="X16">
            <v>10058.403</v>
          </cell>
          <cell r="Y16">
            <v>9202.4169999999995</v>
          </cell>
          <cell r="Z16">
            <v>9005.3690000000006</v>
          </cell>
          <cell r="AA16">
            <v>7347.174</v>
          </cell>
          <cell r="AB16">
            <v>8323.098</v>
          </cell>
          <cell r="AC16">
            <v>8854.1839999999993</v>
          </cell>
          <cell r="AD16">
            <v>8537.4339999999993</v>
          </cell>
          <cell r="AE16">
            <v>11219.674999999999</v>
          </cell>
          <cell r="AF16">
            <v>8801.7819999999992</v>
          </cell>
          <cell r="AG16">
            <v>8619.8539999999994</v>
          </cell>
          <cell r="AH16">
            <v>7847.5129999999999</v>
          </cell>
          <cell r="AI16">
            <v>8110.7259999999997</v>
          </cell>
        </row>
        <row r="31">
          <cell r="D31">
            <v>293.09899999999999</v>
          </cell>
          <cell r="E31">
            <v>171.971</v>
          </cell>
          <cell r="F31">
            <v>188.815</v>
          </cell>
          <cell r="G31">
            <v>184.55</v>
          </cell>
          <cell r="H31">
            <v>222.035</v>
          </cell>
          <cell r="I31">
            <v>227.41300000000001</v>
          </cell>
          <cell r="J31">
            <v>188.702</v>
          </cell>
          <cell r="K31">
            <v>186.053</v>
          </cell>
          <cell r="L31">
            <v>194.738</v>
          </cell>
          <cell r="M31">
            <v>176.72900000000001</v>
          </cell>
          <cell r="N31">
            <v>197.922</v>
          </cell>
          <cell r="O31">
            <v>194.96600000000001</v>
          </cell>
          <cell r="P31">
            <v>195.197</v>
          </cell>
          <cell r="Q31">
            <v>153.285</v>
          </cell>
          <cell r="R31">
            <v>206.41200000000001</v>
          </cell>
          <cell r="S31">
            <v>190.23699999999999</v>
          </cell>
          <cell r="T31">
            <v>209.10499999999999</v>
          </cell>
          <cell r="U31">
            <v>216.95599999999999</v>
          </cell>
          <cell r="V31">
            <v>169.89</v>
          </cell>
          <cell r="W31">
            <v>196.55500000000001</v>
          </cell>
          <cell r="X31">
            <v>203.26400000000001</v>
          </cell>
          <cell r="Y31">
            <v>186.29300000000001</v>
          </cell>
          <cell r="Z31">
            <v>182.166</v>
          </cell>
          <cell r="AA31">
            <v>148.78</v>
          </cell>
          <cell r="AB31">
            <v>168.548</v>
          </cell>
          <cell r="AC31">
            <v>179.048</v>
          </cell>
          <cell r="AD31">
            <v>172.63900000000001</v>
          </cell>
          <cell r="AE31">
            <v>226.512</v>
          </cell>
          <cell r="AF31">
            <v>178.89099999999999</v>
          </cell>
          <cell r="AG31">
            <v>174.24600000000001</v>
          </cell>
          <cell r="AH31">
            <v>158.852</v>
          </cell>
          <cell r="AI31">
            <v>164.06700000000001</v>
          </cell>
        </row>
        <row r="33">
          <cell r="D33">
            <v>0</v>
          </cell>
          <cell r="E33">
            <v>0</v>
          </cell>
          <cell r="F33">
            <v>3164.223</v>
          </cell>
          <cell r="G33">
            <v>0</v>
          </cell>
          <cell r="H33">
            <v>0</v>
          </cell>
          <cell r="I33">
            <v>0</v>
          </cell>
          <cell r="J33">
            <v>0</v>
          </cell>
          <cell r="Y33">
            <v>0</v>
          </cell>
          <cell r="Z33">
            <v>11923.982</v>
          </cell>
          <cell r="AA33">
            <v>0</v>
          </cell>
        </row>
      </sheetData>
      <sheetData sheetId="5">
        <row r="15">
          <cell r="D15">
            <v>7739</v>
          </cell>
          <cell r="E15">
            <v>11795</v>
          </cell>
          <cell r="F15">
            <v>9769</v>
          </cell>
          <cell r="G15">
            <v>9366</v>
          </cell>
          <cell r="H15">
            <v>9809</v>
          </cell>
          <cell r="I15">
            <v>7970</v>
          </cell>
          <cell r="J15">
            <v>7818</v>
          </cell>
          <cell r="K15">
            <v>7048</v>
          </cell>
          <cell r="L15">
            <v>8227</v>
          </cell>
          <cell r="M15">
            <v>7571</v>
          </cell>
          <cell r="N15">
            <v>10316</v>
          </cell>
          <cell r="O15">
            <v>9477</v>
          </cell>
          <cell r="P15">
            <v>7334</v>
          </cell>
          <cell r="Q15">
            <v>9293</v>
          </cell>
          <cell r="R15">
            <v>8990</v>
          </cell>
          <cell r="S15">
            <v>9786</v>
          </cell>
          <cell r="T15">
            <v>9000</v>
          </cell>
          <cell r="U15">
            <v>9639</v>
          </cell>
          <cell r="V15">
            <v>9249</v>
          </cell>
          <cell r="W15">
            <v>9363</v>
          </cell>
          <cell r="X15">
            <v>9472</v>
          </cell>
          <cell r="Y15">
            <v>11427</v>
          </cell>
          <cell r="Z15">
            <v>8299</v>
          </cell>
          <cell r="AA15">
            <v>13522</v>
          </cell>
          <cell r="AB15">
            <v>9973</v>
          </cell>
          <cell r="AC15">
            <v>12520</v>
          </cell>
          <cell r="AD15">
            <v>11264</v>
          </cell>
        </row>
        <row r="30">
          <cell r="D30">
            <v>108</v>
          </cell>
          <cell r="E30">
            <v>167</v>
          </cell>
          <cell r="F30">
            <v>136</v>
          </cell>
          <cell r="G30">
            <v>129</v>
          </cell>
          <cell r="H30">
            <v>133</v>
          </cell>
          <cell r="I30">
            <v>109</v>
          </cell>
          <cell r="J30">
            <v>107</v>
          </cell>
          <cell r="K30">
            <v>99</v>
          </cell>
          <cell r="L30">
            <v>114</v>
          </cell>
          <cell r="M30">
            <v>107</v>
          </cell>
          <cell r="N30">
            <v>139</v>
          </cell>
          <cell r="O30">
            <v>133</v>
          </cell>
          <cell r="P30">
            <v>105</v>
          </cell>
          <cell r="Q30">
            <v>131</v>
          </cell>
          <cell r="R30">
            <v>127</v>
          </cell>
          <cell r="S30">
            <v>138</v>
          </cell>
          <cell r="T30">
            <v>126</v>
          </cell>
          <cell r="U30">
            <v>133</v>
          </cell>
          <cell r="V30">
            <v>126</v>
          </cell>
          <cell r="W30">
            <v>132</v>
          </cell>
          <cell r="X30">
            <v>130</v>
          </cell>
          <cell r="Y30">
            <v>156</v>
          </cell>
          <cell r="Z30">
            <v>118</v>
          </cell>
          <cell r="AA30">
            <v>184</v>
          </cell>
          <cell r="AB30">
            <v>138</v>
          </cell>
          <cell r="AC30">
            <v>177</v>
          </cell>
          <cell r="AD30">
            <v>158</v>
          </cell>
        </row>
      </sheetData>
      <sheetData sheetId="6">
        <row r="15">
          <cell r="D15">
            <v>7814.567</v>
          </cell>
          <cell r="E15">
            <v>9116.6409999999996</v>
          </cell>
          <cell r="F15">
            <v>6667.1809999999996</v>
          </cell>
          <cell r="G15">
            <v>7174.4679999999998</v>
          </cell>
          <cell r="H15">
            <v>8988.6479999999992</v>
          </cell>
          <cell r="I15">
            <v>7879.9570000000003</v>
          </cell>
          <cell r="J15">
            <v>6503.1930000000002</v>
          </cell>
          <cell r="K15">
            <v>7730.8180000000002</v>
          </cell>
          <cell r="L15">
            <v>12383.798000000001</v>
          </cell>
          <cell r="M15">
            <v>8731.518</v>
          </cell>
          <cell r="N15">
            <v>8275.7890000000007</v>
          </cell>
          <cell r="O15">
            <v>7974.6970000000001</v>
          </cell>
          <cell r="P15">
            <v>8152.8919999999998</v>
          </cell>
          <cell r="Q15">
            <v>7312.848</v>
          </cell>
          <cell r="R15">
            <v>13042.84</v>
          </cell>
          <cell r="S15">
            <v>9033.4380000000001</v>
          </cell>
          <cell r="T15">
            <v>12642.28</v>
          </cell>
          <cell r="U15">
            <v>10068.407999999999</v>
          </cell>
        </row>
        <row r="30">
          <cell r="D30">
            <v>157.596</v>
          </cell>
          <cell r="E30">
            <v>188.31700000000001</v>
          </cell>
          <cell r="F30">
            <v>191.904</v>
          </cell>
          <cell r="G30">
            <v>152.572</v>
          </cell>
          <cell r="H30">
            <v>185.78899999999999</v>
          </cell>
          <cell r="I30">
            <v>164.28</v>
          </cell>
          <cell r="J30">
            <v>186.94300000000001</v>
          </cell>
          <cell r="K30">
            <v>165.59100000000001</v>
          </cell>
          <cell r="L30">
            <v>250.506</v>
          </cell>
          <cell r="M30">
            <v>184.68299999999999</v>
          </cell>
          <cell r="N30">
            <v>167.13300000000001</v>
          </cell>
          <cell r="O30">
            <v>163.74799999999999</v>
          </cell>
          <cell r="P30">
            <v>167.078</v>
          </cell>
          <cell r="Q30">
            <v>147.839</v>
          </cell>
          <cell r="R30">
            <v>263.29599999999999</v>
          </cell>
          <cell r="S30">
            <v>211.06899999999999</v>
          </cell>
          <cell r="T30">
            <v>260.33300000000003</v>
          </cell>
          <cell r="U30">
            <v>203.642</v>
          </cell>
        </row>
        <row r="32">
          <cell r="D32">
            <v>20.609000000000002</v>
          </cell>
          <cell r="E32">
            <v>249.32300000000001</v>
          </cell>
          <cell r="F32">
            <v>2862.3989999999999</v>
          </cell>
          <cell r="G32">
            <v>401.60899999999998</v>
          </cell>
          <cell r="H32">
            <v>245.7</v>
          </cell>
          <cell r="I32">
            <v>281.548</v>
          </cell>
          <cell r="J32">
            <v>2780.9389999999999</v>
          </cell>
          <cell r="K32">
            <v>498.834</v>
          </cell>
          <cell r="L32">
            <v>78.501999999999995</v>
          </cell>
          <cell r="M32">
            <v>450.11099999999999</v>
          </cell>
          <cell r="N32">
            <v>28.379000000000001</v>
          </cell>
          <cell r="O32">
            <v>165.45599999999999</v>
          </cell>
          <cell r="P32">
            <v>151.14599999999999</v>
          </cell>
          <cell r="Q32">
            <v>29.245000000000001</v>
          </cell>
          <cell r="R32">
            <v>56.332000000000001</v>
          </cell>
          <cell r="S32">
            <v>1467.528</v>
          </cell>
          <cell r="T32">
            <v>308.74400000000003</v>
          </cell>
          <cell r="U32">
            <v>66.454999999999998</v>
          </cell>
        </row>
      </sheetData>
      <sheetData sheetId="7">
        <row r="15">
          <cell r="D15">
            <v>8276</v>
          </cell>
          <cell r="E15">
            <v>8047</v>
          </cell>
          <cell r="F15">
            <v>8692</v>
          </cell>
          <cell r="G15">
            <v>8399</v>
          </cell>
          <cell r="H15">
            <v>9283</v>
          </cell>
          <cell r="I15">
            <v>9025</v>
          </cell>
          <cell r="J15">
            <v>9635</v>
          </cell>
          <cell r="K15">
            <v>8147</v>
          </cell>
          <cell r="L15">
            <v>8121</v>
          </cell>
          <cell r="M15">
            <v>8196</v>
          </cell>
          <cell r="N15">
            <v>10007</v>
          </cell>
          <cell r="O15">
            <v>8780</v>
          </cell>
          <cell r="P15">
            <v>8636</v>
          </cell>
          <cell r="Q15">
            <v>7746</v>
          </cell>
          <cell r="R15">
            <v>7896</v>
          </cell>
          <cell r="S15">
            <v>8433</v>
          </cell>
          <cell r="T15">
            <v>9591</v>
          </cell>
          <cell r="U15">
            <v>9570</v>
          </cell>
          <cell r="V15">
            <v>8529</v>
          </cell>
          <cell r="W15">
            <v>7315</v>
          </cell>
        </row>
        <row r="30">
          <cell r="D30">
            <v>96</v>
          </cell>
          <cell r="E30">
            <v>97</v>
          </cell>
          <cell r="F30">
            <v>102</v>
          </cell>
          <cell r="G30">
            <v>102</v>
          </cell>
          <cell r="H30">
            <v>111</v>
          </cell>
          <cell r="I30">
            <v>106</v>
          </cell>
          <cell r="J30">
            <v>114</v>
          </cell>
          <cell r="K30">
            <v>96</v>
          </cell>
          <cell r="L30">
            <v>95</v>
          </cell>
          <cell r="M30">
            <v>98</v>
          </cell>
          <cell r="N30">
            <v>122</v>
          </cell>
          <cell r="O30">
            <v>104</v>
          </cell>
          <cell r="P30">
            <v>105</v>
          </cell>
          <cell r="Q30">
            <v>92</v>
          </cell>
          <cell r="R30">
            <v>96</v>
          </cell>
          <cell r="S30">
            <v>108</v>
          </cell>
          <cell r="T30">
            <v>115</v>
          </cell>
          <cell r="U30">
            <v>122</v>
          </cell>
          <cell r="V30">
            <v>99</v>
          </cell>
          <cell r="W30">
            <v>90</v>
          </cell>
        </row>
      </sheetData>
      <sheetData sheetId="8">
        <row r="15">
          <cell r="D15">
            <v>6581.5</v>
          </cell>
          <cell r="E15">
            <v>7044</v>
          </cell>
          <cell r="F15">
            <v>8874.5</v>
          </cell>
          <cell r="G15">
            <v>6864</v>
          </cell>
          <cell r="H15">
            <v>7741.5</v>
          </cell>
          <cell r="I15">
            <v>6832</v>
          </cell>
          <cell r="J15">
            <v>8238.5</v>
          </cell>
          <cell r="K15">
            <v>12544.5</v>
          </cell>
          <cell r="L15">
            <v>9275.5</v>
          </cell>
          <cell r="M15">
            <v>6771.5</v>
          </cell>
          <cell r="N15">
            <v>9349.5</v>
          </cell>
          <cell r="O15">
            <v>8682.5</v>
          </cell>
          <cell r="P15">
            <v>9239.5</v>
          </cell>
          <cell r="Q15">
            <v>6179.5</v>
          </cell>
        </row>
        <row r="30">
          <cell r="D30">
            <v>132</v>
          </cell>
          <cell r="E30">
            <v>141</v>
          </cell>
          <cell r="F30">
            <v>178</v>
          </cell>
          <cell r="G30">
            <v>136</v>
          </cell>
          <cell r="H30">
            <v>155</v>
          </cell>
          <cell r="I30">
            <v>137</v>
          </cell>
          <cell r="J30">
            <v>165</v>
          </cell>
          <cell r="K30">
            <v>229</v>
          </cell>
          <cell r="L30">
            <v>186</v>
          </cell>
          <cell r="M30">
            <v>136</v>
          </cell>
          <cell r="N30">
            <v>187</v>
          </cell>
          <cell r="O30">
            <v>174</v>
          </cell>
          <cell r="P30">
            <v>185</v>
          </cell>
          <cell r="Q30">
            <v>124</v>
          </cell>
        </row>
      </sheetData>
      <sheetData sheetId="9">
        <row r="15">
          <cell r="D15">
            <v>9103</v>
          </cell>
          <cell r="E15">
            <v>7700</v>
          </cell>
          <cell r="F15">
            <v>7481</v>
          </cell>
          <cell r="G15">
            <v>8369</v>
          </cell>
          <cell r="H15">
            <v>7738</v>
          </cell>
          <cell r="I15">
            <v>7876</v>
          </cell>
          <cell r="J15">
            <v>7915</v>
          </cell>
          <cell r="K15">
            <v>10683</v>
          </cell>
          <cell r="L15">
            <v>7143</v>
          </cell>
          <cell r="M15">
            <v>10981</v>
          </cell>
        </row>
        <row r="30">
          <cell r="D30">
            <v>183</v>
          </cell>
          <cell r="E30">
            <v>155</v>
          </cell>
          <cell r="F30">
            <v>151</v>
          </cell>
          <cell r="G30">
            <v>168</v>
          </cell>
          <cell r="H30">
            <v>156</v>
          </cell>
          <cell r="I30">
            <v>158</v>
          </cell>
          <cell r="J30">
            <v>159</v>
          </cell>
          <cell r="K30">
            <v>214</v>
          </cell>
          <cell r="L30">
            <v>144</v>
          </cell>
          <cell r="M30">
            <v>221</v>
          </cell>
        </row>
      </sheetData>
      <sheetData sheetId="10">
        <row r="15">
          <cell r="D15">
            <v>9533</v>
          </cell>
          <cell r="E15">
            <v>11417</v>
          </cell>
          <cell r="F15">
            <v>13349</v>
          </cell>
          <cell r="G15">
            <v>11280</v>
          </cell>
          <cell r="H15">
            <v>10747</v>
          </cell>
          <cell r="I15">
            <v>10554</v>
          </cell>
          <cell r="J15">
            <v>11366</v>
          </cell>
          <cell r="K15">
            <v>9050</v>
          </cell>
          <cell r="L15">
            <v>9303</v>
          </cell>
          <cell r="M15">
            <v>9129</v>
          </cell>
          <cell r="N15">
            <v>9761</v>
          </cell>
          <cell r="O15">
            <v>7258</v>
          </cell>
          <cell r="P15">
            <v>7555</v>
          </cell>
          <cell r="Q15">
            <v>7690</v>
          </cell>
        </row>
        <row r="30">
          <cell r="D30">
            <v>188</v>
          </cell>
          <cell r="E30">
            <v>219</v>
          </cell>
          <cell r="F30">
            <v>264</v>
          </cell>
          <cell r="G30">
            <v>223</v>
          </cell>
          <cell r="H30">
            <v>212</v>
          </cell>
          <cell r="I30">
            <v>208</v>
          </cell>
          <cell r="J30">
            <v>225</v>
          </cell>
          <cell r="K30">
            <v>179</v>
          </cell>
          <cell r="L30">
            <v>182</v>
          </cell>
          <cell r="M30">
            <v>180</v>
          </cell>
          <cell r="N30">
            <v>193</v>
          </cell>
          <cell r="O30">
            <v>143</v>
          </cell>
          <cell r="P30">
            <v>149</v>
          </cell>
          <cell r="Q30">
            <v>151</v>
          </cell>
        </row>
      </sheetData>
      <sheetData sheetId="11">
        <row r="10">
          <cell r="D10">
            <v>0</v>
          </cell>
          <cell r="E10">
            <v>21</v>
          </cell>
          <cell r="F10">
            <v>135</v>
          </cell>
          <cell r="G10">
            <v>1998</v>
          </cell>
          <cell r="H10">
            <v>210</v>
          </cell>
          <cell r="I10">
            <v>210</v>
          </cell>
          <cell r="J10">
            <v>108</v>
          </cell>
          <cell r="K10">
            <v>54</v>
          </cell>
          <cell r="L10">
            <v>700</v>
          </cell>
          <cell r="M10">
            <v>140</v>
          </cell>
          <cell r="N10">
            <v>90</v>
          </cell>
          <cell r="O10">
            <v>45</v>
          </cell>
          <cell r="P10">
            <v>162</v>
          </cell>
          <cell r="Q10">
            <v>90</v>
          </cell>
          <cell r="R10">
            <v>56</v>
          </cell>
          <cell r="S10">
            <v>84</v>
          </cell>
          <cell r="T10">
            <v>119</v>
          </cell>
          <cell r="U10">
            <v>140</v>
          </cell>
          <cell r="V10">
            <v>135</v>
          </cell>
          <cell r="W10">
            <v>70</v>
          </cell>
          <cell r="X10">
            <v>70</v>
          </cell>
          <cell r="Y10">
            <v>45</v>
          </cell>
        </row>
        <row r="15">
          <cell r="D15">
            <v>7069</v>
          </cell>
          <cell r="E15">
            <v>7050</v>
          </cell>
          <cell r="F15">
            <v>8165</v>
          </cell>
          <cell r="G15">
            <v>14876</v>
          </cell>
          <cell r="H15">
            <v>7557</v>
          </cell>
          <cell r="I15">
            <v>7433</v>
          </cell>
          <cell r="J15">
            <v>7542</v>
          </cell>
          <cell r="K15">
            <v>7801</v>
          </cell>
          <cell r="L15">
            <v>8010</v>
          </cell>
          <cell r="M15">
            <v>6673</v>
          </cell>
          <cell r="N15">
            <v>7965</v>
          </cell>
          <cell r="O15">
            <v>7683</v>
          </cell>
          <cell r="P15">
            <v>7468</v>
          </cell>
          <cell r="Q15">
            <v>7774</v>
          </cell>
          <cell r="R15">
            <v>8953</v>
          </cell>
          <cell r="S15">
            <v>7781</v>
          </cell>
          <cell r="T15">
            <v>7963</v>
          </cell>
          <cell r="U15">
            <v>8170</v>
          </cell>
          <cell r="V15">
            <v>8990</v>
          </cell>
          <cell r="W15">
            <v>8230</v>
          </cell>
          <cell r="X15">
            <v>8108</v>
          </cell>
          <cell r="Y15">
            <v>8337</v>
          </cell>
        </row>
        <row r="30">
          <cell r="D30">
            <v>79</v>
          </cell>
          <cell r="E30">
            <v>79</v>
          </cell>
          <cell r="F30">
            <v>90</v>
          </cell>
          <cell r="G30">
            <v>174</v>
          </cell>
          <cell r="H30">
            <v>86</v>
          </cell>
          <cell r="I30">
            <v>89</v>
          </cell>
          <cell r="J30">
            <v>85</v>
          </cell>
          <cell r="K30">
            <v>91</v>
          </cell>
          <cell r="L30">
            <v>91</v>
          </cell>
          <cell r="M30">
            <v>79</v>
          </cell>
          <cell r="N30">
            <v>92</v>
          </cell>
          <cell r="O30">
            <v>88</v>
          </cell>
          <cell r="P30">
            <v>88</v>
          </cell>
          <cell r="Q30">
            <v>89</v>
          </cell>
          <cell r="R30">
            <v>97</v>
          </cell>
          <cell r="S30">
            <v>89</v>
          </cell>
          <cell r="T30">
            <v>96</v>
          </cell>
          <cell r="U30">
            <v>91</v>
          </cell>
          <cell r="V30">
            <v>114</v>
          </cell>
          <cell r="W30">
            <v>107</v>
          </cell>
          <cell r="X30">
            <v>91</v>
          </cell>
          <cell r="Y30">
            <v>97</v>
          </cell>
        </row>
      </sheetData>
      <sheetData sheetId="12"/>
      <sheetData sheetId="13">
        <row r="10">
          <cell r="D10">
            <v>337</v>
          </cell>
          <cell r="E10">
            <v>135</v>
          </cell>
          <cell r="F10">
            <v>135</v>
          </cell>
          <cell r="G10">
            <v>90</v>
          </cell>
          <cell r="H10">
            <v>180</v>
          </cell>
          <cell r="I10">
            <v>405</v>
          </cell>
          <cell r="J10">
            <v>0</v>
          </cell>
          <cell r="K10">
            <v>0</v>
          </cell>
          <cell r="L10">
            <v>45</v>
          </cell>
          <cell r="M10">
            <v>0</v>
          </cell>
          <cell r="N10">
            <v>450</v>
          </cell>
          <cell r="O10">
            <v>135</v>
          </cell>
          <cell r="P10">
            <v>315</v>
          </cell>
          <cell r="Q10">
            <v>23</v>
          </cell>
        </row>
        <row r="15">
          <cell r="D15">
            <v>8645</v>
          </cell>
          <cell r="E15">
            <v>8435</v>
          </cell>
          <cell r="F15">
            <v>7681</v>
          </cell>
          <cell r="G15">
            <v>9272</v>
          </cell>
          <cell r="H15">
            <v>9319</v>
          </cell>
          <cell r="I15">
            <v>8562</v>
          </cell>
          <cell r="J15">
            <v>8417</v>
          </cell>
          <cell r="K15">
            <v>7569</v>
          </cell>
          <cell r="L15">
            <v>8210</v>
          </cell>
          <cell r="M15">
            <v>6841</v>
          </cell>
          <cell r="N15">
            <v>9956</v>
          </cell>
          <cell r="O15">
            <v>6894</v>
          </cell>
          <cell r="P15">
            <v>9890</v>
          </cell>
          <cell r="Q15">
            <v>8681</v>
          </cell>
          <cell r="R15">
            <v>8355</v>
          </cell>
        </row>
        <row r="30">
          <cell r="D30">
            <v>108</v>
          </cell>
          <cell r="E30">
            <v>105</v>
          </cell>
          <cell r="F30">
            <v>96</v>
          </cell>
          <cell r="G30">
            <v>113</v>
          </cell>
          <cell r="H30">
            <v>118</v>
          </cell>
          <cell r="I30">
            <v>115</v>
          </cell>
          <cell r="J30">
            <v>108</v>
          </cell>
          <cell r="K30">
            <v>102</v>
          </cell>
          <cell r="L30">
            <v>108</v>
          </cell>
          <cell r="M30">
            <v>96</v>
          </cell>
          <cell r="N30">
            <v>124</v>
          </cell>
          <cell r="O30">
            <v>94</v>
          </cell>
          <cell r="P30">
            <v>127</v>
          </cell>
          <cell r="Q30">
            <v>110</v>
          </cell>
        </row>
      </sheetData>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NĐ 31"/>
      <sheetName val="37. NĐ31"/>
      <sheetName val="38.NĐ31"/>
      <sheetName val="35.NĐ 31. saudieuchinh"/>
      <sheetName val="37. NĐ31.saudieuchinh"/>
      <sheetName val="35.NĐ.tóm tắt"/>
      <sheetName val="KP tu chu 2025"/>
      <sheetName val="QL_THANHTRA"/>
      <sheetName val="qui luong 01,12,2024"/>
      <sheetName val="THUCHI_2025"/>
      <sheetName val="Chi khác"/>
    </sheetNames>
    <sheetDataSet>
      <sheetData sheetId="0" refreshError="1"/>
      <sheetData sheetId="1" refreshError="1"/>
      <sheetData sheetId="2" refreshError="1"/>
      <sheetData sheetId="3" refreshError="1">
        <row r="11">
          <cell r="P11">
            <v>495</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 gửi NS"/>
      <sheetName val="37"/>
      <sheetName val="37.1TW"/>
      <sheetName val="37.2ĐP"/>
      <sheetName val="38"/>
      <sheetName val="38.1TW"/>
      <sheetName val="38.2ĐP"/>
    </sheetNames>
    <sheetDataSet>
      <sheetData sheetId="0">
        <row r="9">
          <cell r="G9">
            <v>152724</v>
          </cell>
        </row>
      </sheetData>
      <sheetData sheetId="1"/>
      <sheetData sheetId="2"/>
      <sheetData sheetId="3"/>
      <sheetData sheetId="4"/>
      <sheetData sheetId="5">
        <row r="15">
          <cell r="K15">
            <v>950</v>
          </cell>
        </row>
        <row r="21">
          <cell r="J21">
            <v>300</v>
          </cell>
        </row>
        <row r="24">
          <cell r="K24">
            <v>15303.93</v>
          </cell>
        </row>
        <row r="25">
          <cell r="K25">
            <v>4271.84</v>
          </cell>
        </row>
        <row r="27">
          <cell r="J27">
            <v>500</v>
          </cell>
        </row>
        <row r="30">
          <cell r="J30">
            <v>800</v>
          </cell>
        </row>
        <row r="33">
          <cell r="J33">
            <v>1200</v>
          </cell>
        </row>
        <row r="36">
          <cell r="J36">
            <v>2500</v>
          </cell>
        </row>
        <row r="45">
          <cell r="J45">
            <v>200</v>
          </cell>
        </row>
        <row r="51">
          <cell r="J51">
            <v>200</v>
          </cell>
        </row>
      </sheetData>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workbookViewId="0">
      <selection activeCell="B4" sqref="B4:D4"/>
    </sheetView>
  </sheetViews>
  <sheetFormatPr defaultColWidth="11.33203125" defaultRowHeight="16.2"/>
  <cols>
    <col min="1" max="1" width="8.33203125" style="428" customWidth="1"/>
    <col min="2" max="2" width="42.33203125" style="429" customWidth="1"/>
    <col min="3" max="3" width="17.21875" style="429" customWidth="1"/>
    <col min="4" max="4" width="17.44140625" style="430" customWidth="1"/>
    <col min="5" max="251" width="11.33203125" style="430"/>
    <col min="252" max="252" width="8.33203125" style="430" customWidth="1"/>
    <col min="253" max="253" width="79.88671875" style="430" customWidth="1"/>
    <col min="254" max="254" width="22.33203125" style="430" customWidth="1"/>
    <col min="255" max="255" width="23.109375" style="430" customWidth="1"/>
    <col min="256" max="257" width="11.33203125" style="430"/>
    <col min="258" max="258" width="13.33203125" style="430" customWidth="1"/>
    <col min="259" max="507" width="11.33203125" style="430"/>
    <col min="508" max="508" width="8.33203125" style="430" customWidth="1"/>
    <col min="509" max="509" width="79.88671875" style="430" customWidth="1"/>
    <col min="510" max="510" width="22.33203125" style="430" customWidth="1"/>
    <col min="511" max="511" width="23.109375" style="430" customWidth="1"/>
    <col min="512" max="513" width="11.33203125" style="430"/>
    <col min="514" max="514" width="13.33203125" style="430" customWidth="1"/>
    <col min="515" max="763" width="11.33203125" style="430"/>
    <col min="764" max="764" width="8.33203125" style="430" customWidth="1"/>
    <col min="765" max="765" width="79.88671875" style="430" customWidth="1"/>
    <col min="766" max="766" width="22.33203125" style="430" customWidth="1"/>
    <col min="767" max="767" width="23.109375" style="430" customWidth="1"/>
    <col min="768" max="769" width="11.33203125" style="430"/>
    <col min="770" max="770" width="13.33203125" style="430" customWidth="1"/>
    <col min="771" max="1019" width="11.33203125" style="430"/>
    <col min="1020" max="1020" width="8.33203125" style="430" customWidth="1"/>
    <col min="1021" max="1021" width="79.88671875" style="430" customWidth="1"/>
    <col min="1022" max="1022" width="22.33203125" style="430" customWidth="1"/>
    <col min="1023" max="1023" width="23.109375" style="430" customWidth="1"/>
    <col min="1024" max="1025" width="11.33203125" style="430"/>
    <col min="1026" max="1026" width="13.33203125" style="430" customWidth="1"/>
    <col min="1027" max="1275" width="11.33203125" style="430"/>
    <col min="1276" max="1276" width="8.33203125" style="430" customWidth="1"/>
    <col min="1277" max="1277" width="79.88671875" style="430" customWidth="1"/>
    <col min="1278" max="1278" width="22.33203125" style="430" customWidth="1"/>
    <col min="1279" max="1279" width="23.109375" style="430" customWidth="1"/>
    <col min="1280" max="1281" width="11.33203125" style="430"/>
    <col min="1282" max="1282" width="13.33203125" style="430" customWidth="1"/>
    <col min="1283" max="1531" width="11.33203125" style="430"/>
    <col min="1532" max="1532" width="8.33203125" style="430" customWidth="1"/>
    <col min="1533" max="1533" width="79.88671875" style="430" customWidth="1"/>
    <col min="1534" max="1534" width="22.33203125" style="430" customWidth="1"/>
    <col min="1535" max="1535" width="23.109375" style="430" customWidth="1"/>
    <col min="1536" max="1537" width="11.33203125" style="430"/>
    <col min="1538" max="1538" width="13.33203125" style="430" customWidth="1"/>
    <col min="1539" max="1787" width="11.33203125" style="430"/>
    <col min="1788" max="1788" width="8.33203125" style="430" customWidth="1"/>
    <col min="1789" max="1789" width="79.88671875" style="430" customWidth="1"/>
    <col min="1790" max="1790" width="22.33203125" style="430" customWidth="1"/>
    <col min="1791" max="1791" width="23.109375" style="430" customWidth="1"/>
    <col min="1792" max="1793" width="11.33203125" style="430"/>
    <col min="1794" max="1794" width="13.33203125" style="430" customWidth="1"/>
    <col min="1795" max="2043" width="11.33203125" style="430"/>
    <col min="2044" max="2044" width="8.33203125" style="430" customWidth="1"/>
    <col min="2045" max="2045" width="79.88671875" style="430" customWidth="1"/>
    <col min="2046" max="2046" width="22.33203125" style="430" customWidth="1"/>
    <col min="2047" max="2047" width="23.109375" style="430" customWidth="1"/>
    <col min="2048" max="2049" width="11.33203125" style="430"/>
    <col min="2050" max="2050" width="13.33203125" style="430" customWidth="1"/>
    <col min="2051" max="2299" width="11.33203125" style="430"/>
    <col min="2300" max="2300" width="8.33203125" style="430" customWidth="1"/>
    <col min="2301" max="2301" width="79.88671875" style="430" customWidth="1"/>
    <col min="2302" max="2302" width="22.33203125" style="430" customWidth="1"/>
    <col min="2303" max="2303" width="23.109375" style="430" customWidth="1"/>
    <col min="2304" max="2305" width="11.33203125" style="430"/>
    <col min="2306" max="2306" width="13.33203125" style="430" customWidth="1"/>
    <col min="2307" max="2555" width="11.33203125" style="430"/>
    <col min="2556" max="2556" width="8.33203125" style="430" customWidth="1"/>
    <col min="2557" max="2557" width="79.88671875" style="430" customWidth="1"/>
    <col min="2558" max="2558" width="22.33203125" style="430" customWidth="1"/>
    <col min="2559" max="2559" width="23.109375" style="430" customWidth="1"/>
    <col min="2560" max="2561" width="11.33203125" style="430"/>
    <col min="2562" max="2562" width="13.33203125" style="430" customWidth="1"/>
    <col min="2563" max="2811" width="11.33203125" style="430"/>
    <col min="2812" max="2812" width="8.33203125" style="430" customWidth="1"/>
    <col min="2813" max="2813" width="79.88671875" style="430" customWidth="1"/>
    <col min="2814" max="2814" width="22.33203125" style="430" customWidth="1"/>
    <col min="2815" max="2815" width="23.109375" style="430" customWidth="1"/>
    <col min="2816" max="2817" width="11.33203125" style="430"/>
    <col min="2818" max="2818" width="13.33203125" style="430" customWidth="1"/>
    <col min="2819" max="3067" width="11.33203125" style="430"/>
    <col min="3068" max="3068" width="8.33203125" style="430" customWidth="1"/>
    <col min="3069" max="3069" width="79.88671875" style="430" customWidth="1"/>
    <col min="3070" max="3070" width="22.33203125" style="430" customWidth="1"/>
    <col min="3071" max="3071" width="23.109375" style="430" customWidth="1"/>
    <col min="3072" max="3073" width="11.33203125" style="430"/>
    <col min="3074" max="3074" width="13.33203125" style="430" customWidth="1"/>
    <col min="3075" max="3323" width="11.33203125" style="430"/>
    <col min="3324" max="3324" width="8.33203125" style="430" customWidth="1"/>
    <col min="3325" max="3325" width="79.88671875" style="430" customWidth="1"/>
    <col min="3326" max="3326" width="22.33203125" style="430" customWidth="1"/>
    <col min="3327" max="3327" width="23.109375" style="430" customWidth="1"/>
    <col min="3328" max="3329" width="11.33203125" style="430"/>
    <col min="3330" max="3330" width="13.33203125" style="430" customWidth="1"/>
    <col min="3331" max="3579" width="11.33203125" style="430"/>
    <col min="3580" max="3580" width="8.33203125" style="430" customWidth="1"/>
    <col min="3581" max="3581" width="79.88671875" style="430" customWidth="1"/>
    <col min="3582" max="3582" width="22.33203125" style="430" customWidth="1"/>
    <col min="3583" max="3583" width="23.109375" style="430" customWidth="1"/>
    <col min="3584" max="3585" width="11.33203125" style="430"/>
    <col min="3586" max="3586" width="13.33203125" style="430" customWidth="1"/>
    <col min="3587" max="3835" width="11.33203125" style="430"/>
    <col min="3836" max="3836" width="8.33203125" style="430" customWidth="1"/>
    <col min="3837" max="3837" width="79.88671875" style="430" customWidth="1"/>
    <col min="3838" max="3838" width="22.33203125" style="430" customWidth="1"/>
    <col min="3839" max="3839" width="23.109375" style="430" customWidth="1"/>
    <col min="3840" max="3841" width="11.33203125" style="430"/>
    <col min="3842" max="3842" width="13.33203125" style="430" customWidth="1"/>
    <col min="3843" max="4091" width="11.33203125" style="430"/>
    <col min="4092" max="4092" width="8.33203125" style="430" customWidth="1"/>
    <col min="4093" max="4093" width="79.88671875" style="430" customWidth="1"/>
    <col min="4094" max="4094" width="22.33203125" style="430" customWidth="1"/>
    <col min="4095" max="4095" width="23.109375" style="430" customWidth="1"/>
    <col min="4096" max="4097" width="11.33203125" style="430"/>
    <col min="4098" max="4098" width="13.33203125" style="430" customWidth="1"/>
    <col min="4099" max="4347" width="11.33203125" style="430"/>
    <col min="4348" max="4348" width="8.33203125" style="430" customWidth="1"/>
    <col min="4349" max="4349" width="79.88671875" style="430" customWidth="1"/>
    <col min="4350" max="4350" width="22.33203125" style="430" customWidth="1"/>
    <col min="4351" max="4351" width="23.109375" style="430" customWidth="1"/>
    <col min="4352" max="4353" width="11.33203125" style="430"/>
    <col min="4354" max="4354" width="13.33203125" style="430" customWidth="1"/>
    <col min="4355" max="4603" width="11.33203125" style="430"/>
    <col min="4604" max="4604" width="8.33203125" style="430" customWidth="1"/>
    <col min="4605" max="4605" width="79.88671875" style="430" customWidth="1"/>
    <col min="4606" max="4606" width="22.33203125" style="430" customWidth="1"/>
    <col min="4607" max="4607" width="23.109375" style="430" customWidth="1"/>
    <col min="4608" max="4609" width="11.33203125" style="430"/>
    <col min="4610" max="4610" width="13.33203125" style="430" customWidth="1"/>
    <col min="4611" max="4859" width="11.33203125" style="430"/>
    <col min="4860" max="4860" width="8.33203125" style="430" customWidth="1"/>
    <col min="4861" max="4861" width="79.88671875" style="430" customWidth="1"/>
    <col min="4862" max="4862" width="22.33203125" style="430" customWidth="1"/>
    <col min="4863" max="4863" width="23.109375" style="430" customWidth="1"/>
    <col min="4864" max="4865" width="11.33203125" style="430"/>
    <col min="4866" max="4866" width="13.33203125" style="430" customWidth="1"/>
    <col min="4867" max="5115" width="11.33203125" style="430"/>
    <col min="5116" max="5116" width="8.33203125" style="430" customWidth="1"/>
    <col min="5117" max="5117" width="79.88671875" style="430" customWidth="1"/>
    <col min="5118" max="5118" width="22.33203125" style="430" customWidth="1"/>
    <col min="5119" max="5119" width="23.109375" style="430" customWidth="1"/>
    <col min="5120" max="5121" width="11.33203125" style="430"/>
    <col min="5122" max="5122" width="13.33203125" style="430" customWidth="1"/>
    <col min="5123" max="5371" width="11.33203125" style="430"/>
    <col min="5372" max="5372" width="8.33203125" style="430" customWidth="1"/>
    <col min="5373" max="5373" width="79.88671875" style="430" customWidth="1"/>
    <col min="5374" max="5374" width="22.33203125" style="430" customWidth="1"/>
    <col min="5375" max="5375" width="23.109375" style="430" customWidth="1"/>
    <col min="5376" max="5377" width="11.33203125" style="430"/>
    <col min="5378" max="5378" width="13.33203125" style="430" customWidth="1"/>
    <col min="5379" max="5627" width="11.33203125" style="430"/>
    <col min="5628" max="5628" width="8.33203125" style="430" customWidth="1"/>
    <col min="5629" max="5629" width="79.88671875" style="430" customWidth="1"/>
    <col min="5630" max="5630" width="22.33203125" style="430" customWidth="1"/>
    <col min="5631" max="5631" width="23.109375" style="430" customWidth="1"/>
    <col min="5632" max="5633" width="11.33203125" style="430"/>
    <col min="5634" max="5634" width="13.33203125" style="430" customWidth="1"/>
    <col min="5635" max="5883" width="11.33203125" style="430"/>
    <col min="5884" max="5884" width="8.33203125" style="430" customWidth="1"/>
    <col min="5885" max="5885" width="79.88671875" style="430" customWidth="1"/>
    <col min="5886" max="5886" width="22.33203125" style="430" customWidth="1"/>
    <col min="5887" max="5887" width="23.109375" style="430" customWidth="1"/>
    <col min="5888" max="5889" width="11.33203125" style="430"/>
    <col min="5890" max="5890" width="13.33203125" style="430" customWidth="1"/>
    <col min="5891" max="6139" width="11.33203125" style="430"/>
    <col min="6140" max="6140" width="8.33203125" style="430" customWidth="1"/>
    <col min="6141" max="6141" width="79.88671875" style="430" customWidth="1"/>
    <col min="6142" max="6142" width="22.33203125" style="430" customWidth="1"/>
    <col min="6143" max="6143" width="23.109375" style="430" customWidth="1"/>
    <col min="6144" max="6145" width="11.33203125" style="430"/>
    <col min="6146" max="6146" width="13.33203125" style="430" customWidth="1"/>
    <col min="6147" max="6395" width="11.33203125" style="430"/>
    <col min="6396" max="6396" width="8.33203125" style="430" customWidth="1"/>
    <col min="6397" max="6397" width="79.88671875" style="430" customWidth="1"/>
    <col min="6398" max="6398" width="22.33203125" style="430" customWidth="1"/>
    <col min="6399" max="6399" width="23.109375" style="430" customWidth="1"/>
    <col min="6400" max="6401" width="11.33203125" style="430"/>
    <col min="6402" max="6402" width="13.33203125" style="430" customWidth="1"/>
    <col min="6403" max="6651" width="11.33203125" style="430"/>
    <col min="6652" max="6652" width="8.33203125" style="430" customWidth="1"/>
    <col min="6653" max="6653" width="79.88671875" style="430" customWidth="1"/>
    <col min="6654" max="6654" width="22.33203125" style="430" customWidth="1"/>
    <col min="6655" max="6655" width="23.109375" style="430" customWidth="1"/>
    <col min="6656" max="6657" width="11.33203125" style="430"/>
    <col min="6658" max="6658" width="13.33203125" style="430" customWidth="1"/>
    <col min="6659" max="6907" width="11.33203125" style="430"/>
    <col min="6908" max="6908" width="8.33203125" style="430" customWidth="1"/>
    <col min="6909" max="6909" width="79.88671875" style="430" customWidth="1"/>
    <col min="6910" max="6910" width="22.33203125" style="430" customWidth="1"/>
    <col min="6911" max="6911" width="23.109375" style="430" customWidth="1"/>
    <col min="6912" max="6913" width="11.33203125" style="430"/>
    <col min="6914" max="6914" width="13.33203125" style="430" customWidth="1"/>
    <col min="6915" max="7163" width="11.33203125" style="430"/>
    <col min="7164" max="7164" width="8.33203125" style="430" customWidth="1"/>
    <col min="7165" max="7165" width="79.88671875" style="430" customWidth="1"/>
    <col min="7166" max="7166" width="22.33203125" style="430" customWidth="1"/>
    <col min="7167" max="7167" width="23.109375" style="430" customWidth="1"/>
    <col min="7168" max="7169" width="11.33203125" style="430"/>
    <col min="7170" max="7170" width="13.33203125" style="430" customWidth="1"/>
    <col min="7171" max="7419" width="11.33203125" style="430"/>
    <col min="7420" max="7420" width="8.33203125" style="430" customWidth="1"/>
    <col min="7421" max="7421" width="79.88671875" style="430" customWidth="1"/>
    <col min="7422" max="7422" width="22.33203125" style="430" customWidth="1"/>
    <col min="7423" max="7423" width="23.109375" style="430" customWidth="1"/>
    <col min="7424" max="7425" width="11.33203125" style="430"/>
    <col min="7426" max="7426" width="13.33203125" style="430" customWidth="1"/>
    <col min="7427" max="7675" width="11.33203125" style="430"/>
    <col min="7676" max="7676" width="8.33203125" style="430" customWidth="1"/>
    <col min="7677" max="7677" width="79.88671875" style="430" customWidth="1"/>
    <col min="7678" max="7678" width="22.33203125" style="430" customWidth="1"/>
    <col min="7679" max="7679" width="23.109375" style="430" customWidth="1"/>
    <col min="7680" max="7681" width="11.33203125" style="430"/>
    <col min="7682" max="7682" width="13.33203125" style="430" customWidth="1"/>
    <col min="7683" max="7931" width="11.33203125" style="430"/>
    <col min="7932" max="7932" width="8.33203125" style="430" customWidth="1"/>
    <col min="7933" max="7933" width="79.88671875" style="430" customWidth="1"/>
    <col min="7934" max="7934" width="22.33203125" style="430" customWidth="1"/>
    <col min="7935" max="7935" width="23.109375" style="430" customWidth="1"/>
    <col min="7936" max="7937" width="11.33203125" style="430"/>
    <col min="7938" max="7938" width="13.33203125" style="430" customWidth="1"/>
    <col min="7939" max="8187" width="11.33203125" style="430"/>
    <col min="8188" max="8188" width="8.33203125" style="430" customWidth="1"/>
    <col min="8189" max="8189" width="79.88671875" style="430" customWidth="1"/>
    <col min="8190" max="8190" width="22.33203125" style="430" customWidth="1"/>
    <col min="8191" max="8191" width="23.109375" style="430" customWidth="1"/>
    <col min="8192" max="8193" width="11.33203125" style="430"/>
    <col min="8194" max="8194" width="13.33203125" style="430" customWidth="1"/>
    <col min="8195" max="8443" width="11.33203125" style="430"/>
    <col min="8444" max="8444" width="8.33203125" style="430" customWidth="1"/>
    <col min="8445" max="8445" width="79.88671875" style="430" customWidth="1"/>
    <col min="8446" max="8446" width="22.33203125" style="430" customWidth="1"/>
    <col min="8447" max="8447" width="23.109375" style="430" customWidth="1"/>
    <col min="8448" max="8449" width="11.33203125" style="430"/>
    <col min="8450" max="8450" width="13.33203125" style="430" customWidth="1"/>
    <col min="8451" max="8699" width="11.33203125" style="430"/>
    <col min="8700" max="8700" width="8.33203125" style="430" customWidth="1"/>
    <col min="8701" max="8701" width="79.88671875" style="430" customWidth="1"/>
    <col min="8702" max="8702" width="22.33203125" style="430" customWidth="1"/>
    <col min="8703" max="8703" width="23.109375" style="430" customWidth="1"/>
    <col min="8704" max="8705" width="11.33203125" style="430"/>
    <col min="8706" max="8706" width="13.33203125" style="430" customWidth="1"/>
    <col min="8707" max="8955" width="11.33203125" style="430"/>
    <col min="8956" max="8956" width="8.33203125" style="430" customWidth="1"/>
    <col min="8957" max="8957" width="79.88671875" style="430" customWidth="1"/>
    <col min="8958" max="8958" width="22.33203125" style="430" customWidth="1"/>
    <col min="8959" max="8959" width="23.109375" style="430" customWidth="1"/>
    <col min="8960" max="8961" width="11.33203125" style="430"/>
    <col min="8962" max="8962" width="13.33203125" style="430" customWidth="1"/>
    <col min="8963" max="9211" width="11.33203125" style="430"/>
    <col min="9212" max="9212" width="8.33203125" style="430" customWidth="1"/>
    <col min="9213" max="9213" width="79.88671875" style="430" customWidth="1"/>
    <col min="9214" max="9214" width="22.33203125" style="430" customWidth="1"/>
    <col min="9215" max="9215" width="23.109375" style="430" customWidth="1"/>
    <col min="9216" max="9217" width="11.33203125" style="430"/>
    <col min="9218" max="9218" width="13.33203125" style="430" customWidth="1"/>
    <col min="9219" max="9467" width="11.33203125" style="430"/>
    <col min="9468" max="9468" width="8.33203125" style="430" customWidth="1"/>
    <col min="9469" max="9469" width="79.88671875" style="430" customWidth="1"/>
    <col min="9470" max="9470" width="22.33203125" style="430" customWidth="1"/>
    <col min="9471" max="9471" width="23.109375" style="430" customWidth="1"/>
    <col min="9472" max="9473" width="11.33203125" style="430"/>
    <col min="9474" max="9474" width="13.33203125" style="430" customWidth="1"/>
    <col min="9475" max="9723" width="11.33203125" style="430"/>
    <col min="9724" max="9724" width="8.33203125" style="430" customWidth="1"/>
    <col min="9725" max="9725" width="79.88671875" style="430" customWidth="1"/>
    <col min="9726" max="9726" width="22.33203125" style="430" customWidth="1"/>
    <col min="9727" max="9727" width="23.109375" style="430" customWidth="1"/>
    <col min="9728" max="9729" width="11.33203125" style="430"/>
    <col min="9730" max="9730" width="13.33203125" style="430" customWidth="1"/>
    <col min="9731" max="9979" width="11.33203125" style="430"/>
    <col min="9980" max="9980" width="8.33203125" style="430" customWidth="1"/>
    <col min="9981" max="9981" width="79.88671875" style="430" customWidth="1"/>
    <col min="9982" max="9982" width="22.33203125" style="430" customWidth="1"/>
    <col min="9983" max="9983" width="23.109375" style="430" customWidth="1"/>
    <col min="9984" max="9985" width="11.33203125" style="430"/>
    <col min="9986" max="9986" width="13.33203125" style="430" customWidth="1"/>
    <col min="9987" max="10235" width="11.33203125" style="430"/>
    <col min="10236" max="10236" width="8.33203125" style="430" customWidth="1"/>
    <col min="10237" max="10237" width="79.88671875" style="430" customWidth="1"/>
    <col min="10238" max="10238" width="22.33203125" style="430" customWidth="1"/>
    <col min="10239" max="10239" width="23.109375" style="430" customWidth="1"/>
    <col min="10240" max="10241" width="11.33203125" style="430"/>
    <col min="10242" max="10242" width="13.33203125" style="430" customWidth="1"/>
    <col min="10243" max="10491" width="11.33203125" style="430"/>
    <col min="10492" max="10492" width="8.33203125" style="430" customWidth="1"/>
    <col min="10493" max="10493" width="79.88671875" style="430" customWidth="1"/>
    <col min="10494" max="10494" width="22.33203125" style="430" customWidth="1"/>
    <col min="10495" max="10495" width="23.109375" style="430" customWidth="1"/>
    <col min="10496" max="10497" width="11.33203125" style="430"/>
    <col min="10498" max="10498" width="13.33203125" style="430" customWidth="1"/>
    <col min="10499" max="10747" width="11.33203125" style="430"/>
    <col min="10748" max="10748" width="8.33203125" style="430" customWidth="1"/>
    <col min="10749" max="10749" width="79.88671875" style="430" customWidth="1"/>
    <col min="10750" max="10750" width="22.33203125" style="430" customWidth="1"/>
    <col min="10751" max="10751" width="23.109375" style="430" customWidth="1"/>
    <col min="10752" max="10753" width="11.33203125" style="430"/>
    <col min="10754" max="10754" width="13.33203125" style="430" customWidth="1"/>
    <col min="10755" max="11003" width="11.33203125" style="430"/>
    <col min="11004" max="11004" width="8.33203125" style="430" customWidth="1"/>
    <col min="11005" max="11005" width="79.88671875" style="430" customWidth="1"/>
    <col min="11006" max="11006" width="22.33203125" style="430" customWidth="1"/>
    <col min="11007" max="11007" width="23.109375" style="430" customWidth="1"/>
    <col min="11008" max="11009" width="11.33203125" style="430"/>
    <col min="11010" max="11010" width="13.33203125" style="430" customWidth="1"/>
    <col min="11011" max="11259" width="11.33203125" style="430"/>
    <col min="11260" max="11260" width="8.33203125" style="430" customWidth="1"/>
    <col min="11261" max="11261" width="79.88671875" style="430" customWidth="1"/>
    <col min="11262" max="11262" width="22.33203125" style="430" customWidth="1"/>
    <col min="11263" max="11263" width="23.109375" style="430" customWidth="1"/>
    <col min="11264" max="11265" width="11.33203125" style="430"/>
    <col min="11266" max="11266" width="13.33203125" style="430" customWidth="1"/>
    <col min="11267" max="11515" width="11.33203125" style="430"/>
    <col min="11516" max="11516" width="8.33203125" style="430" customWidth="1"/>
    <col min="11517" max="11517" width="79.88671875" style="430" customWidth="1"/>
    <col min="11518" max="11518" width="22.33203125" style="430" customWidth="1"/>
    <col min="11519" max="11519" width="23.109375" style="430" customWidth="1"/>
    <col min="11520" max="11521" width="11.33203125" style="430"/>
    <col min="11522" max="11522" width="13.33203125" style="430" customWidth="1"/>
    <col min="11523" max="11771" width="11.33203125" style="430"/>
    <col min="11772" max="11772" width="8.33203125" style="430" customWidth="1"/>
    <col min="11773" max="11773" width="79.88671875" style="430" customWidth="1"/>
    <col min="11774" max="11774" width="22.33203125" style="430" customWidth="1"/>
    <col min="11775" max="11775" width="23.109375" style="430" customWidth="1"/>
    <col min="11776" max="11777" width="11.33203125" style="430"/>
    <col min="11778" max="11778" width="13.33203125" style="430" customWidth="1"/>
    <col min="11779" max="12027" width="11.33203125" style="430"/>
    <col min="12028" max="12028" width="8.33203125" style="430" customWidth="1"/>
    <col min="12029" max="12029" width="79.88671875" style="430" customWidth="1"/>
    <col min="12030" max="12030" width="22.33203125" style="430" customWidth="1"/>
    <col min="12031" max="12031" width="23.109375" style="430" customWidth="1"/>
    <col min="12032" max="12033" width="11.33203125" style="430"/>
    <col min="12034" max="12034" width="13.33203125" style="430" customWidth="1"/>
    <col min="12035" max="12283" width="11.33203125" style="430"/>
    <col min="12284" max="12284" width="8.33203125" style="430" customWidth="1"/>
    <col min="12285" max="12285" width="79.88671875" style="430" customWidth="1"/>
    <col min="12286" max="12286" width="22.33203125" style="430" customWidth="1"/>
    <col min="12287" max="12287" width="23.109375" style="430" customWidth="1"/>
    <col min="12288" max="12289" width="11.33203125" style="430"/>
    <col min="12290" max="12290" width="13.33203125" style="430" customWidth="1"/>
    <col min="12291" max="12539" width="11.33203125" style="430"/>
    <col min="12540" max="12540" width="8.33203125" style="430" customWidth="1"/>
    <col min="12541" max="12541" width="79.88671875" style="430" customWidth="1"/>
    <col min="12542" max="12542" width="22.33203125" style="430" customWidth="1"/>
    <col min="12543" max="12543" width="23.109375" style="430" customWidth="1"/>
    <col min="12544" max="12545" width="11.33203125" style="430"/>
    <col min="12546" max="12546" width="13.33203125" style="430" customWidth="1"/>
    <col min="12547" max="12795" width="11.33203125" style="430"/>
    <col min="12796" max="12796" width="8.33203125" style="430" customWidth="1"/>
    <col min="12797" max="12797" width="79.88671875" style="430" customWidth="1"/>
    <col min="12798" max="12798" width="22.33203125" style="430" customWidth="1"/>
    <col min="12799" max="12799" width="23.109375" style="430" customWidth="1"/>
    <col min="12800" max="12801" width="11.33203125" style="430"/>
    <col min="12802" max="12802" width="13.33203125" style="430" customWidth="1"/>
    <col min="12803" max="13051" width="11.33203125" style="430"/>
    <col min="13052" max="13052" width="8.33203125" style="430" customWidth="1"/>
    <col min="13053" max="13053" width="79.88671875" style="430" customWidth="1"/>
    <col min="13054" max="13054" width="22.33203125" style="430" customWidth="1"/>
    <col min="13055" max="13055" width="23.109375" style="430" customWidth="1"/>
    <col min="13056" max="13057" width="11.33203125" style="430"/>
    <col min="13058" max="13058" width="13.33203125" style="430" customWidth="1"/>
    <col min="13059" max="13307" width="11.33203125" style="430"/>
    <col min="13308" max="13308" width="8.33203125" style="430" customWidth="1"/>
    <col min="13309" max="13309" width="79.88671875" style="430" customWidth="1"/>
    <col min="13310" max="13310" width="22.33203125" style="430" customWidth="1"/>
    <col min="13311" max="13311" width="23.109375" style="430" customWidth="1"/>
    <col min="13312" max="13313" width="11.33203125" style="430"/>
    <col min="13314" max="13314" width="13.33203125" style="430" customWidth="1"/>
    <col min="13315" max="13563" width="11.33203125" style="430"/>
    <col min="13564" max="13564" width="8.33203125" style="430" customWidth="1"/>
    <col min="13565" max="13565" width="79.88671875" style="430" customWidth="1"/>
    <col min="13566" max="13566" width="22.33203125" style="430" customWidth="1"/>
    <col min="13567" max="13567" width="23.109375" style="430" customWidth="1"/>
    <col min="13568" max="13569" width="11.33203125" style="430"/>
    <col min="13570" max="13570" width="13.33203125" style="430" customWidth="1"/>
    <col min="13571" max="13819" width="11.33203125" style="430"/>
    <col min="13820" max="13820" width="8.33203125" style="430" customWidth="1"/>
    <col min="13821" max="13821" width="79.88671875" style="430" customWidth="1"/>
    <col min="13822" max="13822" width="22.33203125" style="430" customWidth="1"/>
    <col min="13823" max="13823" width="23.109375" style="430" customWidth="1"/>
    <col min="13824" max="13825" width="11.33203125" style="430"/>
    <col min="13826" max="13826" width="13.33203125" style="430" customWidth="1"/>
    <col min="13827" max="14075" width="11.33203125" style="430"/>
    <col min="14076" max="14076" width="8.33203125" style="430" customWidth="1"/>
    <col min="14077" max="14077" width="79.88671875" style="430" customWidth="1"/>
    <col min="14078" max="14078" width="22.33203125" style="430" customWidth="1"/>
    <col min="14079" max="14079" width="23.109375" style="430" customWidth="1"/>
    <col min="14080" max="14081" width="11.33203125" style="430"/>
    <col min="14082" max="14082" width="13.33203125" style="430" customWidth="1"/>
    <col min="14083" max="14331" width="11.33203125" style="430"/>
    <col min="14332" max="14332" width="8.33203125" style="430" customWidth="1"/>
    <col min="14333" max="14333" width="79.88671875" style="430" customWidth="1"/>
    <col min="14334" max="14334" width="22.33203125" style="430" customWidth="1"/>
    <col min="14335" max="14335" width="23.109375" style="430" customWidth="1"/>
    <col min="14336" max="14337" width="11.33203125" style="430"/>
    <col min="14338" max="14338" width="13.33203125" style="430" customWidth="1"/>
    <col min="14339" max="14587" width="11.33203125" style="430"/>
    <col min="14588" max="14588" width="8.33203125" style="430" customWidth="1"/>
    <col min="14589" max="14589" width="79.88671875" style="430" customWidth="1"/>
    <col min="14590" max="14590" width="22.33203125" style="430" customWidth="1"/>
    <col min="14591" max="14591" width="23.109375" style="430" customWidth="1"/>
    <col min="14592" max="14593" width="11.33203125" style="430"/>
    <col min="14594" max="14594" width="13.33203125" style="430" customWidth="1"/>
    <col min="14595" max="14843" width="11.33203125" style="430"/>
    <col min="14844" max="14844" width="8.33203125" style="430" customWidth="1"/>
    <col min="14845" max="14845" width="79.88671875" style="430" customWidth="1"/>
    <col min="14846" max="14846" width="22.33203125" style="430" customWidth="1"/>
    <col min="14847" max="14847" width="23.109375" style="430" customWidth="1"/>
    <col min="14848" max="14849" width="11.33203125" style="430"/>
    <col min="14850" max="14850" width="13.33203125" style="430" customWidth="1"/>
    <col min="14851" max="15099" width="11.33203125" style="430"/>
    <col min="15100" max="15100" width="8.33203125" style="430" customWidth="1"/>
    <col min="15101" max="15101" width="79.88671875" style="430" customWidth="1"/>
    <col min="15102" max="15102" width="22.33203125" style="430" customWidth="1"/>
    <col min="15103" max="15103" width="23.109375" style="430" customWidth="1"/>
    <col min="15104" max="15105" width="11.33203125" style="430"/>
    <col min="15106" max="15106" width="13.33203125" style="430" customWidth="1"/>
    <col min="15107" max="15355" width="11.33203125" style="430"/>
    <col min="15356" max="15356" width="8.33203125" style="430" customWidth="1"/>
    <col min="15357" max="15357" width="79.88671875" style="430" customWidth="1"/>
    <col min="15358" max="15358" width="22.33203125" style="430" customWidth="1"/>
    <col min="15359" max="15359" width="23.109375" style="430" customWidth="1"/>
    <col min="15360" max="15361" width="11.33203125" style="430"/>
    <col min="15362" max="15362" width="13.33203125" style="430" customWidth="1"/>
    <col min="15363" max="15611" width="11.33203125" style="430"/>
    <col min="15612" max="15612" width="8.33203125" style="430" customWidth="1"/>
    <col min="15613" max="15613" width="79.88671875" style="430" customWidth="1"/>
    <col min="15614" max="15614" width="22.33203125" style="430" customWidth="1"/>
    <col min="15615" max="15615" width="23.109375" style="430" customWidth="1"/>
    <col min="15616" max="15617" width="11.33203125" style="430"/>
    <col min="15618" max="15618" width="13.33203125" style="430" customWidth="1"/>
    <col min="15619" max="15867" width="11.33203125" style="430"/>
    <col min="15868" max="15868" width="8.33203125" style="430" customWidth="1"/>
    <col min="15869" max="15869" width="79.88671875" style="430" customWidth="1"/>
    <col min="15870" max="15870" width="22.33203125" style="430" customWidth="1"/>
    <col min="15871" max="15871" width="23.109375" style="430" customWidth="1"/>
    <col min="15872" max="15873" width="11.33203125" style="430"/>
    <col min="15874" max="15874" width="13.33203125" style="430" customWidth="1"/>
    <col min="15875" max="16123" width="11.33203125" style="430"/>
    <col min="16124" max="16124" width="8.33203125" style="430" customWidth="1"/>
    <col min="16125" max="16125" width="79.88671875" style="430" customWidth="1"/>
    <col min="16126" max="16126" width="22.33203125" style="430" customWidth="1"/>
    <col min="16127" max="16127" width="23.109375" style="430" customWidth="1"/>
    <col min="16128" max="16129" width="11.33203125" style="430"/>
    <col min="16130" max="16130" width="13.33203125" style="430" customWidth="1"/>
    <col min="16131" max="16384" width="11.33203125" style="430"/>
  </cols>
  <sheetData>
    <row r="1" spans="1:5" s="426" customFormat="1" ht="21.75" customHeight="1">
      <c r="B1" s="431"/>
      <c r="D1" s="432" t="s">
        <v>0</v>
      </c>
    </row>
    <row r="2" spans="1:5" s="426" customFormat="1" ht="21.75" customHeight="1">
      <c r="A2" s="520" t="s">
        <v>1</v>
      </c>
      <c r="B2" s="520"/>
      <c r="C2" s="520"/>
      <c r="D2" s="520"/>
    </row>
    <row r="3" spans="1:5" s="426" customFormat="1" ht="38.25" customHeight="1">
      <c r="A3" s="521" t="s">
        <v>915</v>
      </c>
      <c r="B3" s="521"/>
      <c r="C3" s="521"/>
      <c r="D3" s="521"/>
    </row>
    <row r="4" spans="1:5" ht="33" customHeight="1">
      <c r="A4" s="433"/>
      <c r="B4" s="522" t="s">
        <v>2</v>
      </c>
      <c r="C4" s="522"/>
      <c r="D4" s="522"/>
    </row>
    <row r="5" spans="1:5" ht="27.75" customHeight="1">
      <c r="A5" s="523" t="s">
        <v>3</v>
      </c>
      <c r="B5" s="523" t="s">
        <v>4</v>
      </c>
      <c r="C5" s="523" t="s">
        <v>5</v>
      </c>
      <c r="D5" s="523" t="s">
        <v>6</v>
      </c>
    </row>
    <row r="6" spans="1:5" ht="11.1" customHeight="1">
      <c r="A6" s="524"/>
      <c r="B6" s="524"/>
      <c r="C6" s="524"/>
      <c r="D6" s="524"/>
    </row>
    <row r="7" spans="1:5" customFormat="1" ht="22.5" customHeight="1">
      <c r="A7" s="434" t="s">
        <v>7</v>
      </c>
      <c r="B7" s="435" t="s">
        <v>8</v>
      </c>
      <c r="C7" s="436">
        <f>C8+C11+C14+C16+C15</f>
        <v>124134</v>
      </c>
      <c r="D7" s="437"/>
    </row>
    <row r="8" spans="1:5" s="99" customFormat="1" ht="22.5" customHeight="1">
      <c r="A8" s="434" t="s">
        <v>9</v>
      </c>
      <c r="B8" s="435" t="s">
        <v>10</v>
      </c>
      <c r="C8" s="438">
        <f>C9+C10</f>
        <v>0</v>
      </c>
      <c r="D8" s="439"/>
    </row>
    <row r="9" spans="1:5" customFormat="1" ht="22.5" customHeight="1">
      <c r="A9" s="440"/>
      <c r="B9" s="441" t="s">
        <v>11</v>
      </c>
      <c r="C9" s="442">
        <v>0</v>
      </c>
      <c r="D9" s="437" t="s">
        <v>12</v>
      </c>
    </row>
    <row r="10" spans="1:5" customFormat="1" ht="22.5" customHeight="1">
      <c r="A10" s="440"/>
      <c r="B10" s="441" t="s">
        <v>13</v>
      </c>
      <c r="C10" s="442">
        <v>0</v>
      </c>
      <c r="D10" s="437"/>
    </row>
    <row r="11" spans="1:5" s="99" customFormat="1" ht="22.5" customHeight="1">
      <c r="A11" s="434" t="s">
        <v>14</v>
      </c>
      <c r="B11" s="435" t="s">
        <v>15</v>
      </c>
      <c r="C11" s="436">
        <f>C12+C13</f>
        <v>110863</v>
      </c>
      <c r="D11" s="439"/>
    </row>
    <row r="12" spans="1:5" s="427" customFormat="1" ht="22.5" customHeight="1">
      <c r="A12" s="443"/>
      <c r="B12" s="441" t="s">
        <v>16</v>
      </c>
      <c r="C12" s="444">
        <v>14866</v>
      </c>
      <c r="D12" s="445"/>
      <c r="E12" s="446">
        <f>+C9-C12</f>
        <v>-14866</v>
      </c>
    </row>
    <row r="13" spans="1:5" s="427" customFormat="1" ht="24" customHeight="1">
      <c r="A13" s="443"/>
      <c r="B13" s="447" t="s">
        <v>17</v>
      </c>
      <c r="C13" s="444">
        <v>95997</v>
      </c>
      <c r="D13" s="445"/>
    </row>
    <row r="14" spans="1:5" s="99" customFormat="1" ht="31.2">
      <c r="A14" s="434" t="s">
        <v>18</v>
      </c>
      <c r="B14" s="448" t="s">
        <v>19</v>
      </c>
      <c r="C14" s="436">
        <v>5281</v>
      </c>
      <c r="D14" s="439"/>
    </row>
    <row r="15" spans="1:5" s="99" customFormat="1" ht="15.6">
      <c r="A15" s="434" t="s">
        <v>20</v>
      </c>
      <c r="B15" s="448" t="s">
        <v>855</v>
      </c>
      <c r="C15" s="436">
        <v>4868</v>
      </c>
      <c r="D15" s="439"/>
    </row>
    <row r="16" spans="1:5" s="99" customFormat="1" ht="22.5" customHeight="1">
      <c r="A16" s="434" t="s">
        <v>854</v>
      </c>
      <c r="B16" s="435" t="s">
        <v>21</v>
      </c>
      <c r="C16" s="436">
        <v>3122</v>
      </c>
      <c r="D16" s="439"/>
    </row>
    <row r="17" spans="1:5" customFormat="1" ht="23.25" customHeight="1">
      <c r="A17" s="434" t="s">
        <v>22</v>
      </c>
      <c r="B17" s="435" t="s">
        <v>23</v>
      </c>
      <c r="C17" s="436">
        <f>C18+C25+C30+C29+C28</f>
        <v>124134.06</v>
      </c>
      <c r="D17" s="449"/>
      <c r="E17" s="450">
        <f>+C11-C17</f>
        <v>-13271.059999999998</v>
      </c>
    </row>
    <row r="18" spans="1:5" s="99" customFormat="1" ht="23.25" customHeight="1">
      <c r="A18" s="434" t="s">
        <v>9</v>
      </c>
      <c r="B18" s="435" t="s">
        <v>24</v>
      </c>
      <c r="C18" s="436">
        <f>SUM(C19:C24)</f>
        <v>93325</v>
      </c>
      <c r="D18" s="439"/>
    </row>
    <row r="19" spans="1:5" ht="23.25" customHeight="1">
      <c r="A19" s="440" t="s">
        <v>25</v>
      </c>
      <c r="B19" s="441" t="s">
        <v>26</v>
      </c>
      <c r="C19" s="444">
        <v>2683</v>
      </c>
      <c r="D19" s="451"/>
      <c r="E19" s="452"/>
    </row>
    <row r="20" spans="1:5" ht="23.25" customHeight="1">
      <c r="A20" s="440" t="s">
        <v>27</v>
      </c>
      <c r="B20" s="441" t="s">
        <v>28</v>
      </c>
      <c r="C20" s="444">
        <v>88821</v>
      </c>
      <c r="D20" s="451"/>
      <c r="E20" s="452"/>
    </row>
    <row r="21" spans="1:5" ht="33.75" customHeight="1">
      <c r="A21" s="440" t="s">
        <v>29</v>
      </c>
      <c r="B21" s="447" t="s">
        <v>30</v>
      </c>
      <c r="C21" s="444"/>
      <c r="D21" s="451"/>
      <c r="E21" s="452"/>
    </row>
    <row r="22" spans="1:5" ht="23.25" customHeight="1">
      <c r="A22" s="440" t="s">
        <v>31</v>
      </c>
      <c r="B22" s="441" t="s">
        <v>32</v>
      </c>
      <c r="C22" s="444"/>
      <c r="D22" s="451"/>
      <c r="E22" s="452"/>
    </row>
    <row r="23" spans="1:5" ht="23.25" customHeight="1">
      <c r="A23" s="440" t="s">
        <v>33</v>
      </c>
      <c r="B23" s="441" t="s">
        <v>34</v>
      </c>
      <c r="C23" s="444">
        <v>1821</v>
      </c>
      <c r="D23" s="451"/>
      <c r="E23" s="452"/>
    </row>
    <row r="24" spans="1:5" ht="23.25" customHeight="1">
      <c r="A24" s="440" t="s">
        <v>35</v>
      </c>
      <c r="B24" s="441" t="s">
        <v>36</v>
      </c>
      <c r="C24" s="444"/>
      <c r="D24" s="451"/>
      <c r="E24" s="452"/>
    </row>
    <row r="25" spans="1:5" s="99" customFormat="1" ht="23.25" customHeight="1">
      <c r="A25" s="434" t="s">
        <v>14</v>
      </c>
      <c r="B25" s="435" t="s">
        <v>37</v>
      </c>
      <c r="C25" s="438">
        <f>SUM(C26:C27)</f>
        <v>17538.060000000001</v>
      </c>
      <c r="D25" s="439"/>
    </row>
    <row r="26" spans="1:5" customFormat="1" ht="23.25" customHeight="1">
      <c r="A26" s="440" t="s">
        <v>38</v>
      </c>
      <c r="B26" s="456" t="s">
        <v>39</v>
      </c>
      <c r="C26" s="442">
        <v>17303.060000000001</v>
      </c>
      <c r="D26" s="437"/>
    </row>
    <row r="27" spans="1:5" customFormat="1" ht="15.6">
      <c r="A27" s="440" t="s">
        <v>38</v>
      </c>
      <c r="B27" s="456" t="s">
        <v>40</v>
      </c>
      <c r="C27" s="442">
        <v>235</v>
      </c>
      <c r="D27" s="453" t="s">
        <v>41</v>
      </c>
    </row>
    <row r="28" spans="1:5" s="99" customFormat="1" ht="21" customHeight="1">
      <c r="A28" s="434" t="s">
        <v>18</v>
      </c>
      <c r="B28" s="457" t="s">
        <v>856</v>
      </c>
      <c r="C28" s="454">
        <v>5281</v>
      </c>
      <c r="D28" s="439"/>
    </row>
    <row r="29" spans="1:5" s="99" customFormat="1" ht="21" customHeight="1">
      <c r="A29" s="434" t="s">
        <v>20</v>
      </c>
      <c r="B29" s="457" t="s">
        <v>857</v>
      </c>
      <c r="C29" s="454">
        <v>4868</v>
      </c>
      <c r="D29" s="439"/>
    </row>
    <row r="30" spans="1:5" s="99" customFormat="1" ht="21" customHeight="1">
      <c r="A30" s="434" t="s">
        <v>42</v>
      </c>
      <c r="B30" s="458" t="str">
        <f>'[1]bieu 2,3'!B39</f>
        <v>Chi từ nguồn viện trợ, huy động, 
đóng góp</v>
      </c>
      <c r="C30" s="454">
        <v>3122</v>
      </c>
      <c r="D30" s="439"/>
    </row>
    <row r="31" spans="1:5" ht="23.25" customHeight="1">
      <c r="A31" s="434" t="s">
        <v>43</v>
      </c>
      <c r="B31" s="435" t="s">
        <v>44</v>
      </c>
      <c r="C31" s="454"/>
      <c r="D31" s="455"/>
    </row>
    <row r="32" spans="1:5" ht="23.25" hidden="1" customHeight="1">
      <c r="A32" s="434" t="s">
        <v>45</v>
      </c>
      <c r="B32" s="435" t="s">
        <v>46</v>
      </c>
      <c r="C32" s="435" t="e">
        <f>#REF!+#REF!</f>
        <v>#REF!</v>
      </c>
    </row>
    <row r="33" spans="1:3" ht="15.6" hidden="1">
      <c r="A33" s="440" t="s">
        <v>25</v>
      </c>
      <c r="B33" s="441" t="s">
        <v>47</v>
      </c>
      <c r="C33" s="441" t="e">
        <f>#REF!+#REF!</f>
        <v>#REF!</v>
      </c>
    </row>
    <row r="34" spans="1:3" ht="31.2" hidden="1">
      <c r="A34" s="440" t="s">
        <v>27</v>
      </c>
      <c r="B34" s="447" t="s">
        <v>48</v>
      </c>
      <c r="C34" s="441" t="e">
        <f>#REF!+#REF!</f>
        <v>#REF!</v>
      </c>
    </row>
    <row r="35" spans="1:3" ht="23.25" hidden="1" customHeight="1">
      <c r="A35" s="434" t="s">
        <v>49</v>
      </c>
      <c r="B35" s="435" t="s">
        <v>50</v>
      </c>
      <c r="C35" s="441" t="e">
        <f>#REF!+#REF!</f>
        <v>#REF!</v>
      </c>
    </row>
    <row r="36" spans="1:3" ht="23.25" hidden="1" customHeight="1">
      <c r="A36" s="434" t="s">
        <v>25</v>
      </c>
      <c r="B36" s="435" t="s">
        <v>51</v>
      </c>
      <c r="C36" s="441" t="e">
        <f>#REF!+#REF!</f>
        <v>#REF!</v>
      </c>
    </row>
    <row r="37" spans="1:3" ht="23.25" hidden="1" customHeight="1">
      <c r="A37" s="434" t="s">
        <v>27</v>
      </c>
      <c r="B37" s="435" t="s">
        <v>52</v>
      </c>
      <c r="C37" s="441" t="e">
        <f>#REF!+#REF!</f>
        <v>#REF!</v>
      </c>
    </row>
  </sheetData>
  <mergeCells count="7">
    <mergeCell ref="A2:D2"/>
    <mergeCell ref="A3:D3"/>
    <mergeCell ref="B4:D4"/>
    <mergeCell ref="A5:A6"/>
    <mergeCell ref="B5:B6"/>
    <mergeCell ref="C5:C6"/>
    <mergeCell ref="D5:D6"/>
  </mergeCells>
  <pageMargins left="0.48" right="0.2" top="0.39" bottom="0.75" header="0.3" footer="0.3"/>
  <pageSetup paperSize="9" orientation="portrait" horizont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3"/>
  <sheetViews>
    <sheetView topLeftCell="A8" workbookViewId="0">
      <selection activeCell="D17" sqref="D17"/>
    </sheetView>
  </sheetViews>
  <sheetFormatPr defaultColWidth="11.33203125" defaultRowHeight="15.6"/>
  <cols>
    <col min="1" max="1" width="6.33203125" style="406" customWidth="1"/>
    <col min="2" max="2" width="52.6640625" style="406" customWidth="1"/>
    <col min="3" max="3" width="13.21875" style="407" customWidth="1"/>
    <col min="4" max="4" width="13.77734375" style="407" customWidth="1"/>
    <col min="5" max="5" width="14.33203125" style="406" customWidth="1"/>
    <col min="6" max="251" width="11.33203125" style="406"/>
    <col min="252" max="252" width="6.33203125" style="406" customWidth="1"/>
    <col min="253" max="253" width="53.21875" style="406" customWidth="1"/>
    <col min="254" max="254" width="15.109375" style="406" customWidth="1"/>
    <col min="255" max="255" width="16.109375" style="406" customWidth="1"/>
    <col min="256" max="256" width="14.33203125" style="406" customWidth="1"/>
    <col min="257" max="507" width="11.33203125" style="406"/>
    <col min="508" max="508" width="6.33203125" style="406" customWidth="1"/>
    <col min="509" max="509" width="53.21875" style="406" customWidth="1"/>
    <col min="510" max="510" width="15.109375" style="406" customWidth="1"/>
    <col min="511" max="511" width="16.109375" style="406" customWidth="1"/>
    <col min="512" max="512" width="14.33203125" style="406" customWidth="1"/>
    <col min="513" max="763" width="11.33203125" style="406"/>
    <col min="764" max="764" width="6.33203125" style="406" customWidth="1"/>
    <col min="765" max="765" width="53.21875" style="406" customWidth="1"/>
    <col min="766" max="766" width="15.109375" style="406" customWidth="1"/>
    <col min="767" max="767" width="16.109375" style="406" customWidth="1"/>
    <col min="768" max="768" width="14.33203125" style="406" customWidth="1"/>
    <col min="769" max="1019" width="11.33203125" style="406"/>
    <col min="1020" max="1020" width="6.33203125" style="406" customWidth="1"/>
    <col min="1021" max="1021" width="53.21875" style="406" customWidth="1"/>
    <col min="1022" max="1022" width="15.109375" style="406" customWidth="1"/>
    <col min="1023" max="1023" width="16.109375" style="406" customWidth="1"/>
    <col min="1024" max="1024" width="14.33203125" style="406" customWidth="1"/>
    <col min="1025" max="1275" width="11.33203125" style="406"/>
    <col min="1276" max="1276" width="6.33203125" style="406" customWidth="1"/>
    <col min="1277" max="1277" width="53.21875" style="406" customWidth="1"/>
    <col min="1278" max="1278" width="15.109375" style="406" customWidth="1"/>
    <col min="1279" max="1279" width="16.109375" style="406" customWidth="1"/>
    <col min="1280" max="1280" width="14.33203125" style="406" customWidth="1"/>
    <col min="1281" max="1531" width="11.33203125" style="406"/>
    <col min="1532" max="1532" width="6.33203125" style="406" customWidth="1"/>
    <col min="1533" max="1533" width="53.21875" style="406" customWidth="1"/>
    <col min="1534" max="1534" width="15.109375" style="406" customWidth="1"/>
    <col min="1535" max="1535" width="16.109375" style="406" customWidth="1"/>
    <col min="1536" max="1536" width="14.33203125" style="406" customWidth="1"/>
    <col min="1537" max="1787" width="11.33203125" style="406"/>
    <col min="1788" max="1788" width="6.33203125" style="406" customWidth="1"/>
    <col min="1789" max="1789" width="53.21875" style="406" customWidth="1"/>
    <col min="1790" max="1790" width="15.109375" style="406" customWidth="1"/>
    <col min="1791" max="1791" width="16.109375" style="406" customWidth="1"/>
    <col min="1792" max="1792" width="14.33203125" style="406" customWidth="1"/>
    <col min="1793" max="2043" width="11.33203125" style="406"/>
    <col min="2044" max="2044" width="6.33203125" style="406" customWidth="1"/>
    <col min="2045" max="2045" width="53.21875" style="406" customWidth="1"/>
    <col min="2046" max="2046" width="15.109375" style="406" customWidth="1"/>
    <col min="2047" max="2047" width="16.109375" style="406" customWidth="1"/>
    <col min="2048" max="2048" width="14.33203125" style="406" customWidth="1"/>
    <col min="2049" max="2299" width="11.33203125" style="406"/>
    <col min="2300" max="2300" width="6.33203125" style="406" customWidth="1"/>
    <col min="2301" max="2301" width="53.21875" style="406" customWidth="1"/>
    <col min="2302" max="2302" width="15.109375" style="406" customWidth="1"/>
    <col min="2303" max="2303" width="16.109375" style="406" customWidth="1"/>
    <col min="2304" max="2304" width="14.33203125" style="406" customWidth="1"/>
    <col min="2305" max="2555" width="11.33203125" style="406"/>
    <col min="2556" max="2556" width="6.33203125" style="406" customWidth="1"/>
    <col min="2557" max="2557" width="53.21875" style="406" customWidth="1"/>
    <col min="2558" max="2558" width="15.109375" style="406" customWidth="1"/>
    <col min="2559" max="2559" width="16.109375" style="406" customWidth="1"/>
    <col min="2560" max="2560" width="14.33203125" style="406" customWidth="1"/>
    <col min="2561" max="2811" width="11.33203125" style="406"/>
    <col min="2812" max="2812" width="6.33203125" style="406" customWidth="1"/>
    <col min="2813" max="2813" width="53.21875" style="406" customWidth="1"/>
    <col min="2814" max="2814" width="15.109375" style="406" customWidth="1"/>
    <col min="2815" max="2815" width="16.109375" style="406" customWidth="1"/>
    <col min="2816" max="2816" width="14.33203125" style="406" customWidth="1"/>
    <col min="2817" max="3067" width="11.33203125" style="406"/>
    <col min="3068" max="3068" width="6.33203125" style="406" customWidth="1"/>
    <col min="3069" max="3069" width="53.21875" style="406" customWidth="1"/>
    <col min="3070" max="3070" width="15.109375" style="406" customWidth="1"/>
    <col min="3071" max="3071" width="16.109375" style="406" customWidth="1"/>
    <col min="3072" max="3072" width="14.33203125" style="406" customWidth="1"/>
    <col min="3073" max="3323" width="11.33203125" style="406"/>
    <col min="3324" max="3324" width="6.33203125" style="406" customWidth="1"/>
    <col min="3325" max="3325" width="53.21875" style="406" customWidth="1"/>
    <col min="3326" max="3326" width="15.109375" style="406" customWidth="1"/>
    <col min="3327" max="3327" width="16.109375" style="406" customWidth="1"/>
    <col min="3328" max="3328" width="14.33203125" style="406" customWidth="1"/>
    <col min="3329" max="3579" width="11.33203125" style="406"/>
    <col min="3580" max="3580" width="6.33203125" style="406" customWidth="1"/>
    <col min="3581" max="3581" width="53.21875" style="406" customWidth="1"/>
    <col min="3582" max="3582" width="15.109375" style="406" customWidth="1"/>
    <col min="3583" max="3583" width="16.109375" style="406" customWidth="1"/>
    <col min="3584" max="3584" width="14.33203125" style="406" customWidth="1"/>
    <col min="3585" max="3835" width="11.33203125" style="406"/>
    <col min="3836" max="3836" width="6.33203125" style="406" customWidth="1"/>
    <col min="3837" max="3837" width="53.21875" style="406" customWidth="1"/>
    <col min="3838" max="3838" width="15.109375" style="406" customWidth="1"/>
    <col min="3839" max="3839" width="16.109375" style="406" customWidth="1"/>
    <col min="3840" max="3840" width="14.33203125" style="406" customWidth="1"/>
    <col min="3841" max="4091" width="11.33203125" style="406"/>
    <col min="4092" max="4092" width="6.33203125" style="406" customWidth="1"/>
    <col min="4093" max="4093" width="53.21875" style="406" customWidth="1"/>
    <col min="4094" max="4094" width="15.109375" style="406" customWidth="1"/>
    <col min="4095" max="4095" width="16.109375" style="406" customWidth="1"/>
    <col min="4096" max="4096" width="14.33203125" style="406" customWidth="1"/>
    <col min="4097" max="4347" width="11.33203125" style="406"/>
    <col min="4348" max="4348" width="6.33203125" style="406" customWidth="1"/>
    <col min="4349" max="4349" width="53.21875" style="406" customWidth="1"/>
    <col min="4350" max="4350" width="15.109375" style="406" customWidth="1"/>
    <col min="4351" max="4351" width="16.109375" style="406" customWidth="1"/>
    <col min="4352" max="4352" width="14.33203125" style="406" customWidth="1"/>
    <col min="4353" max="4603" width="11.33203125" style="406"/>
    <col min="4604" max="4604" width="6.33203125" style="406" customWidth="1"/>
    <col min="4605" max="4605" width="53.21875" style="406" customWidth="1"/>
    <col min="4606" max="4606" width="15.109375" style="406" customWidth="1"/>
    <col min="4607" max="4607" width="16.109375" style="406" customWidth="1"/>
    <col min="4608" max="4608" width="14.33203125" style="406" customWidth="1"/>
    <col min="4609" max="4859" width="11.33203125" style="406"/>
    <col min="4860" max="4860" width="6.33203125" style="406" customWidth="1"/>
    <col min="4861" max="4861" width="53.21875" style="406" customWidth="1"/>
    <col min="4862" max="4862" width="15.109375" style="406" customWidth="1"/>
    <col min="4863" max="4863" width="16.109375" style="406" customWidth="1"/>
    <col min="4864" max="4864" width="14.33203125" style="406" customWidth="1"/>
    <col min="4865" max="5115" width="11.33203125" style="406"/>
    <col min="5116" max="5116" width="6.33203125" style="406" customWidth="1"/>
    <col min="5117" max="5117" width="53.21875" style="406" customWidth="1"/>
    <col min="5118" max="5118" width="15.109375" style="406" customWidth="1"/>
    <col min="5119" max="5119" width="16.109375" style="406" customWidth="1"/>
    <col min="5120" max="5120" width="14.33203125" style="406" customWidth="1"/>
    <col min="5121" max="5371" width="11.33203125" style="406"/>
    <col min="5372" max="5372" width="6.33203125" style="406" customWidth="1"/>
    <col min="5373" max="5373" width="53.21875" style="406" customWidth="1"/>
    <col min="5374" max="5374" width="15.109375" style="406" customWidth="1"/>
    <col min="5375" max="5375" width="16.109375" style="406" customWidth="1"/>
    <col min="5376" max="5376" width="14.33203125" style="406" customWidth="1"/>
    <col min="5377" max="5627" width="11.33203125" style="406"/>
    <col min="5628" max="5628" width="6.33203125" style="406" customWidth="1"/>
    <col min="5629" max="5629" width="53.21875" style="406" customWidth="1"/>
    <col min="5630" max="5630" width="15.109375" style="406" customWidth="1"/>
    <col min="5631" max="5631" width="16.109375" style="406" customWidth="1"/>
    <col min="5632" max="5632" width="14.33203125" style="406" customWidth="1"/>
    <col min="5633" max="5883" width="11.33203125" style="406"/>
    <col min="5884" max="5884" width="6.33203125" style="406" customWidth="1"/>
    <col min="5885" max="5885" width="53.21875" style="406" customWidth="1"/>
    <col min="5886" max="5886" width="15.109375" style="406" customWidth="1"/>
    <col min="5887" max="5887" width="16.109375" style="406" customWidth="1"/>
    <col min="5888" max="5888" width="14.33203125" style="406" customWidth="1"/>
    <col min="5889" max="6139" width="11.33203125" style="406"/>
    <col min="6140" max="6140" width="6.33203125" style="406" customWidth="1"/>
    <col min="6141" max="6141" width="53.21875" style="406" customWidth="1"/>
    <col min="6142" max="6142" width="15.109375" style="406" customWidth="1"/>
    <col min="6143" max="6143" width="16.109375" style="406" customWidth="1"/>
    <col min="6144" max="6144" width="14.33203125" style="406" customWidth="1"/>
    <col min="6145" max="6395" width="11.33203125" style="406"/>
    <col min="6396" max="6396" width="6.33203125" style="406" customWidth="1"/>
    <col min="6397" max="6397" width="53.21875" style="406" customWidth="1"/>
    <col min="6398" max="6398" width="15.109375" style="406" customWidth="1"/>
    <col min="6399" max="6399" width="16.109375" style="406" customWidth="1"/>
    <col min="6400" max="6400" width="14.33203125" style="406" customWidth="1"/>
    <col min="6401" max="6651" width="11.33203125" style="406"/>
    <col min="6652" max="6652" width="6.33203125" style="406" customWidth="1"/>
    <col min="6653" max="6653" width="53.21875" style="406" customWidth="1"/>
    <col min="6654" max="6654" width="15.109375" style="406" customWidth="1"/>
    <col min="6655" max="6655" width="16.109375" style="406" customWidth="1"/>
    <col min="6656" max="6656" width="14.33203125" style="406" customWidth="1"/>
    <col min="6657" max="6907" width="11.33203125" style="406"/>
    <col min="6908" max="6908" width="6.33203125" style="406" customWidth="1"/>
    <col min="6909" max="6909" width="53.21875" style="406" customWidth="1"/>
    <col min="6910" max="6910" width="15.109375" style="406" customWidth="1"/>
    <col min="6911" max="6911" width="16.109375" style="406" customWidth="1"/>
    <col min="6912" max="6912" width="14.33203125" style="406" customWidth="1"/>
    <col min="6913" max="7163" width="11.33203125" style="406"/>
    <col min="7164" max="7164" width="6.33203125" style="406" customWidth="1"/>
    <col min="7165" max="7165" width="53.21875" style="406" customWidth="1"/>
    <col min="7166" max="7166" width="15.109375" style="406" customWidth="1"/>
    <col min="7167" max="7167" width="16.109375" style="406" customWidth="1"/>
    <col min="7168" max="7168" width="14.33203125" style="406" customWidth="1"/>
    <col min="7169" max="7419" width="11.33203125" style="406"/>
    <col min="7420" max="7420" width="6.33203125" style="406" customWidth="1"/>
    <col min="7421" max="7421" width="53.21875" style="406" customWidth="1"/>
    <col min="7422" max="7422" width="15.109375" style="406" customWidth="1"/>
    <col min="7423" max="7423" width="16.109375" style="406" customWidth="1"/>
    <col min="7424" max="7424" width="14.33203125" style="406" customWidth="1"/>
    <col min="7425" max="7675" width="11.33203125" style="406"/>
    <col min="7676" max="7676" width="6.33203125" style="406" customWidth="1"/>
    <col min="7677" max="7677" width="53.21875" style="406" customWidth="1"/>
    <col min="7678" max="7678" width="15.109375" style="406" customWidth="1"/>
    <col min="7679" max="7679" width="16.109375" style="406" customWidth="1"/>
    <col min="7680" max="7680" width="14.33203125" style="406" customWidth="1"/>
    <col min="7681" max="7931" width="11.33203125" style="406"/>
    <col min="7932" max="7932" width="6.33203125" style="406" customWidth="1"/>
    <col min="7933" max="7933" width="53.21875" style="406" customWidth="1"/>
    <col min="7934" max="7934" width="15.109375" style="406" customWidth="1"/>
    <col min="7935" max="7935" width="16.109375" style="406" customWidth="1"/>
    <col min="7936" max="7936" width="14.33203125" style="406" customWidth="1"/>
    <col min="7937" max="8187" width="11.33203125" style="406"/>
    <col min="8188" max="8188" width="6.33203125" style="406" customWidth="1"/>
    <col min="8189" max="8189" width="53.21875" style="406" customWidth="1"/>
    <col min="8190" max="8190" width="15.109375" style="406" customWidth="1"/>
    <col min="8191" max="8191" width="16.109375" style="406" customWidth="1"/>
    <col min="8192" max="8192" width="14.33203125" style="406" customWidth="1"/>
    <col min="8193" max="8443" width="11.33203125" style="406"/>
    <col min="8444" max="8444" width="6.33203125" style="406" customWidth="1"/>
    <col min="8445" max="8445" width="53.21875" style="406" customWidth="1"/>
    <col min="8446" max="8446" width="15.109375" style="406" customWidth="1"/>
    <col min="8447" max="8447" width="16.109375" style="406" customWidth="1"/>
    <col min="8448" max="8448" width="14.33203125" style="406" customWidth="1"/>
    <col min="8449" max="8699" width="11.33203125" style="406"/>
    <col min="8700" max="8700" width="6.33203125" style="406" customWidth="1"/>
    <col min="8701" max="8701" width="53.21875" style="406" customWidth="1"/>
    <col min="8702" max="8702" width="15.109375" style="406" customWidth="1"/>
    <col min="8703" max="8703" width="16.109375" style="406" customWidth="1"/>
    <col min="8704" max="8704" width="14.33203125" style="406" customWidth="1"/>
    <col min="8705" max="8955" width="11.33203125" style="406"/>
    <col min="8956" max="8956" width="6.33203125" style="406" customWidth="1"/>
    <col min="8957" max="8957" width="53.21875" style="406" customWidth="1"/>
    <col min="8958" max="8958" width="15.109375" style="406" customWidth="1"/>
    <col min="8959" max="8959" width="16.109375" style="406" customWidth="1"/>
    <col min="8960" max="8960" width="14.33203125" style="406" customWidth="1"/>
    <col min="8961" max="9211" width="11.33203125" style="406"/>
    <col min="9212" max="9212" width="6.33203125" style="406" customWidth="1"/>
    <col min="9213" max="9213" width="53.21875" style="406" customWidth="1"/>
    <col min="9214" max="9214" width="15.109375" style="406" customWidth="1"/>
    <col min="9215" max="9215" width="16.109375" style="406" customWidth="1"/>
    <col min="9216" max="9216" width="14.33203125" style="406" customWidth="1"/>
    <col min="9217" max="9467" width="11.33203125" style="406"/>
    <col min="9468" max="9468" width="6.33203125" style="406" customWidth="1"/>
    <col min="9469" max="9469" width="53.21875" style="406" customWidth="1"/>
    <col min="9470" max="9470" width="15.109375" style="406" customWidth="1"/>
    <col min="9471" max="9471" width="16.109375" style="406" customWidth="1"/>
    <col min="9472" max="9472" width="14.33203125" style="406" customWidth="1"/>
    <col min="9473" max="9723" width="11.33203125" style="406"/>
    <col min="9724" max="9724" width="6.33203125" style="406" customWidth="1"/>
    <col min="9725" max="9725" width="53.21875" style="406" customWidth="1"/>
    <col min="9726" max="9726" width="15.109375" style="406" customWidth="1"/>
    <col min="9727" max="9727" width="16.109375" style="406" customWidth="1"/>
    <col min="9728" max="9728" width="14.33203125" style="406" customWidth="1"/>
    <col min="9729" max="9979" width="11.33203125" style="406"/>
    <col min="9980" max="9980" width="6.33203125" style="406" customWidth="1"/>
    <col min="9981" max="9981" width="53.21875" style="406" customWidth="1"/>
    <col min="9982" max="9982" width="15.109375" style="406" customWidth="1"/>
    <col min="9983" max="9983" width="16.109375" style="406" customWidth="1"/>
    <col min="9984" max="9984" width="14.33203125" style="406" customWidth="1"/>
    <col min="9985" max="10235" width="11.33203125" style="406"/>
    <col min="10236" max="10236" width="6.33203125" style="406" customWidth="1"/>
    <col min="10237" max="10237" width="53.21875" style="406" customWidth="1"/>
    <col min="10238" max="10238" width="15.109375" style="406" customWidth="1"/>
    <col min="10239" max="10239" width="16.109375" style="406" customWidth="1"/>
    <col min="10240" max="10240" width="14.33203125" style="406" customWidth="1"/>
    <col min="10241" max="10491" width="11.33203125" style="406"/>
    <col min="10492" max="10492" width="6.33203125" style="406" customWidth="1"/>
    <col min="10493" max="10493" width="53.21875" style="406" customWidth="1"/>
    <col min="10494" max="10494" width="15.109375" style="406" customWidth="1"/>
    <col min="10495" max="10495" width="16.109375" style="406" customWidth="1"/>
    <col min="10496" max="10496" width="14.33203125" style="406" customWidth="1"/>
    <col min="10497" max="10747" width="11.33203125" style="406"/>
    <col min="10748" max="10748" width="6.33203125" style="406" customWidth="1"/>
    <col min="10749" max="10749" width="53.21875" style="406" customWidth="1"/>
    <col min="10750" max="10750" width="15.109375" style="406" customWidth="1"/>
    <col min="10751" max="10751" width="16.109375" style="406" customWidth="1"/>
    <col min="10752" max="10752" width="14.33203125" style="406" customWidth="1"/>
    <col min="10753" max="11003" width="11.33203125" style="406"/>
    <col min="11004" max="11004" width="6.33203125" style="406" customWidth="1"/>
    <col min="11005" max="11005" width="53.21875" style="406" customWidth="1"/>
    <col min="11006" max="11006" width="15.109375" style="406" customWidth="1"/>
    <col min="11007" max="11007" width="16.109375" style="406" customWidth="1"/>
    <col min="11008" max="11008" width="14.33203125" style="406" customWidth="1"/>
    <col min="11009" max="11259" width="11.33203125" style="406"/>
    <col min="11260" max="11260" width="6.33203125" style="406" customWidth="1"/>
    <col min="11261" max="11261" width="53.21875" style="406" customWidth="1"/>
    <col min="11262" max="11262" width="15.109375" style="406" customWidth="1"/>
    <col min="11263" max="11263" width="16.109375" style="406" customWidth="1"/>
    <col min="11264" max="11264" width="14.33203125" style="406" customWidth="1"/>
    <col min="11265" max="11515" width="11.33203125" style="406"/>
    <col min="11516" max="11516" width="6.33203125" style="406" customWidth="1"/>
    <col min="11517" max="11517" width="53.21875" style="406" customWidth="1"/>
    <col min="11518" max="11518" width="15.109375" style="406" customWidth="1"/>
    <col min="11519" max="11519" width="16.109375" style="406" customWidth="1"/>
    <col min="11520" max="11520" width="14.33203125" style="406" customWidth="1"/>
    <col min="11521" max="11771" width="11.33203125" style="406"/>
    <col min="11772" max="11772" width="6.33203125" style="406" customWidth="1"/>
    <col min="11773" max="11773" width="53.21875" style="406" customWidth="1"/>
    <col min="11774" max="11774" width="15.109375" style="406" customWidth="1"/>
    <col min="11775" max="11775" width="16.109375" style="406" customWidth="1"/>
    <col min="11776" max="11776" width="14.33203125" style="406" customWidth="1"/>
    <col min="11777" max="12027" width="11.33203125" style="406"/>
    <col min="12028" max="12028" width="6.33203125" style="406" customWidth="1"/>
    <col min="12029" max="12029" width="53.21875" style="406" customWidth="1"/>
    <col min="12030" max="12030" width="15.109375" style="406" customWidth="1"/>
    <col min="12031" max="12031" width="16.109375" style="406" customWidth="1"/>
    <col min="12032" max="12032" width="14.33203125" style="406" customWidth="1"/>
    <col min="12033" max="12283" width="11.33203125" style="406"/>
    <col min="12284" max="12284" width="6.33203125" style="406" customWidth="1"/>
    <col min="12285" max="12285" width="53.21875" style="406" customWidth="1"/>
    <col min="12286" max="12286" width="15.109375" style="406" customWidth="1"/>
    <col min="12287" max="12287" width="16.109375" style="406" customWidth="1"/>
    <col min="12288" max="12288" width="14.33203125" style="406" customWidth="1"/>
    <col min="12289" max="12539" width="11.33203125" style="406"/>
    <col min="12540" max="12540" width="6.33203125" style="406" customWidth="1"/>
    <col min="12541" max="12541" width="53.21875" style="406" customWidth="1"/>
    <col min="12542" max="12542" width="15.109375" style="406" customWidth="1"/>
    <col min="12543" max="12543" width="16.109375" style="406" customWidth="1"/>
    <col min="12544" max="12544" width="14.33203125" style="406" customWidth="1"/>
    <col min="12545" max="12795" width="11.33203125" style="406"/>
    <col min="12796" max="12796" width="6.33203125" style="406" customWidth="1"/>
    <col min="12797" max="12797" width="53.21875" style="406" customWidth="1"/>
    <col min="12798" max="12798" width="15.109375" style="406" customWidth="1"/>
    <col min="12799" max="12799" width="16.109375" style="406" customWidth="1"/>
    <col min="12800" max="12800" width="14.33203125" style="406" customWidth="1"/>
    <col min="12801" max="13051" width="11.33203125" style="406"/>
    <col min="13052" max="13052" width="6.33203125" style="406" customWidth="1"/>
    <col min="13053" max="13053" width="53.21875" style="406" customWidth="1"/>
    <col min="13054" max="13054" width="15.109375" style="406" customWidth="1"/>
    <col min="13055" max="13055" width="16.109375" style="406" customWidth="1"/>
    <col min="13056" max="13056" width="14.33203125" style="406" customWidth="1"/>
    <col min="13057" max="13307" width="11.33203125" style="406"/>
    <col min="13308" max="13308" width="6.33203125" style="406" customWidth="1"/>
    <col min="13309" max="13309" width="53.21875" style="406" customWidth="1"/>
    <col min="13310" max="13310" width="15.109375" style="406" customWidth="1"/>
    <col min="13311" max="13311" width="16.109375" style="406" customWidth="1"/>
    <col min="13312" max="13312" width="14.33203125" style="406" customWidth="1"/>
    <col min="13313" max="13563" width="11.33203125" style="406"/>
    <col min="13564" max="13564" width="6.33203125" style="406" customWidth="1"/>
    <col min="13565" max="13565" width="53.21875" style="406" customWidth="1"/>
    <col min="13566" max="13566" width="15.109375" style="406" customWidth="1"/>
    <col min="13567" max="13567" width="16.109375" style="406" customWidth="1"/>
    <col min="13568" max="13568" width="14.33203125" style="406" customWidth="1"/>
    <col min="13569" max="13819" width="11.33203125" style="406"/>
    <col min="13820" max="13820" width="6.33203125" style="406" customWidth="1"/>
    <col min="13821" max="13821" width="53.21875" style="406" customWidth="1"/>
    <col min="13822" max="13822" width="15.109375" style="406" customWidth="1"/>
    <col min="13823" max="13823" width="16.109375" style="406" customWidth="1"/>
    <col min="13824" max="13824" width="14.33203125" style="406" customWidth="1"/>
    <col min="13825" max="14075" width="11.33203125" style="406"/>
    <col min="14076" max="14076" width="6.33203125" style="406" customWidth="1"/>
    <col min="14077" max="14077" width="53.21875" style="406" customWidth="1"/>
    <col min="14078" max="14078" width="15.109375" style="406" customWidth="1"/>
    <col min="14079" max="14079" width="16.109375" style="406" customWidth="1"/>
    <col min="14080" max="14080" width="14.33203125" style="406" customWidth="1"/>
    <col min="14081" max="14331" width="11.33203125" style="406"/>
    <col min="14332" max="14332" width="6.33203125" style="406" customWidth="1"/>
    <col min="14333" max="14333" width="53.21875" style="406" customWidth="1"/>
    <col min="14334" max="14334" width="15.109375" style="406" customWidth="1"/>
    <col min="14335" max="14335" width="16.109375" style="406" customWidth="1"/>
    <col min="14336" max="14336" width="14.33203125" style="406" customWidth="1"/>
    <col min="14337" max="14587" width="11.33203125" style="406"/>
    <col min="14588" max="14588" width="6.33203125" style="406" customWidth="1"/>
    <col min="14589" max="14589" width="53.21875" style="406" customWidth="1"/>
    <col min="14590" max="14590" width="15.109375" style="406" customWidth="1"/>
    <col min="14591" max="14591" width="16.109375" style="406" customWidth="1"/>
    <col min="14592" max="14592" width="14.33203125" style="406" customWidth="1"/>
    <col min="14593" max="14843" width="11.33203125" style="406"/>
    <col min="14844" max="14844" width="6.33203125" style="406" customWidth="1"/>
    <col min="14845" max="14845" width="53.21875" style="406" customWidth="1"/>
    <col min="14846" max="14846" width="15.109375" style="406" customWidth="1"/>
    <col min="14847" max="14847" width="16.109375" style="406" customWidth="1"/>
    <col min="14848" max="14848" width="14.33203125" style="406" customWidth="1"/>
    <col min="14849" max="15099" width="11.33203125" style="406"/>
    <col min="15100" max="15100" width="6.33203125" style="406" customWidth="1"/>
    <col min="15101" max="15101" width="53.21875" style="406" customWidth="1"/>
    <col min="15102" max="15102" width="15.109375" style="406" customWidth="1"/>
    <col min="15103" max="15103" width="16.109375" style="406" customWidth="1"/>
    <col min="15104" max="15104" width="14.33203125" style="406" customWidth="1"/>
    <col min="15105" max="15355" width="11.33203125" style="406"/>
    <col min="15356" max="15356" width="6.33203125" style="406" customWidth="1"/>
    <col min="15357" max="15357" width="53.21875" style="406" customWidth="1"/>
    <col min="15358" max="15358" width="15.109375" style="406" customWidth="1"/>
    <col min="15359" max="15359" width="16.109375" style="406" customWidth="1"/>
    <col min="15360" max="15360" width="14.33203125" style="406" customWidth="1"/>
    <col min="15361" max="15611" width="11.33203125" style="406"/>
    <col min="15612" max="15612" width="6.33203125" style="406" customWidth="1"/>
    <col min="15613" max="15613" width="53.21875" style="406" customWidth="1"/>
    <col min="15614" max="15614" width="15.109375" style="406" customWidth="1"/>
    <col min="15615" max="15615" width="16.109375" style="406" customWidth="1"/>
    <col min="15616" max="15616" width="14.33203125" style="406" customWidth="1"/>
    <col min="15617" max="15867" width="11.33203125" style="406"/>
    <col min="15868" max="15868" width="6.33203125" style="406" customWidth="1"/>
    <col min="15869" max="15869" width="53.21875" style="406" customWidth="1"/>
    <col min="15870" max="15870" width="15.109375" style="406" customWidth="1"/>
    <col min="15871" max="15871" width="16.109375" style="406" customWidth="1"/>
    <col min="15872" max="15872" width="14.33203125" style="406" customWidth="1"/>
    <col min="15873" max="16123" width="11.33203125" style="406"/>
    <col min="16124" max="16124" width="6.33203125" style="406" customWidth="1"/>
    <col min="16125" max="16125" width="53.21875" style="406" customWidth="1"/>
    <col min="16126" max="16126" width="15.109375" style="406" customWidth="1"/>
    <col min="16127" max="16127" width="16.109375" style="406" customWidth="1"/>
    <col min="16128" max="16128" width="14.33203125" style="406" customWidth="1"/>
    <col min="16129" max="16384" width="11.33203125" style="406"/>
  </cols>
  <sheetData>
    <row r="1" spans="1:5" s="395" customFormat="1" ht="24" customHeight="1">
      <c r="B1" s="396"/>
      <c r="C1" s="396"/>
      <c r="D1" s="408" t="s">
        <v>53</v>
      </c>
    </row>
    <row r="2" spans="1:5" s="396" customFormat="1" ht="23.25" customHeight="1">
      <c r="A2" s="525" t="s">
        <v>54</v>
      </c>
      <c r="B2" s="525"/>
      <c r="C2" s="525"/>
      <c r="D2" s="525"/>
    </row>
    <row r="3" spans="1:5" s="396" customFormat="1" ht="39.75" customHeight="1">
      <c r="A3" s="526" t="str">
        <f>'01-Cân đôi'!A3:C3</f>
        <v>(Kèm theo Nghị quyết số         /NQ-HĐND ngày     tháng 9 năm 2025 của HĐND xã Quang Sơn)</v>
      </c>
      <c r="B3" s="526"/>
      <c r="C3" s="526"/>
      <c r="D3" s="526"/>
    </row>
    <row r="4" spans="1:5" s="397" customFormat="1" ht="17.25" customHeight="1">
      <c r="A4" s="409"/>
      <c r="B4" s="409"/>
      <c r="C4" s="527" t="s">
        <v>55</v>
      </c>
      <c r="D4" s="527"/>
    </row>
    <row r="5" spans="1:5" s="398" customFormat="1" ht="28.5" customHeight="1">
      <c r="A5" s="530" t="s">
        <v>3</v>
      </c>
      <c r="B5" s="530" t="s">
        <v>56</v>
      </c>
      <c r="C5" s="530" t="s">
        <v>57</v>
      </c>
      <c r="D5" s="530" t="s">
        <v>58</v>
      </c>
    </row>
    <row r="6" spans="1:5" s="398" customFormat="1" ht="27" customHeight="1">
      <c r="A6" s="530"/>
      <c r="B6" s="530"/>
      <c r="C6" s="530"/>
      <c r="D6" s="530"/>
    </row>
    <row r="7" spans="1:5" s="399" customFormat="1" ht="22.5" customHeight="1">
      <c r="A7" s="410">
        <v>1</v>
      </c>
      <c r="B7" s="411">
        <v>2</v>
      </c>
      <c r="C7" s="412">
        <v>3</v>
      </c>
      <c r="D7" s="412">
        <v>4</v>
      </c>
    </row>
    <row r="8" spans="1:5" s="400" customFormat="1" ht="27.75" customHeight="1">
      <c r="A8" s="413"/>
      <c r="B8" s="117" t="s">
        <v>59</v>
      </c>
      <c r="C8" s="414">
        <f>C11+C50+C51</f>
        <v>17729.2785</v>
      </c>
      <c r="D8" s="414">
        <f>D11+D50+D51</f>
        <v>0</v>
      </c>
    </row>
    <row r="9" spans="1:5" s="401" customFormat="1" ht="36.75" hidden="1" customHeight="1">
      <c r="A9" s="415"/>
      <c r="B9" s="58" t="s">
        <v>60</v>
      </c>
      <c r="C9" s="416">
        <f>C8-C33-C47</f>
        <v>17519.2785</v>
      </c>
      <c r="D9" s="416"/>
    </row>
    <row r="10" spans="1:5" s="401" customFormat="1" ht="31.2" hidden="1">
      <c r="A10" s="415"/>
      <c r="B10" s="58" t="s">
        <v>61</v>
      </c>
      <c r="C10" s="416">
        <f>C9-2910000</f>
        <v>-2892480.7215</v>
      </c>
      <c r="D10" s="416"/>
    </row>
    <row r="11" spans="1:5" s="402" customFormat="1" ht="22.5" customHeight="1">
      <c r="A11" s="417" t="s">
        <v>9</v>
      </c>
      <c r="B11" s="418" t="s">
        <v>62</v>
      </c>
      <c r="C11" s="414">
        <f>C12+C17+C22+C27+C32+C33+C34+C35+C36+C37+C40+C43+C46+C47+C48+C49</f>
        <v>17729.2785</v>
      </c>
      <c r="D11" s="414">
        <f>D12+D17+D22+D27+D32+D33+D34+D35+D36+D37+D40+D43+D46+D47+D48+D49</f>
        <v>0</v>
      </c>
      <c r="E11" s="419"/>
    </row>
    <row r="12" spans="1:5" s="403" customFormat="1" ht="26.25" customHeight="1">
      <c r="A12" s="420">
        <v>1</v>
      </c>
      <c r="B12" s="421" t="s">
        <v>63</v>
      </c>
      <c r="C12" s="422">
        <f>SUM(C13:C16)</f>
        <v>0</v>
      </c>
      <c r="D12" s="414">
        <f t="shared" ref="D12" si="0">SUM(D13:D16)</f>
        <v>0</v>
      </c>
    </row>
    <row r="13" spans="1:5" s="404" customFormat="1" ht="26.25" hidden="1" customHeight="1">
      <c r="A13" s="420"/>
      <c r="B13" s="421" t="s">
        <v>64</v>
      </c>
      <c r="C13" s="422"/>
      <c r="D13" s="422"/>
    </row>
    <row r="14" spans="1:5" s="404" customFormat="1" ht="26.25" hidden="1" customHeight="1">
      <c r="A14" s="420"/>
      <c r="B14" s="421" t="s">
        <v>65</v>
      </c>
      <c r="C14" s="422"/>
      <c r="D14" s="422"/>
    </row>
    <row r="15" spans="1:5" s="404" customFormat="1" ht="26.25" hidden="1" customHeight="1">
      <c r="A15" s="420"/>
      <c r="B15" s="421" t="s">
        <v>66</v>
      </c>
      <c r="C15" s="422"/>
      <c r="D15" s="422"/>
    </row>
    <row r="16" spans="1:5" s="404" customFormat="1" ht="26.25" hidden="1" customHeight="1">
      <c r="A16" s="420"/>
      <c r="B16" s="421" t="s">
        <v>67</v>
      </c>
      <c r="C16" s="422"/>
      <c r="D16" s="422"/>
    </row>
    <row r="17" spans="1:4" s="403" customFormat="1" ht="26.25" customHeight="1">
      <c r="A17" s="420">
        <v>2</v>
      </c>
      <c r="B17" s="421" t="s">
        <v>68</v>
      </c>
      <c r="C17" s="422">
        <f>SUM(C18:C21)</f>
        <v>0</v>
      </c>
      <c r="D17" s="414">
        <f>SUM(D18:D21)</f>
        <v>0</v>
      </c>
    </row>
    <row r="18" spans="1:4" s="404" customFormat="1" ht="26.25" hidden="1" customHeight="1">
      <c r="A18" s="420"/>
      <c r="B18" s="421" t="s">
        <v>64</v>
      </c>
      <c r="C18" s="422"/>
      <c r="D18" s="422"/>
    </row>
    <row r="19" spans="1:4" s="404" customFormat="1" ht="26.25" hidden="1" customHeight="1">
      <c r="A19" s="420"/>
      <c r="B19" s="421" t="s">
        <v>65</v>
      </c>
      <c r="C19" s="422"/>
      <c r="D19" s="422"/>
    </row>
    <row r="20" spans="1:4" s="404" customFormat="1" ht="26.25" hidden="1" customHeight="1">
      <c r="A20" s="420"/>
      <c r="B20" s="421" t="s">
        <v>66</v>
      </c>
      <c r="C20" s="422"/>
      <c r="D20" s="422"/>
    </row>
    <row r="21" spans="1:4" s="404" customFormat="1" ht="26.25" hidden="1" customHeight="1">
      <c r="A21" s="420"/>
      <c r="B21" s="421" t="s">
        <v>67</v>
      </c>
      <c r="C21" s="422"/>
      <c r="D21" s="422"/>
    </row>
    <row r="22" spans="1:4" s="403" customFormat="1" ht="26.25" customHeight="1">
      <c r="A22" s="420">
        <v>3</v>
      </c>
      <c r="B22" s="421" t="s">
        <v>69</v>
      </c>
      <c r="C22" s="422">
        <f>SUM(C23:C26)</f>
        <v>0</v>
      </c>
      <c r="D22" s="414">
        <f>SUM(D23:D26)</f>
        <v>0</v>
      </c>
    </row>
    <row r="23" spans="1:4" s="404" customFormat="1" ht="26.25" hidden="1" customHeight="1">
      <c r="A23" s="420"/>
      <c r="B23" s="421" t="s">
        <v>64</v>
      </c>
      <c r="C23" s="422"/>
      <c r="D23" s="422"/>
    </row>
    <row r="24" spans="1:4" s="404" customFormat="1" ht="26.25" hidden="1" customHeight="1">
      <c r="A24" s="420"/>
      <c r="B24" s="421" t="s">
        <v>70</v>
      </c>
      <c r="C24" s="422"/>
      <c r="D24" s="422"/>
    </row>
    <row r="25" spans="1:4" s="404" customFormat="1" ht="26.25" hidden="1" customHeight="1">
      <c r="A25" s="420"/>
      <c r="B25" s="421" t="s">
        <v>67</v>
      </c>
      <c r="C25" s="422"/>
      <c r="D25" s="422"/>
    </row>
    <row r="26" spans="1:4" s="404" customFormat="1" ht="26.25" hidden="1" customHeight="1">
      <c r="A26" s="420"/>
      <c r="B26" s="421" t="s">
        <v>66</v>
      </c>
      <c r="C26" s="422"/>
      <c r="D26" s="422"/>
    </row>
    <row r="27" spans="1:4" s="403" customFormat="1" ht="26.25" customHeight="1">
      <c r="A27" s="420">
        <v>4</v>
      </c>
      <c r="B27" s="421" t="s">
        <v>71</v>
      </c>
      <c r="C27" s="422">
        <v>6019</v>
      </c>
      <c r="D27" s="414">
        <f>SUM(D28:D31)</f>
        <v>0</v>
      </c>
    </row>
    <row r="28" spans="1:4" s="403" customFormat="1" ht="26.25" hidden="1" customHeight="1">
      <c r="A28" s="420"/>
      <c r="B28" s="421" t="s">
        <v>64</v>
      </c>
      <c r="C28" s="422">
        <v>6019</v>
      </c>
      <c r="D28" s="422"/>
    </row>
    <row r="29" spans="1:4" s="403" customFormat="1" ht="26.25" hidden="1" customHeight="1">
      <c r="A29" s="420"/>
      <c r="B29" s="421" t="s">
        <v>65</v>
      </c>
      <c r="C29" s="422"/>
      <c r="D29" s="422"/>
    </row>
    <row r="30" spans="1:4" s="403" customFormat="1" ht="26.25" hidden="1" customHeight="1">
      <c r="A30" s="420"/>
      <c r="B30" s="421" t="s">
        <v>66</v>
      </c>
      <c r="C30" s="422"/>
      <c r="D30" s="422"/>
    </row>
    <row r="31" spans="1:4" s="403" customFormat="1" ht="26.25" hidden="1" customHeight="1">
      <c r="A31" s="420"/>
      <c r="B31" s="421" t="s">
        <v>67</v>
      </c>
      <c r="C31" s="422"/>
      <c r="D31" s="422"/>
    </row>
    <row r="32" spans="1:4" s="403" customFormat="1" ht="26.25" customHeight="1">
      <c r="A32" s="420">
        <v>5</v>
      </c>
      <c r="B32" s="421" t="s">
        <v>72</v>
      </c>
      <c r="C32" s="422">
        <v>398</v>
      </c>
      <c r="D32" s="414"/>
    </row>
    <row r="33" spans="1:4" s="403" customFormat="1" ht="26.25" customHeight="1">
      <c r="A33" s="420">
        <v>6</v>
      </c>
      <c r="B33" s="421" t="s">
        <v>73</v>
      </c>
      <c r="C33" s="422">
        <v>210</v>
      </c>
      <c r="D33" s="414"/>
    </row>
    <row r="34" spans="1:4" s="403" customFormat="1" ht="30.75" customHeight="1">
      <c r="A34" s="420">
        <v>7</v>
      </c>
      <c r="B34" s="421" t="s">
        <v>74</v>
      </c>
      <c r="C34" s="422">
        <v>30</v>
      </c>
      <c r="D34" s="414"/>
    </row>
    <row r="35" spans="1:4" s="403" customFormat="1" ht="26.25" customHeight="1">
      <c r="A35" s="420">
        <v>8</v>
      </c>
      <c r="B35" s="421" t="s">
        <v>75</v>
      </c>
      <c r="C35" s="422">
        <v>5192</v>
      </c>
      <c r="D35" s="414"/>
    </row>
    <row r="36" spans="1:4" s="403" customFormat="1" ht="26.25" customHeight="1">
      <c r="A36" s="420">
        <v>9</v>
      </c>
      <c r="B36" s="421" t="s">
        <v>76</v>
      </c>
      <c r="C36" s="422">
        <v>1456</v>
      </c>
      <c r="D36" s="414"/>
    </row>
    <row r="37" spans="1:4" s="403" customFormat="1" ht="26.25" customHeight="1">
      <c r="A37" s="420">
        <v>10</v>
      </c>
      <c r="B37" s="421" t="s">
        <v>77</v>
      </c>
      <c r="C37" s="422">
        <f>SUM(C38:C39)</f>
        <v>1303</v>
      </c>
      <c r="D37" s="414">
        <f>SUM(D38:D39)</f>
        <v>0</v>
      </c>
    </row>
    <row r="38" spans="1:4" s="404" customFormat="1" ht="26.25" hidden="1" customHeight="1">
      <c r="A38" s="420"/>
      <c r="B38" s="421" t="s">
        <v>78</v>
      </c>
      <c r="C38" s="422"/>
      <c r="D38" s="422"/>
    </row>
    <row r="39" spans="1:4" s="404" customFormat="1" ht="26.25" hidden="1" customHeight="1">
      <c r="A39" s="420"/>
      <c r="B39" s="421" t="s">
        <v>79</v>
      </c>
      <c r="C39" s="422">
        <v>1303</v>
      </c>
      <c r="D39" s="422"/>
    </row>
    <row r="40" spans="1:4" s="403" customFormat="1" ht="26.25" customHeight="1">
      <c r="A40" s="420">
        <v>11</v>
      </c>
      <c r="B40" s="421" t="s">
        <v>80</v>
      </c>
      <c r="C40" s="422"/>
      <c r="D40" s="414"/>
    </row>
    <row r="41" spans="1:4" s="404" customFormat="1" ht="26.25" hidden="1" customHeight="1">
      <c r="A41" s="420"/>
      <c r="B41" s="421" t="s">
        <v>81</v>
      </c>
      <c r="C41" s="422" t="e">
        <f>#REF!+#REF!</f>
        <v>#REF!</v>
      </c>
      <c r="D41" s="422" t="e">
        <f>#REF!+#REF!</f>
        <v>#REF!</v>
      </c>
    </row>
    <row r="42" spans="1:4" s="404" customFormat="1" ht="26.25" hidden="1" customHeight="1">
      <c r="A42" s="420"/>
      <c r="B42" s="421" t="s">
        <v>82</v>
      </c>
      <c r="C42" s="422" t="e">
        <f>#REF!+#REF!</f>
        <v>#REF!</v>
      </c>
      <c r="D42" s="422" t="e">
        <f>#REF!+#REF!</f>
        <v>#REF!</v>
      </c>
    </row>
    <row r="43" spans="1:4" s="403" customFormat="1" ht="26.25" customHeight="1">
      <c r="A43" s="420">
        <v>12</v>
      </c>
      <c r="B43" s="421" t="s">
        <v>83</v>
      </c>
      <c r="C43" s="422">
        <f>SUM(C44:C45)</f>
        <v>1220</v>
      </c>
      <c r="D43" s="414">
        <f>SUM(D44:D45)</f>
        <v>0</v>
      </c>
    </row>
    <row r="44" spans="1:4" s="404" customFormat="1" ht="26.25" hidden="1" customHeight="1">
      <c r="A44" s="420"/>
      <c r="B44" s="421" t="s">
        <v>84</v>
      </c>
      <c r="C44" s="422"/>
      <c r="D44" s="422"/>
    </row>
    <row r="45" spans="1:4" s="404" customFormat="1" ht="26.25" hidden="1" customHeight="1">
      <c r="A45" s="420"/>
      <c r="B45" s="421" t="s">
        <v>85</v>
      </c>
      <c r="C45" s="422">
        <v>1220</v>
      </c>
      <c r="D45" s="422"/>
    </row>
    <row r="46" spans="1:4" s="405" customFormat="1" ht="37.5" customHeight="1">
      <c r="A46" s="420">
        <v>13</v>
      </c>
      <c r="B46" s="421" t="s">
        <v>86</v>
      </c>
      <c r="C46" s="422">
        <v>1901.2784999999999</v>
      </c>
      <c r="D46" s="414"/>
    </row>
    <row r="47" spans="1:4" s="405" customFormat="1" ht="26.25" customHeight="1">
      <c r="A47" s="420">
        <v>14</v>
      </c>
      <c r="B47" s="421" t="s">
        <v>87</v>
      </c>
      <c r="C47" s="422"/>
      <c r="D47" s="414"/>
    </row>
    <row r="48" spans="1:4" s="403" customFormat="1" ht="24" customHeight="1">
      <c r="A48" s="420">
        <v>15</v>
      </c>
      <c r="B48" s="421" t="s">
        <v>88</v>
      </c>
      <c r="C48" s="422"/>
      <c r="D48" s="414"/>
    </row>
    <row r="49" spans="1:4" s="403" customFormat="1" ht="24" customHeight="1">
      <c r="A49" s="420">
        <v>16</v>
      </c>
      <c r="B49" s="421" t="s">
        <v>89</v>
      </c>
      <c r="C49" s="422"/>
      <c r="D49" s="414"/>
    </row>
    <row r="50" spans="1:4" s="402" customFormat="1" ht="26.25" customHeight="1">
      <c r="A50" s="423" t="s">
        <v>14</v>
      </c>
      <c r="B50" s="424" t="s">
        <v>90</v>
      </c>
      <c r="C50" s="414"/>
      <c r="D50" s="414"/>
    </row>
    <row r="51" spans="1:4" s="402" customFormat="1" ht="26.25" customHeight="1">
      <c r="A51" s="423" t="s">
        <v>18</v>
      </c>
      <c r="B51" s="424" t="s">
        <v>91</v>
      </c>
      <c r="C51" s="414"/>
      <c r="D51" s="414"/>
    </row>
    <row r="52" spans="1:4">
      <c r="B52" s="425"/>
    </row>
    <row r="53" spans="1:4" ht="27" customHeight="1">
      <c r="A53" s="528"/>
      <c r="B53" s="529"/>
      <c r="C53" s="529"/>
      <c r="D53" s="529"/>
    </row>
  </sheetData>
  <mergeCells count="8">
    <mergeCell ref="A2:D2"/>
    <mergeCell ref="A3:D3"/>
    <mergeCell ref="C4:D4"/>
    <mergeCell ref="A53:D53"/>
    <mergeCell ref="A5:A6"/>
    <mergeCell ref="B5:B6"/>
    <mergeCell ref="C5:C6"/>
    <mergeCell ref="D5:D6"/>
  </mergeCells>
  <pageMargins left="0.54" right="0.2" top="0.28000000000000003" bottom="0.35" header="0.3" footer="0.3"/>
  <pageSetup paperSize="9" orientation="portrait" horizont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3"/>
  <sheetViews>
    <sheetView topLeftCell="A30" workbookViewId="0">
      <selection activeCell="B42" sqref="B42"/>
    </sheetView>
  </sheetViews>
  <sheetFormatPr defaultColWidth="11.33203125" defaultRowHeight="17.25" customHeight="1"/>
  <cols>
    <col min="1" max="1" width="7" style="356" customWidth="1"/>
    <col min="2" max="2" width="51.21875" style="357" customWidth="1"/>
    <col min="3" max="3" width="15.21875" style="358" customWidth="1"/>
    <col min="4" max="4" width="13.77734375" style="358" customWidth="1"/>
    <col min="5" max="5" width="14.21875" style="359" customWidth="1"/>
    <col min="6" max="6" width="15.109375" style="359" customWidth="1"/>
    <col min="7" max="252" width="11.33203125" style="359"/>
    <col min="253" max="253" width="3.33203125" style="359" customWidth="1"/>
    <col min="254" max="254" width="34.33203125" style="359" customWidth="1"/>
    <col min="255" max="255" width="12.33203125" style="359" customWidth="1"/>
    <col min="256" max="256" width="13.33203125" style="359" customWidth="1"/>
    <col min="257" max="257" width="13.77734375" style="359" customWidth="1"/>
    <col min="258" max="258" width="12.33203125" style="359" customWidth="1"/>
    <col min="259" max="259" width="13.33203125" style="359" customWidth="1"/>
    <col min="260" max="260" width="9.33203125" style="359" customWidth="1"/>
    <col min="261" max="261" width="14.21875" style="359" customWidth="1"/>
    <col min="262" max="262" width="12.88671875" style="359" customWidth="1"/>
    <col min="263" max="508" width="11.33203125" style="359"/>
    <col min="509" max="509" width="3.33203125" style="359" customWidth="1"/>
    <col min="510" max="510" width="34.33203125" style="359" customWidth="1"/>
    <col min="511" max="511" width="12.33203125" style="359" customWidth="1"/>
    <col min="512" max="512" width="13.33203125" style="359" customWidth="1"/>
    <col min="513" max="513" width="13.77734375" style="359" customWidth="1"/>
    <col min="514" max="514" width="12.33203125" style="359" customWidth="1"/>
    <col min="515" max="515" width="13.33203125" style="359" customWidth="1"/>
    <col min="516" max="516" width="9.33203125" style="359" customWidth="1"/>
    <col min="517" max="517" width="14.21875" style="359" customWidth="1"/>
    <col min="518" max="518" width="12.88671875" style="359" customWidth="1"/>
    <col min="519" max="764" width="11.33203125" style="359"/>
    <col min="765" max="765" width="3.33203125" style="359" customWidth="1"/>
    <col min="766" max="766" width="34.33203125" style="359" customWidth="1"/>
    <col min="767" max="767" width="12.33203125" style="359" customWidth="1"/>
    <col min="768" max="768" width="13.33203125" style="359" customWidth="1"/>
    <col min="769" max="769" width="13.77734375" style="359" customWidth="1"/>
    <col min="770" max="770" width="12.33203125" style="359" customWidth="1"/>
    <col min="771" max="771" width="13.33203125" style="359" customWidth="1"/>
    <col min="772" max="772" width="9.33203125" style="359" customWidth="1"/>
    <col min="773" max="773" width="14.21875" style="359" customWidth="1"/>
    <col min="774" max="774" width="12.88671875" style="359" customWidth="1"/>
    <col min="775" max="1020" width="11.33203125" style="359"/>
    <col min="1021" max="1021" width="3.33203125" style="359" customWidth="1"/>
    <col min="1022" max="1022" width="34.33203125" style="359" customWidth="1"/>
    <col min="1023" max="1023" width="12.33203125" style="359" customWidth="1"/>
    <col min="1024" max="1024" width="13.33203125" style="359" customWidth="1"/>
    <col min="1025" max="1025" width="13.77734375" style="359" customWidth="1"/>
    <col min="1026" max="1026" width="12.33203125" style="359" customWidth="1"/>
    <col min="1027" max="1027" width="13.33203125" style="359" customWidth="1"/>
    <col min="1028" max="1028" width="9.33203125" style="359" customWidth="1"/>
    <col min="1029" max="1029" width="14.21875" style="359" customWidth="1"/>
    <col min="1030" max="1030" width="12.88671875" style="359" customWidth="1"/>
    <col min="1031" max="1276" width="11.33203125" style="359"/>
    <col min="1277" max="1277" width="3.33203125" style="359" customWidth="1"/>
    <col min="1278" max="1278" width="34.33203125" style="359" customWidth="1"/>
    <col min="1279" max="1279" width="12.33203125" style="359" customWidth="1"/>
    <col min="1280" max="1280" width="13.33203125" style="359" customWidth="1"/>
    <col min="1281" max="1281" width="13.77734375" style="359" customWidth="1"/>
    <col min="1282" max="1282" width="12.33203125" style="359" customWidth="1"/>
    <col min="1283" max="1283" width="13.33203125" style="359" customWidth="1"/>
    <col min="1284" max="1284" width="9.33203125" style="359" customWidth="1"/>
    <col min="1285" max="1285" width="14.21875" style="359" customWidth="1"/>
    <col min="1286" max="1286" width="12.88671875" style="359" customWidth="1"/>
    <col min="1287" max="1532" width="11.33203125" style="359"/>
    <col min="1533" max="1533" width="3.33203125" style="359" customWidth="1"/>
    <col min="1534" max="1534" width="34.33203125" style="359" customWidth="1"/>
    <col min="1535" max="1535" width="12.33203125" style="359" customWidth="1"/>
    <col min="1536" max="1536" width="13.33203125" style="359" customWidth="1"/>
    <col min="1537" max="1537" width="13.77734375" style="359" customWidth="1"/>
    <col min="1538" max="1538" width="12.33203125" style="359" customWidth="1"/>
    <col min="1539" max="1539" width="13.33203125" style="359" customWidth="1"/>
    <col min="1540" max="1540" width="9.33203125" style="359" customWidth="1"/>
    <col min="1541" max="1541" width="14.21875" style="359" customWidth="1"/>
    <col min="1542" max="1542" width="12.88671875" style="359" customWidth="1"/>
    <col min="1543" max="1788" width="11.33203125" style="359"/>
    <col min="1789" max="1789" width="3.33203125" style="359" customWidth="1"/>
    <col min="1790" max="1790" width="34.33203125" style="359" customWidth="1"/>
    <col min="1791" max="1791" width="12.33203125" style="359" customWidth="1"/>
    <col min="1792" max="1792" width="13.33203125" style="359" customWidth="1"/>
    <col min="1793" max="1793" width="13.77734375" style="359" customWidth="1"/>
    <col min="1794" max="1794" width="12.33203125" style="359" customWidth="1"/>
    <col min="1795" max="1795" width="13.33203125" style="359" customWidth="1"/>
    <col min="1796" max="1796" width="9.33203125" style="359" customWidth="1"/>
    <col min="1797" max="1797" width="14.21875" style="359" customWidth="1"/>
    <col min="1798" max="1798" width="12.88671875" style="359" customWidth="1"/>
    <col min="1799" max="2044" width="11.33203125" style="359"/>
    <col min="2045" max="2045" width="3.33203125" style="359" customWidth="1"/>
    <col min="2046" max="2046" width="34.33203125" style="359" customWidth="1"/>
    <col min="2047" max="2047" width="12.33203125" style="359" customWidth="1"/>
    <col min="2048" max="2048" width="13.33203125" style="359" customWidth="1"/>
    <col min="2049" max="2049" width="13.77734375" style="359" customWidth="1"/>
    <col min="2050" max="2050" width="12.33203125" style="359" customWidth="1"/>
    <col min="2051" max="2051" width="13.33203125" style="359" customWidth="1"/>
    <col min="2052" max="2052" width="9.33203125" style="359" customWidth="1"/>
    <col min="2053" max="2053" width="14.21875" style="359" customWidth="1"/>
    <col min="2054" max="2054" width="12.88671875" style="359" customWidth="1"/>
    <col min="2055" max="2300" width="11.33203125" style="359"/>
    <col min="2301" max="2301" width="3.33203125" style="359" customWidth="1"/>
    <col min="2302" max="2302" width="34.33203125" style="359" customWidth="1"/>
    <col min="2303" max="2303" width="12.33203125" style="359" customWidth="1"/>
    <col min="2304" max="2304" width="13.33203125" style="359" customWidth="1"/>
    <col min="2305" max="2305" width="13.77734375" style="359" customWidth="1"/>
    <col min="2306" max="2306" width="12.33203125" style="359" customWidth="1"/>
    <col min="2307" max="2307" width="13.33203125" style="359" customWidth="1"/>
    <col min="2308" max="2308" width="9.33203125" style="359" customWidth="1"/>
    <col min="2309" max="2309" width="14.21875" style="359" customWidth="1"/>
    <col min="2310" max="2310" width="12.88671875" style="359" customWidth="1"/>
    <col min="2311" max="2556" width="11.33203125" style="359"/>
    <col min="2557" max="2557" width="3.33203125" style="359" customWidth="1"/>
    <col min="2558" max="2558" width="34.33203125" style="359" customWidth="1"/>
    <col min="2559" max="2559" width="12.33203125" style="359" customWidth="1"/>
    <col min="2560" max="2560" width="13.33203125" style="359" customWidth="1"/>
    <col min="2561" max="2561" width="13.77734375" style="359" customWidth="1"/>
    <col min="2562" max="2562" width="12.33203125" style="359" customWidth="1"/>
    <col min="2563" max="2563" width="13.33203125" style="359" customWidth="1"/>
    <col min="2564" max="2564" width="9.33203125" style="359" customWidth="1"/>
    <col min="2565" max="2565" width="14.21875" style="359" customWidth="1"/>
    <col min="2566" max="2566" width="12.88671875" style="359" customWidth="1"/>
    <col min="2567" max="2812" width="11.33203125" style="359"/>
    <col min="2813" max="2813" width="3.33203125" style="359" customWidth="1"/>
    <col min="2814" max="2814" width="34.33203125" style="359" customWidth="1"/>
    <col min="2815" max="2815" width="12.33203125" style="359" customWidth="1"/>
    <col min="2816" max="2816" width="13.33203125" style="359" customWidth="1"/>
    <col min="2817" max="2817" width="13.77734375" style="359" customWidth="1"/>
    <col min="2818" max="2818" width="12.33203125" style="359" customWidth="1"/>
    <col min="2819" max="2819" width="13.33203125" style="359" customWidth="1"/>
    <col min="2820" max="2820" width="9.33203125" style="359" customWidth="1"/>
    <col min="2821" max="2821" width="14.21875" style="359" customWidth="1"/>
    <col min="2822" max="2822" width="12.88671875" style="359" customWidth="1"/>
    <col min="2823" max="3068" width="11.33203125" style="359"/>
    <col min="3069" max="3069" width="3.33203125" style="359" customWidth="1"/>
    <col min="3070" max="3070" width="34.33203125" style="359" customWidth="1"/>
    <col min="3071" max="3071" width="12.33203125" style="359" customWidth="1"/>
    <col min="3072" max="3072" width="13.33203125" style="359" customWidth="1"/>
    <col min="3073" max="3073" width="13.77734375" style="359" customWidth="1"/>
    <col min="3074" max="3074" width="12.33203125" style="359" customWidth="1"/>
    <col min="3075" max="3075" width="13.33203125" style="359" customWidth="1"/>
    <col min="3076" max="3076" width="9.33203125" style="359" customWidth="1"/>
    <col min="3077" max="3077" width="14.21875" style="359" customWidth="1"/>
    <col min="3078" max="3078" width="12.88671875" style="359" customWidth="1"/>
    <col min="3079" max="3324" width="11.33203125" style="359"/>
    <col min="3325" max="3325" width="3.33203125" style="359" customWidth="1"/>
    <col min="3326" max="3326" width="34.33203125" style="359" customWidth="1"/>
    <col min="3327" max="3327" width="12.33203125" style="359" customWidth="1"/>
    <col min="3328" max="3328" width="13.33203125" style="359" customWidth="1"/>
    <col min="3329" max="3329" width="13.77734375" style="359" customWidth="1"/>
    <col min="3330" max="3330" width="12.33203125" style="359" customWidth="1"/>
    <col min="3331" max="3331" width="13.33203125" style="359" customWidth="1"/>
    <col min="3332" max="3332" width="9.33203125" style="359" customWidth="1"/>
    <col min="3333" max="3333" width="14.21875" style="359" customWidth="1"/>
    <col min="3334" max="3334" width="12.88671875" style="359" customWidth="1"/>
    <col min="3335" max="3580" width="11.33203125" style="359"/>
    <col min="3581" max="3581" width="3.33203125" style="359" customWidth="1"/>
    <col min="3582" max="3582" width="34.33203125" style="359" customWidth="1"/>
    <col min="3583" max="3583" width="12.33203125" style="359" customWidth="1"/>
    <col min="3584" max="3584" width="13.33203125" style="359" customWidth="1"/>
    <col min="3585" max="3585" width="13.77734375" style="359" customWidth="1"/>
    <col min="3586" max="3586" width="12.33203125" style="359" customWidth="1"/>
    <col min="3587" max="3587" width="13.33203125" style="359" customWidth="1"/>
    <col min="3588" max="3588" width="9.33203125" style="359" customWidth="1"/>
    <col min="3589" max="3589" width="14.21875" style="359" customWidth="1"/>
    <col min="3590" max="3590" width="12.88671875" style="359" customWidth="1"/>
    <col min="3591" max="3836" width="11.33203125" style="359"/>
    <col min="3837" max="3837" width="3.33203125" style="359" customWidth="1"/>
    <col min="3838" max="3838" width="34.33203125" style="359" customWidth="1"/>
    <col min="3839" max="3839" width="12.33203125" style="359" customWidth="1"/>
    <col min="3840" max="3840" width="13.33203125" style="359" customWidth="1"/>
    <col min="3841" max="3841" width="13.77734375" style="359" customWidth="1"/>
    <col min="3842" max="3842" width="12.33203125" style="359" customWidth="1"/>
    <col min="3843" max="3843" width="13.33203125" style="359" customWidth="1"/>
    <col min="3844" max="3844" width="9.33203125" style="359" customWidth="1"/>
    <col min="3845" max="3845" width="14.21875" style="359" customWidth="1"/>
    <col min="3846" max="3846" width="12.88671875" style="359" customWidth="1"/>
    <col min="3847" max="4092" width="11.33203125" style="359"/>
    <col min="4093" max="4093" width="3.33203125" style="359" customWidth="1"/>
    <col min="4094" max="4094" width="34.33203125" style="359" customWidth="1"/>
    <col min="4095" max="4095" width="12.33203125" style="359" customWidth="1"/>
    <col min="4096" max="4096" width="13.33203125" style="359" customWidth="1"/>
    <col min="4097" max="4097" width="13.77734375" style="359" customWidth="1"/>
    <col min="4098" max="4098" width="12.33203125" style="359" customWidth="1"/>
    <col min="4099" max="4099" width="13.33203125" style="359" customWidth="1"/>
    <col min="4100" max="4100" width="9.33203125" style="359" customWidth="1"/>
    <col min="4101" max="4101" width="14.21875" style="359" customWidth="1"/>
    <col min="4102" max="4102" width="12.88671875" style="359" customWidth="1"/>
    <col min="4103" max="4348" width="11.33203125" style="359"/>
    <col min="4349" max="4349" width="3.33203125" style="359" customWidth="1"/>
    <col min="4350" max="4350" width="34.33203125" style="359" customWidth="1"/>
    <col min="4351" max="4351" width="12.33203125" style="359" customWidth="1"/>
    <col min="4352" max="4352" width="13.33203125" style="359" customWidth="1"/>
    <col min="4353" max="4353" width="13.77734375" style="359" customWidth="1"/>
    <col min="4354" max="4354" width="12.33203125" style="359" customWidth="1"/>
    <col min="4355" max="4355" width="13.33203125" style="359" customWidth="1"/>
    <col min="4356" max="4356" width="9.33203125" style="359" customWidth="1"/>
    <col min="4357" max="4357" width="14.21875" style="359" customWidth="1"/>
    <col min="4358" max="4358" width="12.88671875" style="359" customWidth="1"/>
    <col min="4359" max="4604" width="11.33203125" style="359"/>
    <col min="4605" max="4605" width="3.33203125" style="359" customWidth="1"/>
    <col min="4606" max="4606" width="34.33203125" style="359" customWidth="1"/>
    <col min="4607" max="4607" width="12.33203125" style="359" customWidth="1"/>
    <col min="4608" max="4608" width="13.33203125" style="359" customWidth="1"/>
    <col min="4609" max="4609" width="13.77734375" style="359" customWidth="1"/>
    <col min="4610" max="4610" width="12.33203125" style="359" customWidth="1"/>
    <col min="4611" max="4611" width="13.33203125" style="359" customWidth="1"/>
    <col min="4612" max="4612" width="9.33203125" style="359" customWidth="1"/>
    <col min="4613" max="4613" width="14.21875" style="359" customWidth="1"/>
    <col min="4614" max="4614" width="12.88671875" style="359" customWidth="1"/>
    <col min="4615" max="4860" width="11.33203125" style="359"/>
    <col min="4861" max="4861" width="3.33203125" style="359" customWidth="1"/>
    <col min="4862" max="4862" width="34.33203125" style="359" customWidth="1"/>
    <col min="4863" max="4863" width="12.33203125" style="359" customWidth="1"/>
    <col min="4864" max="4864" width="13.33203125" style="359" customWidth="1"/>
    <col min="4865" max="4865" width="13.77734375" style="359" customWidth="1"/>
    <col min="4866" max="4866" width="12.33203125" style="359" customWidth="1"/>
    <col min="4867" max="4867" width="13.33203125" style="359" customWidth="1"/>
    <col min="4868" max="4868" width="9.33203125" style="359" customWidth="1"/>
    <col min="4869" max="4869" width="14.21875" style="359" customWidth="1"/>
    <col min="4870" max="4870" width="12.88671875" style="359" customWidth="1"/>
    <col min="4871" max="5116" width="11.33203125" style="359"/>
    <col min="5117" max="5117" width="3.33203125" style="359" customWidth="1"/>
    <col min="5118" max="5118" width="34.33203125" style="359" customWidth="1"/>
    <col min="5119" max="5119" width="12.33203125" style="359" customWidth="1"/>
    <col min="5120" max="5120" width="13.33203125" style="359" customWidth="1"/>
    <col min="5121" max="5121" width="13.77734375" style="359" customWidth="1"/>
    <col min="5122" max="5122" width="12.33203125" style="359" customWidth="1"/>
    <col min="5123" max="5123" width="13.33203125" style="359" customWidth="1"/>
    <col min="5124" max="5124" width="9.33203125" style="359" customWidth="1"/>
    <col min="5125" max="5125" width="14.21875" style="359" customWidth="1"/>
    <col min="5126" max="5126" width="12.88671875" style="359" customWidth="1"/>
    <col min="5127" max="5372" width="11.33203125" style="359"/>
    <col min="5373" max="5373" width="3.33203125" style="359" customWidth="1"/>
    <col min="5374" max="5374" width="34.33203125" style="359" customWidth="1"/>
    <col min="5375" max="5375" width="12.33203125" style="359" customWidth="1"/>
    <col min="5376" max="5376" width="13.33203125" style="359" customWidth="1"/>
    <col min="5377" max="5377" width="13.77734375" style="359" customWidth="1"/>
    <col min="5378" max="5378" width="12.33203125" style="359" customWidth="1"/>
    <col min="5379" max="5379" width="13.33203125" style="359" customWidth="1"/>
    <col min="5380" max="5380" width="9.33203125" style="359" customWidth="1"/>
    <col min="5381" max="5381" width="14.21875" style="359" customWidth="1"/>
    <col min="5382" max="5382" width="12.88671875" style="359" customWidth="1"/>
    <col min="5383" max="5628" width="11.33203125" style="359"/>
    <col min="5629" max="5629" width="3.33203125" style="359" customWidth="1"/>
    <col min="5630" max="5630" width="34.33203125" style="359" customWidth="1"/>
    <col min="5631" max="5631" width="12.33203125" style="359" customWidth="1"/>
    <col min="5632" max="5632" width="13.33203125" style="359" customWidth="1"/>
    <col min="5633" max="5633" width="13.77734375" style="359" customWidth="1"/>
    <col min="5634" max="5634" width="12.33203125" style="359" customWidth="1"/>
    <col min="5635" max="5635" width="13.33203125" style="359" customWidth="1"/>
    <col min="5636" max="5636" width="9.33203125" style="359" customWidth="1"/>
    <col min="5637" max="5637" width="14.21875" style="359" customWidth="1"/>
    <col min="5638" max="5638" width="12.88671875" style="359" customWidth="1"/>
    <col min="5639" max="5884" width="11.33203125" style="359"/>
    <col min="5885" max="5885" width="3.33203125" style="359" customWidth="1"/>
    <col min="5886" max="5886" width="34.33203125" style="359" customWidth="1"/>
    <col min="5887" max="5887" width="12.33203125" style="359" customWidth="1"/>
    <col min="5888" max="5888" width="13.33203125" style="359" customWidth="1"/>
    <col min="5889" max="5889" width="13.77734375" style="359" customWidth="1"/>
    <col min="5890" max="5890" width="12.33203125" style="359" customWidth="1"/>
    <col min="5891" max="5891" width="13.33203125" style="359" customWidth="1"/>
    <col min="5892" max="5892" width="9.33203125" style="359" customWidth="1"/>
    <col min="5893" max="5893" width="14.21875" style="359" customWidth="1"/>
    <col min="5894" max="5894" width="12.88671875" style="359" customWidth="1"/>
    <col min="5895" max="6140" width="11.33203125" style="359"/>
    <col min="6141" max="6141" width="3.33203125" style="359" customWidth="1"/>
    <col min="6142" max="6142" width="34.33203125" style="359" customWidth="1"/>
    <col min="6143" max="6143" width="12.33203125" style="359" customWidth="1"/>
    <col min="6144" max="6144" width="13.33203125" style="359" customWidth="1"/>
    <col min="6145" max="6145" width="13.77734375" style="359" customWidth="1"/>
    <col min="6146" max="6146" width="12.33203125" style="359" customWidth="1"/>
    <col min="6147" max="6147" width="13.33203125" style="359" customWidth="1"/>
    <col min="6148" max="6148" width="9.33203125" style="359" customWidth="1"/>
    <col min="6149" max="6149" width="14.21875" style="359" customWidth="1"/>
    <col min="6150" max="6150" width="12.88671875" style="359" customWidth="1"/>
    <col min="6151" max="6396" width="11.33203125" style="359"/>
    <col min="6397" max="6397" width="3.33203125" style="359" customWidth="1"/>
    <col min="6398" max="6398" width="34.33203125" style="359" customWidth="1"/>
    <col min="6399" max="6399" width="12.33203125" style="359" customWidth="1"/>
    <col min="6400" max="6400" width="13.33203125" style="359" customWidth="1"/>
    <col min="6401" max="6401" width="13.77734375" style="359" customWidth="1"/>
    <col min="6402" max="6402" width="12.33203125" style="359" customWidth="1"/>
    <col min="6403" max="6403" width="13.33203125" style="359" customWidth="1"/>
    <col min="6404" max="6404" width="9.33203125" style="359" customWidth="1"/>
    <col min="6405" max="6405" width="14.21875" style="359" customWidth="1"/>
    <col min="6406" max="6406" width="12.88671875" style="359" customWidth="1"/>
    <col min="6407" max="6652" width="11.33203125" style="359"/>
    <col min="6653" max="6653" width="3.33203125" style="359" customWidth="1"/>
    <col min="6654" max="6654" width="34.33203125" style="359" customWidth="1"/>
    <col min="6655" max="6655" width="12.33203125" style="359" customWidth="1"/>
    <col min="6656" max="6656" width="13.33203125" style="359" customWidth="1"/>
    <col min="6657" max="6657" width="13.77734375" style="359" customWidth="1"/>
    <col min="6658" max="6658" width="12.33203125" style="359" customWidth="1"/>
    <col min="6659" max="6659" width="13.33203125" style="359" customWidth="1"/>
    <col min="6660" max="6660" width="9.33203125" style="359" customWidth="1"/>
    <col min="6661" max="6661" width="14.21875" style="359" customWidth="1"/>
    <col min="6662" max="6662" width="12.88671875" style="359" customWidth="1"/>
    <col min="6663" max="6908" width="11.33203125" style="359"/>
    <col min="6909" max="6909" width="3.33203125" style="359" customWidth="1"/>
    <col min="6910" max="6910" width="34.33203125" style="359" customWidth="1"/>
    <col min="6911" max="6911" width="12.33203125" style="359" customWidth="1"/>
    <col min="6912" max="6912" width="13.33203125" style="359" customWidth="1"/>
    <col min="6913" max="6913" width="13.77734375" style="359" customWidth="1"/>
    <col min="6914" max="6914" width="12.33203125" style="359" customWidth="1"/>
    <col min="6915" max="6915" width="13.33203125" style="359" customWidth="1"/>
    <col min="6916" max="6916" width="9.33203125" style="359" customWidth="1"/>
    <col min="6917" max="6917" width="14.21875" style="359" customWidth="1"/>
    <col min="6918" max="6918" width="12.88671875" style="359" customWidth="1"/>
    <col min="6919" max="7164" width="11.33203125" style="359"/>
    <col min="7165" max="7165" width="3.33203125" style="359" customWidth="1"/>
    <col min="7166" max="7166" width="34.33203125" style="359" customWidth="1"/>
    <col min="7167" max="7167" width="12.33203125" style="359" customWidth="1"/>
    <col min="7168" max="7168" width="13.33203125" style="359" customWidth="1"/>
    <col min="7169" max="7169" width="13.77734375" style="359" customWidth="1"/>
    <col min="7170" max="7170" width="12.33203125" style="359" customWidth="1"/>
    <col min="7171" max="7171" width="13.33203125" style="359" customWidth="1"/>
    <col min="7172" max="7172" width="9.33203125" style="359" customWidth="1"/>
    <col min="7173" max="7173" width="14.21875" style="359" customWidth="1"/>
    <col min="7174" max="7174" width="12.88671875" style="359" customWidth="1"/>
    <col min="7175" max="7420" width="11.33203125" style="359"/>
    <col min="7421" max="7421" width="3.33203125" style="359" customWidth="1"/>
    <col min="7422" max="7422" width="34.33203125" style="359" customWidth="1"/>
    <col min="7423" max="7423" width="12.33203125" style="359" customWidth="1"/>
    <col min="7424" max="7424" width="13.33203125" style="359" customWidth="1"/>
    <col min="7425" max="7425" width="13.77734375" style="359" customWidth="1"/>
    <col min="7426" max="7426" width="12.33203125" style="359" customWidth="1"/>
    <col min="7427" max="7427" width="13.33203125" style="359" customWidth="1"/>
    <col min="7428" max="7428" width="9.33203125" style="359" customWidth="1"/>
    <col min="7429" max="7429" width="14.21875" style="359" customWidth="1"/>
    <col min="7430" max="7430" width="12.88671875" style="359" customWidth="1"/>
    <col min="7431" max="7676" width="11.33203125" style="359"/>
    <col min="7677" max="7677" width="3.33203125" style="359" customWidth="1"/>
    <col min="7678" max="7678" width="34.33203125" style="359" customWidth="1"/>
    <col min="7679" max="7679" width="12.33203125" style="359" customWidth="1"/>
    <col min="7680" max="7680" width="13.33203125" style="359" customWidth="1"/>
    <col min="7681" max="7681" width="13.77734375" style="359" customWidth="1"/>
    <col min="7682" max="7682" width="12.33203125" style="359" customWidth="1"/>
    <col min="7683" max="7683" width="13.33203125" style="359" customWidth="1"/>
    <col min="7684" max="7684" width="9.33203125" style="359" customWidth="1"/>
    <col min="7685" max="7685" width="14.21875" style="359" customWidth="1"/>
    <col min="7686" max="7686" width="12.88671875" style="359" customWidth="1"/>
    <col min="7687" max="7932" width="11.33203125" style="359"/>
    <col min="7933" max="7933" width="3.33203125" style="359" customWidth="1"/>
    <col min="7934" max="7934" width="34.33203125" style="359" customWidth="1"/>
    <col min="7935" max="7935" width="12.33203125" style="359" customWidth="1"/>
    <col min="7936" max="7936" width="13.33203125" style="359" customWidth="1"/>
    <col min="7937" max="7937" width="13.77734375" style="359" customWidth="1"/>
    <col min="7938" max="7938" width="12.33203125" style="359" customWidth="1"/>
    <col min="7939" max="7939" width="13.33203125" style="359" customWidth="1"/>
    <col min="7940" max="7940" width="9.33203125" style="359" customWidth="1"/>
    <col min="7941" max="7941" width="14.21875" style="359" customWidth="1"/>
    <col min="7942" max="7942" width="12.88671875" style="359" customWidth="1"/>
    <col min="7943" max="8188" width="11.33203125" style="359"/>
    <col min="8189" max="8189" width="3.33203125" style="359" customWidth="1"/>
    <col min="8190" max="8190" width="34.33203125" style="359" customWidth="1"/>
    <col min="8191" max="8191" width="12.33203125" style="359" customWidth="1"/>
    <col min="8192" max="8192" width="13.33203125" style="359" customWidth="1"/>
    <col min="8193" max="8193" width="13.77734375" style="359" customWidth="1"/>
    <col min="8194" max="8194" width="12.33203125" style="359" customWidth="1"/>
    <col min="8195" max="8195" width="13.33203125" style="359" customWidth="1"/>
    <col min="8196" max="8196" width="9.33203125" style="359" customWidth="1"/>
    <col min="8197" max="8197" width="14.21875" style="359" customWidth="1"/>
    <col min="8198" max="8198" width="12.88671875" style="359" customWidth="1"/>
    <col min="8199" max="8444" width="11.33203125" style="359"/>
    <col min="8445" max="8445" width="3.33203125" style="359" customWidth="1"/>
    <col min="8446" max="8446" width="34.33203125" style="359" customWidth="1"/>
    <col min="8447" max="8447" width="12.33203125" style="359" customWidth="1"/>
    <col min="8448" max="8448" width="13.33203125" style="359" customWidth="1"/>
    <col min="8449" max="8449" width="13.77734375" style="359" customWidth="1"/>
    <col min="8450" max="8450" width="12.33203125" style="359" customWidth="1"/>
    <col min="8451" max="8451" width="13.33203125" style="359" customWidth="1"/>
    <col min="8452" max="8452" width="9.33203125" style="359" customWidth="1"/>
    <col min="8453" max="8453" width="14.21875" style="359" customWidth="1"/>
    <col min="8454" max="8454" width="12.88671875" style="359" customWidth="1"/>
    <col min="8455" max="8700" width="11.33203125" style="359"/>
    <col min="8701" max="8701" width="3.33203125" style="359" customWidth="1"/>
    <col min="8702" max="8702" width="34.33203125" style="359" customWidth="1"/>
    <col min="8703" max="8703" width="12.33203125" style="359" customWidth="1"/>
    <col min="8704" max="8704" width="13.33203125" style="359" customWidth="1"/>
    <col min="8705" max="8705" width="13.77734375" style="359" customWidth="1"/>
    <col min="8706" max="8706" width="12.33203125" style="359" customWidth="1"/>
    <col min="8707" max="8707" width="13.33203125" style="359" customWidth="1"/>
    <col min="8708" max="8708" width="9.33203125" style="359" customWidth="1"/>
    <col min="8709" max="8709" width="14.21875" style="359" customWidth="1"/>
    <col min="8710" max="8710" width="12.88671875" style="359" customWidth="1"/>
    <col min="8711" max="8956" width="11.33203125" style="359"/>
    <col min="8957" max="8957" width="3.33203125" style="359" customWidth="1"/>
    <col min="8958" max="8958" width="34.33203125" style="359" customWidth="1"/>
    <col min="8959" max="8959" width="12.33203125" style="359" customWidth="1"/>
    <col min="8960" max="8960" width="13.33203125" style="359" customWidth="1"/>
    <col min="8961" max="8961" width="13.77734375" style="359" customWidth="1"/>
    <col min="8962" max="8962" width="12.33203125" style="359" customWidth="1"/>
    <col min="8963" max="8963" width="13.33203125" style="359" customWidth="1"/>
    <col min="8964" max="8964" width="9.33203125" style="359" customWidth="1"/>
    <col min="8965" max="8965" width="14.21875" style="359" customWidth="1"/>
    <col min="8966" max="8966" width="12.88671875" style="359" customWidth="1"/>
    <col min="8967" max="9212" width="11.33203125" style="359"/>
    <col min="9213" max="9213" width="3.33203125" style="359" customWidth="1"/>
    <col min="9214" max="9214" width="34.33203125" style="359" customWidth="1"/>
    <col min="9215" max="9215" width="12.33203125" style="359" customWidth="1"/>
    <col min="9216" max="9216" width="13.33203125" style="359" customWidth="1"/>
    <col min="9217" max="9217" width="13.77734375" style="359" customWidth="1"/>
    <col min="9218" max="9218" width="12.33203125" style="359" customWidth="1"/>
    <col min="9219" max="9219" width="13.33203125" style="359" customWidth="1"/>
    <col min="9220" max="9220" width="9.33203125" style="359" customWidth="1"/>
    <col min="9221" max="9221" width="14.21875" style="359" customWidth="1"/>
    <col min="9222" max="9222" width="12.88671875" style="359" customWidth="1"/>
    <col min="9223" max="9468" width="11.33203125" style="359"/>
    <col min="9469" max="9469" width="3.33203125" style="359" customWidth="1"/>
    <col min="9470" max="9470" width="34.33203125" style="359" customWidth="1"/>
    <col min="9471" max="9471" width="12.33203125" style="359" customWidth="1"/>
    <col min="9472" max="9472" width="13.33203125" style="359" customWidth="1"/>
    <col min="9473" max="9473" width="13.77734375" style="359" customWidth="1"/>
    <col min="9474" max="9474" width="12.33203125" style="359" customWidth="1"/>
    <col min="9475" max="9475" width="13.33203125" style="359" customWidth="1"/>
    <col min="9476" max="9476" width="9.33203125" style="359" customWidth="1"/>
    <col min="9477" max="9477" width="14.21875" style="359" customWidth="1"/>
    <col min="9478" max="9478" width="12.88671875" style="359" customWidth="1"/>
    <col min="9479" max="9724" width="11.33203125" style="359"/>
    <col min="9725" max="9725" width="3.33203125" style="359" customWidth="1"/>
    <col min="9726" max="9726" width="34.33203125" style="359" customWidth="1"/>
    <col min="9727" max="9727" width="12.33203125" style="359" customWidth="1"/>
    <col min="9728" max="9728" width="13.33203125" style="359" customWidth="1"/>
    <col min="9729" max="9729" width="13.77734375" style="359" customWidth="1"/>
    <col min="9730" max="9730" width="12.33203125" style="359" customWidth="1"/>
    <col min="9731" max="9731" width="13.33203125" style="359" customWidth="1"/>
    <col min="9732" max="9732" width="9.33203125" style="359" customWidth="1"/>
    <col min="9733" max="9733" width="14.21875" style="359" customWidth="1"/>
    <col min="9734" max="9734" width="12.88671875" style="359" customWidth="1"/>
    <col min="9735" max="9980" width="11.33203125" style="359"/>
    <col min="9981" max="9981" width="3.33203125" style="359" customWidth="1"/>
    <col min="9982" max="9982" width="34.33203125" style="359" customWidth="1"/>
    <col min="9983" max="9983" width="12.33203125" style="359" customWidth="1"/>
    <col min="9984" max="9984" width="13.33203125" style="359" customWidth="1"/>
    <col min="9985" max="9985" width="13.77734375" style="359" customWidth="1"/>
    <col min="9986" max="9986" width="12.33203125" style="359" customWidth="1"/>
    <col min="9987" max="9987" width="13.33203125" style="359" customWidth="1"/>
    <col min="9988" max="9988" width="9.33203125" style="359" customWidth="1"/>
    <col min="9989" max="9989" width="14.21875" style="359" customWidth="1"/>
    <col min="9990" max="9990" width="12.88671875" style="359" customWidth="1"/>
    <col min="9991" max="10236" width="11.33203125" style="359"/>
    <col min="10237" max="10237" width="3.33203125" style="359" customWidth="1"/>
    <col min="10238" max="10238" width="34.33203125" style="359" customWidth="1"/>
    <col min="10239" max="10239" width="12.33203125" style="359" customWidth="1"/>
    <col min="10240" max="10240" width="13.33203125" style="359" customWidth="1"/>
    <col min="10241" max="10241" width="13.77734375" style="359" customWidth="1"/>
    <col min="10242" max="10242" width="12.33203125" style="359" customWidth="1"/>
    <col min="10243" max="10243" width="13.33203125" style="359" customWidth="1"/>
    <col min="10244" max="10244" width="9.33203125" style="359" customWidth="1"/>
    <col min="10245" max="10245" width="14.21875" style="359" customWidth="1"/>
    <col min="10246" max="10246" width="12.88671875" style="359" customWidth="1"/>
    <col min="10247" max="10492" width="11.33203125" style="359"/>
    <col min="10493" max="10493" width="3.33203125" style="359" customWidth="1"/>
    <col min="10494" max="10494" width="34.33203125" style="359" customWidth="1"/>
    <col min="10495" max="10495" width="12.33203125" style="359" customWidth="1"/>
    <col min="10496" max="10496" width="13.33203125" style="359" customWidth="1"/>
    <col min="10497" max="10497" width="13.77734375" style="359" customWidth="1"/>
    <col min="10498" max="10498" width="12.33203125" style="359" customWidth="1"/>
    <col min="10499" max="10499" width="13.33203125" style="359" customWidth="1"/>
    <col min="10500" max="10500" width="9.33203125" style="359" customWidth="1"/>
    <col min="10501" max="10501" width="14.21875" style="359" customWidth="1"/>
    <col min="10502" max="10502" width="12.88671875" style="359" customWidth="1"/>
    <col min="10503" max="10748" width="11.33203125" style="359"/>
    <col min="10749" max="10749" width="3.33203125" style="359" customWidth="1"/>
    <col min="10750" max="10750" width="34.33203125" style="359" customWidth="1"/>
    <col min="10751" max="10751" width="12.33203125" style="359" customWidth="1"/>
    <col min="10752" max="10752" width="13.33203125" style="359" customWidth="1"/>
    <col min="10753" max="10753" width="13.77734375" style="359" customWidth="1"/>
    <col min="10754" max="10754" width="12.33203125" style="359" customWidth="1"/>
    <col min="10755" max="10755" width="13.33203125" style="359" customWidth="1"/>
    <col min="10756" max="10756" width="9.33203125" style="359" customWidth="1"/>
    <col min="10757" max="10757" width="14.21875" style="359" customWidth="1"/>
    <col min="10758" max="10758" width="12.88671875" style="359" customWidth="1"/>
    <col min="10759" max="11004" width="11.33203125" style="359"/>
    <col min="11005" max="11005" width="3.33203125" style="359" customWidth="1"/>
    <col min="11006" max="11006" width="34.33203125" style="359" customWidth="1"/>
    <col min="11007" max="11007" width="12.33203125" style="359" customWidth="1"/>
    <col min="11008" max="11008" width="13.33203125" style="359" customWidth="1"/>
    <col min="11009" max="11009" width="13.77734375" style="359" customWidth="1"/>
    <col min="11010" max="11010" width="12.33203125" style="359" customWidth="1"/>
    <col min="11011" max="11011" width="13.33203125" style="359" customWidth="1"/>
    <col min="11012" max="11012" width="9.33203125" style="359" customWidth="1"/>
    <col min="11013" max="11013" width="14.21875" style="359" customWidth="1"/>
    <col min="11014" max="11014" width="12.88671875" style="359" customWidth="1"/>
    <col min="11015" max="11260" width="11.33203125" style="359"/>
    <col min="11261" max="11261" width="3.33203125" style="359" customWidth="1"/>
    <col min="11262" max="11262" width="34.33203125" style="359" customWidth="1"/>
    <col min="11263" max="11263" width="12.33203125" style="359" customWidth="1"/>
    <col min="11264" max="11264" width="13.33203125" style="359" customWidth="1"/>
    <col min="11265" max="11265" width="13.77734375" style="359" customWidth="1"/>
    <col min="11266" max="11266" width="12.33203125" style="359" customWidth="1"/>
    <col min="11267" max="11267" width="13.33203125" style="359" customWidth="1"/>
    <col min="11268" max="11268" width="9.33203125" style="359" customWidth="1"/>
    <col min="11269" max="11269" width="14.21875" style="359" customWidth="1"/>
    <col min="11270" max="11270" width="12.88671875" style="359" customWidth="1"/>
    <col min="11271" max="11516" width="11.33203125" style="359"/>
    <col min="11517" max="11517" width="3.33203125" style="359" customWidth="1"/>
    <col min="11518" max="11518" width="34.33203125" style="359" customWidth="1"/>
    <col min="11519" max="11519" width="12.33203125" style="359" customWidth="1"/>
    <col min="11520" max="11520" width="13.33203125" style="359" customWidth="1"/>
    <col min="11521" max="11521" width="13.77734375" style="359" customWidth="1"/>
    <col min="11522" max="11522" width="12.33203125" style="359" customWidth="1"/>
    <col min="11523" max="11523" width="13.33203125" style="359" customWidth="1"/>
    <col min="11524" max="11524" width="9.33203125" style="359" customWidth="1"/>
    <col min="11525" max="11525" width="14.21875" style="359" customWidth="1"/>
    <col min="11526" max="11526" width="12.88671875" style="359" customWidth="1"/>
    <col min="11527" max="11772" width="11.33203125" style="359"/>
    <col min="11773" max="11773" width="3.33203125" style="359" customWidth="1"/>
    <col min="11774" max="11774" width="34.33203125" style="359" customWidth="1"/>
    <col min="11775" max="11775" width="12.33203125" style="359" customWidth="1"/>
    <col min="11776" max="11776" width="13.33203125" style="359" customWidth="1"/>
    <col min="11777" max="11777" width="13.77734375" style="359" customWidth="1"/>
    <col min="11778" max="11778" width="12.33203125" style="359" customWidth="1"/>
    <col min="11779" max="11779" width="13.33203125" style="359" customWidth="1"/>
    <col min="11780" max="11780" width="9.33203125" style="359" customWidth="1"/>
    <col min="11781" max="11781" width="14.21875" style="359" customWidth="1"/>
    <col min="11782" max="11782" width="12.88671875" style="359" customWidth="1"/>
    <col min="11783" max="12028" width="11.33203125" style="359"/>
    <col min="12029" max="12029" width="3.33203125" style="359" customWidth="1"/>
    <col min="12030" max="12030" width="34.33203125" style="359" customWidth="1"/>
    <col min="12031" max="12031" width="12.33203125" style="359" customWidth="1"/>
    <col min="12032" max="12032" width="13.33203125" style="359" customWidth="1"/>
    <col min="12033" max="12033" width="13.77734375" style="359" customWidth="1"/>
    <col min="12034" max="12034" width="12.33203125" style="359" customWidth="1"/>
    <col min="12035" max="12035" width="13.33203125" style="359" customWidth="1"/>
    <col min="12036" max="12036" width="9.33203125" style="359" customWidth="1"/>
    <col min="12037" max="12037" width="14.21875" style="359" customWidth="1"/>
    <col min="12038" max="12038" width="12.88671875" style="359" customWidth="1"/>
    <col min="12039" max="12284" width="11.33203125" style="359"/>
    <col min="12285" max="12285" width="3.33203125" style="359" customWidth="1"/>
    <col min="12286" max="12286" width="34.33203125" style="359" customWidth="1"/>
    <col min="12287" max="12287" width="12.33203125" style="359" customWidth="1"/>
    <col min="12288" max="12288" width="13.33203125" style="359" customWidth="1"/>
    <col min="12289" max="12289" width="13.77734375" style="359" customWidth="1"/>
    <col min="12290" max="12290" width="12.33203125" style="359" customWidth="1"/>
    <col min="12291" max="12291" width="13.33203125" style="359" customWidth="1"/>
    <col min="12292" max="12292" width="9.33203125" style="359" customWidth="1"/>
    <col min="12293" max="12293" width="14.21875" style="359" customWidth="1"/>
    <col min="12294" max="12294" width="12.88671875" style="359" customWidth="1"/>
    <col min="12295" max="12540" width="11.33203125" style="359"/>
    <col min="12541" max="12541" width="3.33203125" style="359" customWidth="1"/>
    <col min="12542" max="12542" width="34.33203125" style="359" customWidth="1"/>
    <col min="12543" max="12543" width="12.33203125" style="359" customWidth="1"/>
    <col min="12544" max="12544" width="13.33203125" style="359" customWidth="1"/>
    <col min="12545" max="12545" width="13.77734375" style="359" customWidth="1"/>
    <col min="12546" max="12546" width="12.33203125" style="359" customWidth="1"/>
    <col min="12547" max="12547" width="13.33203125" style="359" customWidth="1"/>
    <col min="12548" max="12548" width="9.33203125" style="359" customWidth="1"/>
    <col min="12549" max="12549" width="14.21875" style="359" customWidth="1"/>
    <col min="12550" max="12550" width="12.88671875" style="359" customWidth="1"/>
    <col min="12551" max="12796" width="11.33203125" style="359"/>
    <col min="12797" max="12797" width="3.33203125" style="359" customWidth="1"/>
    <col min="12798" max="12798" width="34.33203125" style="359" customWidth="1"/>
    <col min="12799" max="12799" width="12.33203125" style="359" customWidth="1"/>
    <col min="12800" max="12800" width="13.33203125" style="359" customWidth="1"/>
    <col min="12801" max="12801" width="13.77734375" style="359" customWidth="1"/>
    <col min="12802" max="12802" width="12.33203125" style="359" customWidth="1"/>
    <col min="12803" max="12803" width="13.33203125" style="359" customWidth="1"/>
    <col min="12804" max="12804" width="9.33203125" style="359" customWidth="1"/>
    <col min="12805" max="12805" width="14.21875" style="359" customWidth="1"/>
    <col min="12806" max="12806" width="12.88671875" style="359" customWidth="1"/>
    <col min="12807" max="13052" width="11.33203125" style="359"/>
    <col min="13053" max="13053" width="3.33203125" style="359" customWidth="1"/>
    <col min="13054" max="13054" width="34.33203125" style="359" customWidth="1"/>
    <col min="13055" max="13055" width="12.33203125" style="359" customWidth="1"/>
    <col min="13056" max="13056" width="13.33203125" style="359" customWidth="1"/>
    <col min="13057" max="13057" width="13.77734375" style="359" customWidth="1"/>
    <col min="13058" max="13058" width="12.33203125" style="359" customWidth="1"/>
    <col min="13059" max="13059" width="13.33203125" style="359" customWidth="1"/>
    <col min="13060" max="13060" width="9.33203125" style="359" customWidth="1"/>
    <col min="13061" max="13061" width="14.21875" style="359" customWidth="1"/>
    <col min="13062" max="13062" width="12.88671875" style="359" customWidth="1"/>
    <col min="13063" max="13308" width="11.33203125" style="359"/>
    <col min="13309" max="13309" width="3.33203125" style="359" customWidth="1"/>
    <col min="13310" max="13310" width="34.33203125" style="359" customWidth="1"/>
    <col min="13311" max="13311" width="12.33203125" style="359" customWidth="1"/>
    <col min="13312" max="13312" width="13.33203125" style="359" customWidth="1"/>
    <col min="13313" max="13313" width="13.77734375" style="359" customWidth="1"/>
    <col min="13314" max="13314" width="12.33203125" style="359" customWidth="1"/>
    <col min="13315" max="13315" width="13.33203125" style="359" customWidth="1"/>
    <col min="13316" max="13316" width="9.33203125" style="359" customWidth="1"/>
    <col min="13317" max="13317" width="14.21875" style="359" customWidth="1"/>
    <col min="13318" max="13318" width="12.88671875" style="359" customWidth="1"/>
    <col min="13319" max="13564" width="11.33203125" style="359"/>
    <col min="13565" max="13565" width="3.33203125" style="359" customWidth="1"/>
    <col min="13566" max="13566" width="34.33203125" style="359" customWidth="1"/>
    <col min="13567" max="13567" width="12.33203125" style="359" customWidth="1"/>
    <col min="13568" max="13568" width="13.33203125" style="359" customWidth="1"/>
    <col min="13569" max="13569" width="13.77734375" style="359" customWidth="1"/>
    <col min="13570" max="13570" width="12.33203125" style="359" customWidth="1"/>
    <col min="13571" max="13571" width="13.33203125" style="359" customWidth="1"/>
    <col min="13572" max="13572" width="9.33203125" style="359" customWidth="1"/>
    <col min="13573" max="13573" width="14.21875" style="359" customWidth="1"/>
    <col min="13574" max="13574" width="12.88671875" style="359" customWidth="1"/>
    <col min="13575" max="13820" width="11.33203125" style="359"/>
    <col min="13821" max="13821" width="3.33203125" style="359" customWidth="1"/>
    <col min="13822" max="13822" width="34.33203125" style="359" customWidth="1"/>
    <col min="13823" max="13823" width="12.33203125" style="359" customWidth="1"/>
    <col min="13824" max="13824" width="13.33203125" style="359" customWidth="1"/>
    <col min="13825" max="13825" width="13.77734375" style="359" customWidth="1"/>
    <col min="13826" max="13826" width="12.33203125" style="359" customWidth="1"/>
    <col min="13827" max="13827" width="13.33203125" style="359" customWidth="1"/>
    <col min="13828" max="13828" width="9.33203125" style="359" customWidth="1"/>
    <col min="13829" max="13829" width="14.21875" style="359" customWidth="1"/>
    <col min="13830" max="13830" width="12.88671875" style="359" customWidth="1"/>
    <col min="13831" max="14076" width="11.33203125" style="359"/>
    <col min="14077" max="14077" width="3.33203125" style="359" customWidth="1"/>
    <col min="14078" max="14078" width="34.33203125" style="359" customWidth="1"/>
    <col min="14079" max="14079" width="12.33203125" style="359" customWidth="1"/>
    <col min="14080" max="14080" width="13.33203125" style="359" customWidth="1"/>
    <col min="14081" max="14081" width="13.77734375" style="359" customWidth="1"/>
    <col min="14082" max="14082" width="12.33203125" style="359" customWidth="1"/>
    <col min="14083" max="14083" width="13.33203125" style="359" customWidth="1"/>
    <col min="14084" max="14084" width="9.33203125" style="359" customWidth="1"/>
    <col min="14085" max="14085" width="14.21875" style="359" customWidth="1"/>
    <col min="14086" max="14086" width="12.88671875" style="359" customWidth="1"/>
    <col min="14087" max="14332" width="11.33203125" style="359"/>
    <col min="14333" max="14333" width="3.33203125" style="359" customWidth="1"/>
    <col min="14334" max="14334" width="34.33203125" style="359" customWidth="1"/>
    <col min="14335" max="14335" width="12.33203125" style="359" customWidth="1"/>
    <col min="14336" max="14336" width="13.33203125" style="359" customWidth="1"/>
    <col min="14337" max="14337" width="13.77734375" style="359" customWidth="1"/>
    <col min="14338" max="14338" width="12.33203125" style="359" customWidth="1"/>
    <col min="14339" max="14339" width="13.33203125" style="359" customWidth="1"/>
    <col min="14340" max="14340" width="9.33203125" style="359" customWidth="1"/>
    <col min="14341" max="14341" width="14.21875" style="359" customWidth="1"/>
    <col min="14342" max="14342" width="12.88671875" style="359" customWidth="1"/>
    <col min="14343" max="14588" width="11.33203125" style="359"/>
    <col min="14589" max="14589" width="3.33203125" style="359" customWidth="1"/>
    <col min="14590" max="14590" width="34.33203125" style="359" customWidth="1"/>
    <col min="14591" max="14591" width="12.33203125" style="359" customWidth="1"/>
    <col min="14592" max="14592" width="13.33203125" style="359" customWidth="1"/>
    <col min="14593" max="14593" width="13.77734375" style="359" customWidth="1"/>
    <col min="14594" max="14594" width="12.33203125" style="359" customWidth="1"/>
    <col min="14595" max="14595" width="13.33203125" style="359" customWidth="1"/>
    <col min="14596" max="14596" width="9.33203125" style="359" customWidth="1"/>
    <col min="14597" max="14597" width="14.21875" style="359" customWidth="1"/>
    <col min="14598" max="14598" width="12.88671875" style="359" customWidth="1"/>
    <col min="14599" max="14844" width="11.33203125" style="359"/>
    <col min="14845" max="14845" width="3.33203125" style="359" customWidth="1"/>
    <col min="14846" max="14846" width="34.33203125" style="359" customWidth="1"/>
    <col min="14847" max="14847" width="12.33203125" style="359" customWidth="1"/>
    <col min="14848" max="14848" width="13.33203125" style="359" customWidth="1"/>
    <col min="14849" max="14849" width="13.77734375" style="359" customWidth="1"/>
    <col min="14850" max="14850" width="12.33203125" style="359" customWidth="1"/>
    <col min="14851" max="14851" width="13.33203125" style="359" customWidth="1"/>
    <col min="14852" max="14852" width="9.33203125" style="359" customWidth="1"/>
    <col min="14853" max="14853" width="14.21875" style="359" customWidth="1"/>
    <col min="14854" max="14854" width="12.88671875" style="359" customWidth="1"/>
    <col min="14855" max="15100" width="11.33203125" style="359"/>
    <col min="15101" max="15101" width="3.33203125" style="359" customWidth="1"/>
    <col min="15102" max="15102" width="34.33203125" style="359" customWidth="1"/>
    <col min="15103" max="15103" width="12.33203125" style="359" customWidth="1"/>
    <col min="15104" max="15104" width="13.33203125" style="359" customWidth="1"/>
    <col min="15105" max="15105" width="13.77734375" style="359" customWidth="1"/>
    <col min="15106" max="15106" width="12.33203125" style="359" customWidth="1"/>
    <col min="15107" max="15107" width="13.33203125" style="359" customWidth="1"/>
    <col min="15108" max="15108" width="9.33203125" style="359" customWidth="1"/>
    <col min="15109" max="15109" width="14.21875" style="359" customWidth="1"/>
    <col min="15110" max="15110" width="12.88671875" style="359" customWidth="1"/>
    <col min="15111" max="15356" width="11.33203125" style="359"/>
    <col min="15357" max="15357" width="3.33203125" style="359" customWidth="1"/>
    <col min="15358" max="15358" width="34.33203125" style="359" customWidth="1"/>
    <col min="15359" max="15359" width="12.33203125" style="359" customWidth="1"/>
    <col min="15360" max="15360" width="13.33203125" style="359" customWidth="1"/>
    <col min="15361" max="15361" width="13.77734375" style="359" customWidth="1"/>
    <col min="15362" max="15362" width="12.33203125" style="359" customWidth="1"/>
    <col min="15363" max="15363" width="13.33203125" style="359" customWidth="1"/>
    <col min="15364" max="15364" width="9.33203125" style="359" customWidth="1"/>
    <col min="15365" max="15365" width="14.21875" style="359" customWidth="1"/>
    <col min="15366" max="15366" width="12.88671875" style="359" customWidth="1"/>
    <col min="15367" max="15612" width="11.33203125" style="359"/>
    <col min="15613" max="15613" width="3.33203125" style="359" customWidth="1"/>
    <col min="15614" max="15614" width="34.33203125" style="359" customWidth="1"/>
    <col min="15615" max="15615" width="12.33203125" style="359" customWidth="1"/>
    <col min="15616" max="15616" width="13.33203125" style="359" customWidth="1"/>
    <col min="15617" max="15617" width="13.77734375" style="359" customWidth="1"/>
    <col min="15618" max="15618" width="12.33203125" style="359" customWidth="1"/>
    <col min="15619" max="15619" width="13.33203125" style="359" customWidth="1"/>
    <col min="15620" max="15620" width="9.33203125" style="359" customWidth="1"/>
    <col min="15621" max="15621" width="14.21875" style="359" customWidth="1"/>
    <col min="15622" max="15622" width="12.88671875" style="359" customWidth="1"/>
    <col min="15623" max="15868" width="11.33203125" style="359"/>
    <col min="15869" max="15869" width="3.33203125" style="359" customWidth="1"/>
    <col min="15870" max="15870" width="34.33203125" style="359" customWidth="1"/>
    <col min="15871" max="15871" width="12.33203125" style="359" customWidth="1"/>
    <col min="15872" max="15872" width="13.33203125" style="359" customWidth="1"/>
    <col min="15873" max="15873" width="13.77734375" style="359" customWidth="1"/>
    <col min="15874" max="15874" width="12.33203125" style="359" customWidth="1"/>
    <col min="15875" max="15875" width="13.33203125" style="359" customWidth="1"/>
    <col min="15876" max="15876" width="9.33203125" style="359" customWidth="1"/>
    <col min="15877" max="15877" width="14.21875" style="359" customWidth="1"/>
    <col min="15878" max="15878" width="12.88671875" style="359" customWidth="1"/>
    <col min="15879" max="16124" width="11.33203125" style="359"/>
    <col min="16125" max="16125" width="3.33203125" style="359" customWidth="1"/>
    <col min="16126" max="16126" width="34.33203125" style="359" customWidth="1"/>
    <col min="16127" max="16127" width="12.33203125" style="359" customWidth="1"/>
    <col min="16128" max="16128" width="13.33203125" style="359" customWidth="1"/>
    <col min="16129" max="16129" width="13.77734375" style="359" customWidth="1"/>
    <col min="16130" max="16130" width="12.33203125" style="359" customWidth="1"/>
    <col min="16131" max="16131" width="13.33203125" style="359" customWidth="1"/>
    <col min="16132" max="16132" width="9.33203125" style="359" customWidth="1"/>
    <col min="16133" max="16133" width="14.21875" style="359" customWidth="1"/>
    <col min="16134" max="16134" width="12.88671875" style="359" customWidth="1"/>
    <col min="16135" max="16384" width="11.33203125" style="359"/>
  </cols>
  <sheetData>
    <row r="1" spans="1:6" ht="21.75" customHeight="1">
      <c r="A1" s="531" t="s">
        <v>92</v>
      </c>
      <c r="B1" s="531"/>
      <c r="C1" s="531"/>
      <c r="D1" s="531"/>
    </row>
    <row r="2" spans="1:6" ht="21.75" customHeight="1">
      <c r="A2" s="532" t="s">
        <v>93</v>
      </c>
      <c r="B2" s="532"/>
      <c r="C2" s="532"/>
      <c r="D2" s="532"/>
    </row>
    <row r="3" spans="1:6" ht="39" customHeight="1">
      <c r="A3" s="533" t="str">
        <f>'02-Thu theo lĩnh vực'!A3:D3</f>
        <v>(Kèm theo Nghị quyết số         /NQ-HĐND ngày     tháng 9 năm 2025 của HĐND xã Quang Sơn)</v>
      </c>
      <c r="B3" s="533"/>
      <c r="C3" s="533"/>
      <c r="D3" s="533"/>
    </row>
    <row r="4" spans="1:6" ht="28.5" customHeight="1">
      <c r="B4" s="360"/>
      <c r="C4" s="534" t="s">
        <v>55</v>
      </c>
      <c r="D4" s="534"/>
    </row>
    <row r="5" spans="1:6" s="347" customFormat="1" ht="35.25" customHeight="1">
      <c r="A5" s="361" t="s">
        <v>3</v>
      </c>
      <c r="B5" s="361" t="s">
        <v>94</v>
      </c>
      <c r="C5" s="362" t="s">
        <v>95</v>
      </c>
      <c r="D5" s="362" t="s">
        <v>6</v>
      </c>
      <c r="E5" s="359"/>
    </row>
    <row r="6" spans="1:6" s="348" customFormat="1" ht="16.5" customHeight="1">
      <c r="A6" s="363">
        <v>1</v>
      </c>
      <c r="B6" s="364">
        <v>2</v>
      </c>
      <c r="C6" s="363">
        <v>3</v>
      </c>
      <c r="D6" s="364">
        <v>4</v>
      </c>
      <c r="E6" s="365"/>
    </row>
    <row r="7" spans="1:6" s="349" customFormat="1" ht="22.5" customHeight="1">
      <c r="A7" s="366"/>
      <c r="B7" s="367" t="s">
        <v>23</v>
      </c>
      <c r="C7" s="368">
        <f>+C8+C39+C40+C41+C42</f>
        <v>124134.06</v>
      </c>
      <c r="D7" s="368"/>
      <c r="E7" s="369"/>
      <c r="F7" s="370"/>
    </row>
    <row r="8" spans="1:6" s="350" customFormat="1" ht="22.5" customHeight="1">
      <c r="A8" s="371" t="s">
        <v>96</v>
      </c>
      <c r="B8" s="372" t="s">
        <v>97</v>
      </c>
      <c r="C8" s="373">
        <f>+C9+C21+C37+C36+C35+C38</f>
        <v>93325</v>
      </c>
      <c r="D8" s="373"/>
      <c r="E8" s="359">
        <v>70908</v>
      </c>
      <c r="F8" s="374"/>
    </row>
    <row r="9" spans="1:6" s="351" customFormat="1" ht="22.5" customHeight="1">
      <c r="A9" s="371" t="s">
        <v>9</v>
      </c>
      <c r="B9" s="375" t="s">
        <v>98</v>
      </c>
      <c r="C9" s="376">
        <f>+SUM(C10:C14)</f>
        <v>2683</v>
      </c>
      <c r="D9" s="376"/>
      <c r="E9" s="369">
        <f>+E8-C8</f>
        <v>-22417</v>
      </c>
    </row>
    <row r="10" spans="1:6" s="352" customFormat="1" ht="22.5" customHeight="1">
      <c r="A10" s="366">
        <v>1</v>
      </c>
      <c r="B10" s="377" t="s">
        <v>99</v>
      </c>
      <c r="C10" s="378"/>
      <c r="D10" s="379"/>
      <c r="E10" s="359"/>
    </row>
    <row r="11" spans="1:6" s="353" customFormat="1" ht="22.5" customHeight="1">
      <c r="A11" s="366">
        <v>2</v>
      </c>
      <c r="B11" s="377" t="s">
        <v>100</v>
      </c>
      <c r="C11" s="378">
        <v>2683</v>
      </c>
      <c r="D11" s="464" t="s">
        <v>101</v>
      </c>
      <c r="E11" s="359"/>
      <c r="F11" s="380"/>
    </row>
    <row r="12" spans="1:6" s="352" customFormat="1" ht="22.5" customHeight="1">
      <c r="A12" s="366">
        <v>3</v>
      </c>
      <c r="B12" s="377" t="s">
        <v>102</v>
      </c>
      <c r="C12" s="378"/>
      <c r="D12" s="379"/>
      <c r="E12" s="359"/>
    </row>
    <row r="13" spans="1:6" s="352" customFormat="1" ht="22.5" customHeight="1">
      <c r="A13" s="366">
        <v>4</v>
      </c>
      <c r="B13" s="377" t="s">
        <v>103</v>
      </c>
      <c r="C13" s="378"/>
      <c r="D13" s="379"/>
      <c r="E13" s="359"/>
    </row>
    <row r="14" spans="1:6" s="352" customFormat="1" ht="22.5" customHeight="1">
      <c r="A14" s="366">
        <v>5</v>
      </c>
      <c r="B14" s="377" t="s">
        <v>104</v>
      </c>
      <c r="C14" s="378"/>
      <c r="D14" s="378"/>
      <c r="E14" s="359"/>
    </row>
    <row r="15" spans="1:6" s="352" customFormat="1" ht="22.5" hidden="1" customHeight="1">
      <c r="A15" s="366"/>
      <c r="B15" s="381" t="s">
        <v>105</v>
      </c>
      <c r="C15" s="378">
        <v>74676</v>
      </c>
      <c r="D15" s="379"/>
      <c r="E15" s="359"/>
    </row>
    <row r="16" spans="1:6" s="352" customFormat="1" ht="22.5" hidden="1" customHeight="1">
      <c r="A16" s="366"/>
      <c r="B16" s="381" t="s">
        <v>106</v>
      </c>
      <c r="C16" s="378">
        <v>96000</v>
      </c>
      <c r="D16" s="379"/>
      <c r="E16" s="359"/>
    </row>
    <row r="17" spans="1:6" s="352" customFormat="1" ht="22.5" hidden="1" customHeight="1">
      <c r="A17" s="366"/>
      <c r="B17" s="381" t="s">
        <v>107</v>
      </c>
      <c r="C17" s="378">
        <v>60000</v>
      </c>
      <c r="D17" s="379"/>
      <c r="E17" s="359"/>
    </row>
    <row r="18" spans="1:6" s="352" customFormat="1" ht="22.5" hidden="1" customHeight="1">
      <c r="A18" s="366"/>
      <c r="B18" s="381" t="s">
        <v>108</v>
      </c>
      <c r="C18" s="378">
        <v>30000</v>
      </c>
      <c r="D18" s="379"/>
      <c r="E18" s="359"/>
    </row>
    <row r="19" spans="1:6" s="352" customFormat="1" ht="22.5" hidden="1" customHeight="1">
      <c r="A19" s="366"/>
      <c r="B19" s="381" t="s">
        <v>109</v>
      </c>
      <c r="C19" s="378">
        <v>20000</v>
      </c>
      <c r="D19" s="379"/>
      <c r="E19" s="359"/>
    </row>
    <row r="20" spans="1:6" s="352" customFormat="1" ht="22.5" hidden="1" customHeight="1">
      <c r="A20" s="366"/>
      <c r="B20" s="381" t="s">
        <v>110</v>
      </c>
      <c r="C20" s="378">
        <v>125000</v>
      </c>
      <c r="D20" s="379"/>
      <c r="E20" s="359"/>
    </row>
    <row r="21" spans="1:6" s="352" customFormat="1" ht="22.5" customHeight="1">
      <c r="A21" s="371" t="s">
        <v>14</v>
      </c>
      <c r="B21" s="382" t="s">
        <v>28</v>
      </c>
      <c r="C21" s="383">
        <f>+SUM(C23:C34)</f>
        <v>88821</v>
      </c>
      <c r="D21" s="384"/>
      <c r="E21" s="369"/>
    </row>
    <row r="22" spans="1:6" s="353" customFormat="1" ht="22.5" customHeight="1">
      <c r="A22" s="363"/>
      <c r="B22" s="385" t="s">
        <v>111</v>
      </c>
      <c r="C22" s="386"/>
      <c r="D22" s="387"/>
      <c r="E22" s="388"/>
    </row>
    <row r="23" spans="1:6" s="352" customFormat="1" ht="16.8">
      <c r="A23" s="366">
        <v>1</v>
      </c>
      <c r="B23" s="109" t="s">
        <v>112</v>
      </c>
      <c r="C23" s="389">
        <f>+'04-chi cac don vi'!F10</f>
        <v>57971</v>
      </c>
      <c r="D23" s="379"/>
      <c r="E23" s="359"/>
    </row>
    <row r="24" spans="1:6" s="350" customFormat="1" ht="15.6">
      <c r="A24" s="366">
        <v>2</v>
      </c>
      <c r="B24" s="109" t="s">
        <v>113</v>
      </c>
      <c r="C24" s="389">
        <f>+'04-chi cac don vi'!G10</f>
        <v>508</v>
      </c>
      <c r="D24" s="379"/>
      <c r="E24" s="359"/>
    </row>
    <row r="25" spans="1:6" s="354" customFormat="1" ht="16.8">
      <c r="A25" s="366">
        <v>3</v>
      </c>
      <c r="B25" s="109" t="s">
        <v>114</v>
      </c>
      <c r="C25" s="389">
        <f>+'04-chi cac don vi'!H10</f>
        <v>30</v>
      </c>
      <c r="D25" s="379"/>
      <c r="E25" s="359"/>
    </row>
    <row r="26" spans="1:6" s="354" customFormat="1" ht="16.8">
      <c r="A26" s="366">
        <v>4</v>
      </c>
      <c r="B26" s="109" t="s">
        <v>115</v>
      </c>
      <c r="C26" s="389">
        <f>+'04-chi cac don vi'!I10</f>
        <v>248</v>
      </c>
      <c r="D26" s="379"/>
      <c r="E26" s="359"/>
    </row>
    <row r="27" spans="1:6" s="354" customFormat="1" ht="16.8">
      <c r="A27" s="366">
        <v>5</v>
      </c>
      <c r="B27" s="109" t="s">
        <v>116</v>
      </c>
      <c r="C27" s="389">
        <f>+'04-chi cac don vi'!J10</f>
        <v>163</v>
      </c>
      <c r="D27" s="379"/>
      <c r="E27" s="359"/>
    </row>
    <row r="28" spans="1:6" s="354" customFormat="1" ht="16.8">
      <c r="A28" s="366">
        <v>6</v>
      </c>
      <c r="B28" s="109" t="s">
        <v>117</v>
      </c>
      <c r="C28" s="389">
        <f>+'04-chi cac don vi'!K10</f>
        <v>136</v>
      </c>
      <c r="D28" s="379"/>
      <c r="E28" s="359"/>
      <c r="F28" s="390"/>
    </row>
    <row r="29" spans="1:6" s="354" customFormat="1" ht="16.8">
      <c r="A29" s="366">
        <v>7</v>
      </c>
      <c r="B29" s="109" t="s">
        <v>118</v>
      </c>
      <c r="C29" s="389">
        <f>+'04-chi cac don vi'!L10</f>
        <v>2683</v>
      </c>
      <c r="D29" s="379"/>
      <c r="E29" s="359"/>
    </row>
    <row r="30" spans="1:6" s="354" customFormat="1" ht="16.8">
      <c r="A30" s="366">
        <v>8</v>
      </c>
      <c r="B30" s="109" t="s">
        <v>119</v>
      </c>
      <c r="C30" s="389">
        <f>+'04-chi cac don vi'!M10</f>
        <v>4739</v>
      </c>
      <c r="D30" s="379"/>
      <c r="E30" s="359"/>
    </row>
    <row r="31" spans="1:6" s="354" customFormat="1" ht="16.8">
      <c r="A31" s="366">
        <v>9</v>
      </c>
      <c r="B31" s="109" t="s">
        <v>120</v>
      </c>
      <c r="C31" s="389">
        <f>+'04-chi cac don vi'!N10</f>
        <v>19012</v>
      </c>
      <c r="D31" s="379"/>
      <c r="E31" s="359"/>
    </row>
    <row r="32" spans="1:6" s="354" customFormat="1" ht="16.8">
      <c r="A32" s="366">
        <v>10</v>
      </c>
      <c r="B32" s="109" t="s">
        <v>121</v>
      </c>
      <c r="C32" s="389">
        <f>+'04-chi cac don vi'!O10</f>
        <v>980</v>
      </c>
      <c r="D32" s="379"/>
      <c r="E32" s="359"/>
    </row>
    <row r="33" spans="1:5" s="354" customFormat="1" ht="16.8">
      <c r="A33" s="366">
        <v>11</v>
      </c>
      <c r="B33" s="109" t="s">
        <v>122</v>
      </c>
      <c r="C33" s="389">
        <f>+'04-chi cac don vi'!P10</f>
        <v>789</v>
      </c>
      <c r="D33" s="379"/>
      <c r="E33" s="359"/>
    </row>
    <row r="34" spans="1:5" s="354" customFormat="1" ht="16.8">
      <c r="A34" s="366">
        <v>12</v>
      </c>
      <c r="B34" s="109" t="s">
        <v>123</v>
      </c>
      <c r="C34" s="389">
        <f>+'04-chi cac don vi'!Q10</f>
        <v>1562</v>
      </c>
      <c r="D34" s="379"/>
      <c r="E34" s="359"/>
    </row>
    <row r="35" spans="1:5" s="355" customFormat="1" ht="31.2">
      <c r="A35" s="371" t="s">
        <v>18</v>
      </c>
      <c r="B35" s="391" t="s">
        <v>124</v>
      </c>
      <c r="C35" s="376"/>
      <c r="D35" s="384"/>
      <c r="E35" s="392"/>
    </row>
    <row r="36" spans="1:5" s="355" customFormat="1" ht="22.5" customHeight="1">
      <c r="A36" s="371" t="s">
        <v>125</v>
      </c>
      <c r="B36" s="391" t="s">
        <v>32</v>
      </c>
      <c r="C36" s="376"/>
      <c r="D36" s="384"/>
      <c r="E36" s="392"/>
    </row>
    <row r="37" spans="1:5" s="355" customFormat="1" ht="22.5" customHeight="1">
      <c r="A37" s="371" t="s">
        <v>126</v>
      </c>
      <c r="B37" s="391" t="s">
        <v>34</v>
      </c>
      <c r="C37" s="376">
        <v>1821</v>
      </c>
      <c r="D37" s="384"/>
      <c r="E37" s="392"/>
    </row>
    <row r="38" spans="1:5" s="355" customFormat="1" ht="22.5" customHeight="1">
      <c r="A38" s="371" t="s">
        <v>127</v>
      </c>
      <c r="B38" s="382" t="s">
        <v>128</v>
      </c>
      <c r="C38" s="376"/>
      <c r="D38" s="384"/>
      <c r="E38" s="393"/>
    </row>
    <row r="39" spans="1:5" s="355" customFormat="1" ht="16.8">
      <c r="A39" s="371" t="s">
        <v>22</v>
      </c>
      <c r="B39" s="391" t="s">
        <v>129</v>
      </c>
      <c r="C39" s="376">
        <v>17538.060000000001</v>
      </c>
      <c r="D39" s="464" t="s">
        <v>319</v>
      </c>
      <c r="E39" s="392"/>
    </row>
    <row r="40" spans="1:5" s="354" customFormat="1" ht="16.8">
      <c r="A40" s="371" t="s">
        <v>43</v>
      </c>
      <c r="B40" s="394" t="s">
        <v>856</v>
      </c>
      <c r="C40" s="376">
        <v>5281</v>
      </c>
      <c r="D40" s="464" t="s">
        <v>858</v>
      </c>
      <c r="E40" s="359"/>
    </row>
    <row r="41" spans="1:5" s="355" customFormat="1" ht="16.8">
      <c r="A41" s="371" t="s">
        <v>45</v>
      </c>
      <c r="B41" s="375" t="s">
        <v>857</v>
      </c>
      <c r="C41" s="376">
        <v>4868</v>
      </c>
      <c r="D41" s="464" t="s">
        <v>859</v>
      </c>
      <c r="E41" s="392"/>
    </row>
    <row r="42" spans="1:5" ht="15.6">
      <c r="A42" s="462" t="s">
        <v>49</v>
      </c>
      <c r="B42" s="463" t="s">
        <v>134</v>
      </c>
      <c r="C42" s="376">
        <v>3122</v>
      </c>
      <c r="D42" s="465" t="s">
        <v>860</v>
      </c>
    </row>
    <row r="43" spans="1:5" ht="14.4"/>
  </sheetData>
  <mergeCells count="4">
    <mergeCell ref="A1:D1"/>
    <mergeCell ref="A2:D2"/>
    <mergeCell ref="A3:D3"/>
    <mergeCell ref="C4:D4"/>
  </mergeCells>
  <pageMargins left="0.45" right="0.2" top="0.35" bottom="0.75" header="0.4" footer="0.3"/>
  <pageSetup paperSize="9" orientation="portrait" horizont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26"/>
  <sheetViews>
    <sheetView topLeftCell="A103" zoomScale="90" zoomScaleNormal="90" workbookViewId="0">
      <selection activeCell="A3" sqref="A3:Q3"/>
    </sheetView>
  </sheetViews>
  <sheetFormatPr defaultColWidth="7.109375" defaultRowHeight="13.8"/>
  <cols>
    <col min="1" max="1" width="4.33203125" style="261" customWidth="1"/>
    <col min="2" max="2" width="43.6640625" style="262" customWidth="1"/>
    <col min="3" max="3" width="10.33203125" style="262" hidden="1" customWidth="1"/>
    <col min="4" max="4" width="9.21875" style="263" hidden="1" customWidth="1"/>
    <col min="5" max="5" width="9.109375" style="264" customWidth="1"/>
    <col min="6" max="6" width="9.44140625" style="262" customWidth="1"/>
    <col min="7" max="7" width="6.109375" style="262" customWidth="1"/>
    <col min="8" max="8" width="8.77734375" style="262" customWidth="1"/>
    <col min="9" max="9" width="8.109375" style="262" customWidth="1"/>
    <col min="10" max="10" width="8.77734375" style="262" customWidth="1"/>
    <col min="11" max="11" width="9.6640625" style="262" customWidth="1"/>
    <col min="12" max="12" width="7.77734375" style="262" customWidth="1"/>
    <col min="13" max="13" width="8.6640625" style="262" customWidth="1"/>
    <col min="14" max="14" width="9.109375" style="262" customWidth="1"/>
    <col min="15" max="15" width="7" style="262" customWidth="1"/>
    <col min="16" max="16" width="6.88671875" style="262" customWidth="1"/>
    <col min="17" max="17" width="8.33203125" style="262" customWidth="1"/>
    <col min="18" max="18" width="6" style="262" customWidth="1"/>
    <col min="19" max="19" width="8.33203125" style="262" customWidth="1"/>
    <col min="20" max="20" width="9.88671875" style="262" customWidth="1"/>
    <col min="21" max="16384" width="7.109375" style="262"/>
  </cols>
  <sheetData>
    <row r="1" spans="1:22">
      <c r="P1" s="535" t="s">
        <v>135</v>
      </c>
      <c r="Q1" s="535"/>
    </row>
    <row r="2" spans="1:22" s="251" customFormat="1" ht="22.5" customHeight="1">
      <c r="A2" s="536" t="s">
        <v>136</v>
      </c>
      <c r="B2" s="536"/>
      <c r="C2" s="536"/>
      <c r="D2" s="536"/>
      <c r="E2" s="536"/>
      <c r="F2" s="536"/>
      <c r="G2" s="536"/>
      <c r="H2" s="536"/>
      <c r="I2" s="536"/>
      <c r="J2" s="536"/>
      <c r="K2" s="536"/>
      <c r="L2" s="536"/>
      <c r="M2" s="536"/>
      <c r="N2" s="536"/>
      <c r="O2" s="536"/>
      <c r="P2" s="536"/>
      <c r="Q2" s="536"/>
      <c r="R2" s="313"/>
    </row>
    <row r="3" spans="1:22" ht="21.75" customHeight="1">
      <c r="A3" s="537" t="str">
        <f>+'01-Cân đôi'!A3:D3</f>
        <v>(Kèm theo Nghị quyết số         /NQ-HĐND ngày     tháng 9 năm 2025 của HĐND xã Quang Sơn)</v>
      </c>
      <c r="B3" s="537"/>
      <c r="C3" s="537"/>
      <c r="D3" s="537"/>
      <c r="E3" s="537"/>
      <c r="F3" s="537"/>
      <c r="G3" s="537"/>
      <c r="H3" s="537"/>
      <c r="I3" s="537"/>
      <c r="J3" s="537"/>
      <c r="K3" s="537"/>
      <c r="L3" s="537"/>
      <c r="M3" s="537"/>
      <c r="N3" s="537"/>
      <c r="O3" s="537"/>
      <c r="P3" s="537"/>
      <c r="Q3" s="537"/>
      <c r="R3" s="256"/>
    </row>
    <row r="4" spans="1:22" ht="21.75" hidden="1" customHeight="1">
      <c r="A4" s="265"/>
      <c r="B4" s="265"/>
      <c r="C4" s="265"/>
      <c r="D4" s="265"/>
      <c r="E4" s="265">
        <f>+SUM(F4:Q4)</f>
        <v>88764</v>
      </c>
      <c r="F4" s="265">
        <v>57972</v>
      </c>
      <c r="G4" s="265">
        <v>508</v>
      </c>
      <c r="H4" s="265"/>
      <c r="I4" s="265">
        <v>411</v>
      </c>
      <c r="J4" s="265"/>
      <c r="K4" s="265">
        <v>136</v>
      </c>
      <c r="L4" s="265">
        <v>2683</v>
      </c>
      <c r="M4" s="265">
        <f>4522+217</f>
        <v>4739</v>
      </c>
      <c r="N4" s="265">
        <f>18049+48+607+80+200</f>
        <v>18984</v>
      </c>
      <c r="O4" s="265">
        <v>980</v>
      </c>
      <c r="P4" s="265">
        <v>790</v>
      </c>
      <c r="Q4" s="265">
        <f>1120+441</f>
        <v>1561</v>
      </c>
      <c r="R4" s="256"/>
    </row>
    <row r="5" spans="1:22" ht="21.75" hidden="1" customHeight="1">
      <c r="A5" s="265"/>
      <c r="B5" s="265"/>
      <c r="C5" s="265"/>
      <c r="D5" s="265"/>
      <c r="E5" s="265">
        <f>+E4-S10</f>
        <v>-57</v>
      </c>
      <c r="F5" s="265"/>
      <c r="G5" s="266">
        <f>+G4-G10</f>
        <v>0</v>
      </c>
      <c r="H5" s="266"/>
      <c r="I5" s="266">
        <f>+I4-I10-J10</f>
        <v>0</v>
      </c>
      <c r="J5" s="265"/>
      <c r="K5" s="266">
        <f t="shared" ref="K5:P5" si="0">+K4-K10</f>
        <v>0</v>
      </c>
      <c r="L5" s="266">
        <f t="shared" si="0"/>
        <v>0</v>
      </c>
      <c r="M5" s="266">
        <f t="shared" si="0"/>
        <v>0</v>
      </c>
      <c r="N5" s="266">
        <f t="shared" si="0"/>
        <v>-28</v>
      </c>
      <c r="O5" s="266">
        <f t="shared" si="0"/>
        <v>0</v>
      </c>
      <c r="P5" s="266">
        <f t="shared" si="0"/>
        <v>1</v>
      </c>
      <c r="Q5" s="265"/>
      <c r="R5" s="256"/>
    </row>
    <row r="6" spans="1:22" s="252" customFormat="1" ht="14.4">
      <c r="D6" s="267"/>
      <c r="E6" s="267"/>
      <c r="F6" s="267"/>
      <c r="G6" s="267"/>
      <c r="H6" s="267"/>
      <c r="I6" s="267"/>
      <c r="J6" s="267"/>
      <c r="K6" s="267"/>
      <c r="L6" s="267"/>
      <c r="M6" s="308"/>
      <c r="N6" s="267"/>
      <c r="O6" s="267" t="s">
        <v>2</v>
      </c>
      <c r="Q6" s="267"/>
      <c r="R6" s="314"/>
    </row>
    <row r="7" spans="1:22" s="252" customFormat="1" ht="23.25" customHeight="1">
      <c r="A7" s="541" t="s">
        <v>137</v>
      </c>
      <c r="B7" s="541" t="s">
        <v>138</v>
      </c>
      <c r="C7" s="542" t="s">
        <v>139</v>
      </c>
      <c r="D7" s="542" t="s">
        <v>140</v>
      </c>
      <c r="E7" s="544" t="s">
        <v>141</v>
      </c>
      <c r="F7" s="538" t="s">
        <v>111</v>
      </c>
      <c r="G7" s="539"/>
      <c r="H7" s="539"/>
      <c r="I7" s="539"/>
      <c r="J7" s="539"/>
      <c r="K7" s="539"/>
      <c r="L7" s="539"/>
      <c r="M7" s="539"/>
      <c r="N7" s="539"/>
      <c r="O7" s="539"/>
      <c r="P7" s="539"/>
      <c r="Q7" s="540"/>
      <c r="R7" s="315"/>
      <c r="U7" s="252" t="s">
        <v>142</v>
      </c>
      <c r="V7" s="252" t="s">
        <v>143</v>
      </c>
    </row>
    <row r="8" spans="1:22" s="253" customFormat="1" ht="54.75" customHeight="1">
      <c r="A8" s="541"/>
      <c r="B8" s="541"/>
      <c r="C8" s="543"/>
      <c r="D8" s="543"/>
      <c r="E8" s="544"/>
      <c r="F8" s="268" t="s">
        <v>144</v>
      </c>
      <c r="G8" s="268" t="s">
        <v>145</v>
      </c>
      <c r="H8" s="268" t="s">
        <v>146</v>
      </c>
      <c r="I8" s="268" t="s">
        <v>147</v>
      </c>
      <c r="J8" s="268" t="s">
        <v>148</v>
      </c>
      <c r="K8" s="268" t="s">
        <v>149</v>
      </c>
      <c r="L8" s="268" t="s">
        <v>150</v>
      </c>
      <c r="M8" s="209" t="s">
        <v>119</v>
      </c>
      <c r="N8" s="209" t="s">
        <v>151</v>
      </c>
      <c r="O8" s="209" t="s">
        <v>152</v>
      </c>
      <c r="P8" s="209" t="s">
        <v>153</v>
      </c>
      <c r="Q8" s="209" t="s">
        <v>123</v>
      </c>
      <c r="R8" s="316"/>
      <c r="U8" s="253">
        <v>1562</v>
      </c>
      <c r="V8" s="317">
        <f>+U8-Q10</f>
        <v>0</v>
      </c>
    </row>
    <row r="9" spans="1:22" s="254" customFormat="1" ht="15.75" customHeight="1">
      <c r="A9" s="269" t="s">
        <v>7</v>
      </c>
      <c r="B9" s="269" t="s">
        <v>22</v>
      </c>
      <c r="C9" s="269" t="s">
        <v>154</v>
      </c>
      <c r="D9" s="269">
        <v>2</v>
      </c>
      <c r="E9" s="270">
        <v>1</v>
      </c>
      <c r="F9" s="269">
        <v>2</v>
      </c>
      <c r="G9" s="269">
        <v>3</v>
      </c>
      <c r="H9" s="269">
        <v>4</v>
      </c>
      <c r="I9" s="269">
        <v>5</v>
      </c>
      <c r="J9" s="269">
        <v>6</v>
      </c>
      <c r="K9" s="269">
        <v>7</v>
      </c>
      <c r="L9" s="269">
        <v>8</v>
      </c>
      <c r="M9" s="269">
        <v>9</v>
      </c>
      <c r="N9" s="269">
        <v>10</v>
      </c>
      <c r="O9" s="269">
        <v>11</v>
      </c>
      <c r="P9" s="269">
        <v>12</v>
      </c>
      <c r="Q9" s="269">
        <v>13</v>
      </c>
      <c r="R9" s="318"/>
    </row>
    <row r="10" spans="1:22" s="255" customFormat="1" ht="18.75" customHeight="1">
      <c r="A10" s="271"/>
      <c r="B10" s="272" t="s">
        <v>155</v>
      </c>
      <c r="C10" s="273" t="e">
        <f t="shared" ref="C10:Q10" si="1">C11+C21+C32+C53+C78+C100+C104+C113+C120</f>
        <v>#REF!</v>
      </c>
      <c r="D10" s="273" t="e">
        <f t="shared" si="1"/>
        <v>#REF!</v>
      </c>
      <c r="E10" s="274">
        <f t="shared" si="1"/>
        <v>88821</v>
      </c>
      <c r="F10" s="274">
        <f t="shared" si="1"/>
        <v>57971</v>
      </c>
      <c r="G10" s="274">
        <f t="shared" si="1"/>
        <v>508</v>
      </c>
      <c r="H10" s="274">
        <f t="shared" si="1"/>
        <v>30</v>
      </c>
      <c r="I10" s="274">
        <f t="shared" si="1"/>
        <v>248</v>
      </c>
      <c r="J10" s="274">
        <f t="shared" si="1"/>
        <v>163</v>
      </c>
      <c r="K10" s="274">
        <f t="shared" si="1"/>
        <v>136</v>
      </c>
      <c r="L10" s="274">
        <f t="shared" si="1"/>
        <v>2683</v>
      </c>
      <c r="M10" s="274">
        <f t="shared" si="1"/>
        <v>4739</v>
      </c>
      <c r="N10" s="274">
        <f t="shared" si="1"/>
        <v>19012</v>
      </c>
      <c r="O10" s="274">
        <f t="shared" si="1"/>
        <v>980</v>
      </c>
      <c r="P10" s="274">
        <f t="shared" si="1"/>
        <v>789</v>
      </c>
      <c r="Q10" s="274">
        <f t="shared" si="1"/>
        <v>1562</v>
      </c>
      <c r="R10" s="319">
        <f t="shared" ref="R10:R19" si="2">+E10-SUM(F10:Q10)</f>
        <v>0</v>
      </c>
      <c r="S10" s="255">
        <v>88821</v>
      </c>
      <c r="T10" s="320">
        <f>+S10-F10</f>
        <v>30850</v>
      </c>
    </row>
    <row r="11" spans="1:22" s="255" customFormat="1" ht="20.25" customHeight="1">
      <c r="A11" s="275">
        <v>1</v>
      </c>
      <c r="B11" s="276" t="s">
        <v>156</v>
      </c>
      <c r="C11" s="277">
        <f t="shared" ref="C11:C19" si="3">+D11+E11</f>
        <v>3918</v>
      </c>
      <c r="D11" s="277">
        <f t="shared" ref="D11" si="4">D12+D18+D19</f>
        <v>0</v>
      </c>
      <c r="E11" s="278">
        <f>E12+E18+E19+E20</f>
        <v>3918</v>
      </c>
      <c r="F11" s="278">
        <f>F12+F18+F19+F20</f>
        <v>0</v>
      </c>
      <c r="G11" s="278">
        <f t="shared" ref="G11:Q11" si="5">G12+G18+G19+G20</f>
        <v>0</v>
      </c>
      <c r="H11" s="278"/>
      <c r="I11" s="278">
        <f t="shared" si="5"/>
        <v>0</v>
      </c>
      <c r="J11" s="278">
        <f t="shared" si="5"/>
        <v>0</v>
      </c>
      <c r="K11" s="278">
        <f t="shared" si="5"/>
        <v>0</v>
      </c>
      <c r="L11" s="278">
        <f t="shared" si="5"/>
        <v>0</v>
      </c>
      <c r="M11" s="278">
        <f t="shared" si="5"/>
        <v>0</v>
      </c>
      <c r="N11" s="278">
        <f t="shared" si="5"/>
        <v>3742</v>
      </c>
      <c r="O11" s="278">
        <f t="shared" si="5"/>
        <v>0</v>
      </c>
      <c r="P11" s="278">
        <f t="shared" si="5"/>
        <v>0</v>
      </c>
      <c r="Q11" s="278">
        <f t="shared" si="5"/>
        <v>176</v>
      </c>
      <c r="R11" s="319">
        <f t="shared" si="2"/>
        <v>0</v>
      </c>
      <c r="S11" s="321">
        <f>+S10-E10</f>
        <v>0</v>
      </c>
      <c r="T11" s="320">
        <f>+E10-F10</f>
        <v>30850</v>
      </c>
    </row>
    <row r="12" spans="1:22" ht="24.75" customHeight="1">
      <c r="A12" s="279" t="s">
        <v>157</v>
      </c>
      <c r="B12" s="280" t="s">
        <v>158</v>
      </c>
      <c r="C12" s="281">
        <f t="shared" si="3"/>
        <v>2163</v>
      </c>
      <c r="D12" s="282">
        <f>SUM(D13:D17)</f>
        <v>0</v>
      </c>
      <c r="E12" s="283">
        <f>SUM(E13:E17)</f>
        <v>2163</v>
      </c>
      <c r="F12" s="283">
        <f>SUM(F13:F17)</f>
        <v>0</v>
      </c>
      <c r="G12" s="283">
        <f t="shared" ref="G12:Q12" si="6">SUM(G13:G17)</f>
        <v>0</v>
      </c>
      <c r="H12" s="283"/>
      <c r="I12" s="283">
        <f t="shared" si="6"/>
        <v>0</v>
      </c>
      <c r="J12" s="283">
        <f t="shared" si="6"/>
        <v>0</v>
      </c>
      <c r="K12" s="283">
        <f t="shared" si="6"/>
        <v>0</v>
      </c>
      <c r="L12" s="283">
        <f t="shared" si="6"/>
        <v>0</v>
      </c>
      <c r="M12" s="283">
        <f t="shared" si="6"/>
        <v>0</v>
      </c>
      <c r="N12" s="283">
        <f t="shared" si="6"/>
        <v>2163</v>
      </c>
      <c r="O12" s="283">
        <f t="shared" si="6"/>
        <v>0</v>
      </c>
      <c r="P12" s="283">
        <f t="shared" si="6"/>
        <v>0</v>
      </c>
      <c r="Q12" s="283">
        <f t="shared" si="6"/>
        <v>0</v>
      </c>
      <c r="R12" s="319">
        <f t="shared" si="2"/>
        <v>0</v>
      </c>
      <c r="T12" s="322">
        <f>+T10-T11</f>
        <v>0</v>
      </c>
    </row>
    <row r="13" spans="1:22" s="255" customFormat="1" ht="33" customHeight="1">
      <c r="A13" s="279"/>
      <c r="B13" s="284" t="s">
        <v>159</v>
      </c>
      <c r="C13" s="281">
        <f t="shared" si="3"/>
        <v>1607</v>
      </c>
      <c r="D13" s="285"/>
      <c r="E13" s="283">
        <f t="shared" ref="E13:E20" si="7">SUM(F13:Q13)</f>
        <v>1607</v>
      </c>
      <c r="F13" s="278"/>
      <c r="G13" s="278"/>
      <c r="H13" s="278"/>
      <c r="I13" s="278"/>
      <c r="J13" s="278"/>
      <c r="K13" s="278"/>
      <c r="L13" s="278"/>
      <c r="M13" s="278"/>
      <c r="N13" s="283">
        <v>1607</v>
      </c>
      <c r="O13" s="278"/>
      <c r="P13" s="278"/>
      <c r="Q13" s="278"/>
      <c r="R13" s="319">
        <f t="shared" si="2"/>
        <v>0</v>
      </c>
    </row>
    <row r="14" spans="1:22" s="255" customFormat="1" ht="21" customHeight="1">
      <c r="A14" s="279"/>
      <c r="B14" s="284" t="s">
        <v>160</v>
      </c>
      <c r="C14" s="281">
        <f t="shared" si="3"/>
        <v>70</v>
      </c>
      <c r="D14" s="285"/>
      <c r="E14" s="283">
        <f t="shared" si="7"/>
        <v>70</v>
      </c>
      <c r="F14" s="278"/>
      <c r="G14" s="278"/>
      <c r="H14" s="278"/>
      <c r="I14" s="278"/>
      <c r="J14" s="278"/>
      <c r="K14" s="278"/>
      <c r="L14" s="278"/>
      <c r="M14" s="278"/>
      <c r="N14" s="283">
        <v>70</v>
      </c>
      <c r="O14" s="278"/>
      <c r="P14" s="278"/>
      <c r="Q14" s="278"/>
      <c r="R14" s="319">
        <f t="shared" si="2"/>
        <v>0</v>
      </c>
    </row>
    <row r="15" spans="1:22" s="255" customFormat="1" ht="21" customHeight="1">
      <c r="A15" s="279"/>
      <c r="B15" s="459" t="s">
        <v>161</v>
      </c>
      <c r="C15" s="281">
        <f t="shared" si="3"/>
        <v>307</v>
      </c>
      <c r="D15" s="285"/>
      <c r="E15" s="283">
        <f t="shared" si="7"/>
        <v>307</v>
      </c>
      <c r="F15" s="278"/>
      <c r="G15" s="278"/>
      <c r="H15" s="278"/>
      <c r="I15" s="278"/>
      <c r="J15" s="278"/>
      <c r="K15" s="278"/>
      <c r="L15" s="278"/>
      <c r="M15" s="278"/>
      <c r="N15" s="283">
        <v>307</v>
      </c>
      <c r="O15" s="278"/>
      <c r="P15" s="278"/>
      <c r="Q15" s="278"/>
      <c r="R15" s="319">
        <f t="shared" si="2"/>
        <v>0</v>
      </c>
    </row>
    <row r="16" spans="1:22" s="255" customFormat="1" ht="21" customHeight="1">
      <c r="A16" s="279"/>
      <c r="B16" s="284" t="s">
        <v>162</v>
      </c>
      <c r="C16" s="281">
        <f t="shared" si="3"/>
        <v>110</v>
      </c>
      <c r="D16" s="285"/>
      <c r="E16" s="283">
        <f t="shared" si="7"/>
        <v>110</v>
      </c>
      <c r="F16" s="278"/>
      <c r="G16" s="278"/>
      <c r="H16" s="278"/>
      <c r="I16" s="278"/>
      <c r="J16" s="278"/>
      <c r="K16" s="278"/>
      <c r="L16" s="278"/>
      <c r="M16" s="278"/>
      <c r="N16" s="283">
        <v>110</v>
      </c>
      <c r="O16" s="278"/>
      <c r="P16" s="278"/>
      <c r="Q16" s="278"/>
      <c r="R16" s="319">
        <f t="shared" si="2"/>
        <v>0</v>
      </c>
    </row>
    <row r="17" spans="1:18" s="255" customFormat="1" ht="21" customHeight="1">
      <c r="A17" s="279"/>
      <c r="B17" s="284" t="s">
        <v>163</v>
      </c>
      <c r="C17" s="281">
        <f t="shared" si="3"/>
        <v>69</v>
      </c>
      <c r="D17" s="285"/>
      <c r="E17" s="283">
        <f t="shared" si="7"/>
        <v>69</v>
      </c>
      <c r="F17" s="278"/>
      <c r="G17" s="278"/>
      <c r="H17" s="278"/>
      <c r="I17" s="278"/>
      <c r="J17" s="278"/>
      <c r="K17" s="278"/>
      <c r="L17" s="278"/>
      <c r="M17" s="278"/>
      <c r="N17" s="283">
        <v>69</v>
      </c>
      <c r="O17" s="278"/>
      <c r="P17" s="278"/>
      <c r="Q17" s="278"/>
      <c r="R17" s="319">
        <f t="shared" si="2"/>
        <v>0</v>
      </c>
    </row>
    <row r="18" spans="1:18" s="256" customFormat="1" ht="50.25" customHeight="1">
      <c r="A18" s="279" t="s">
        <v>164</v>
      </c>
      <c r="B18" s="459" t="s">
        <v>165</v>
      </c>
      <c r="C18" s="281">
        <f t="shared" si="3"/>
        <v>750</v>
      </c>
      <c r="D18" s="286"/>
      <c r="E18" s="283">
        <f t="shared" si="7"/>
        <v>750</v>
      </c>
      <c r="F18" s="287"/>
      <c r="G18" s="287"/>
      <c r="H18" s="287"/>
      <c r="I18" s="309"/>
      <c r="J18" s="309"/>
      <c r="K18" s="309"/>
      <c r="L18" s="287"/>
      <c r="M18" s="287"/>
      <c r="N18" s="310">
        <v>750</v>
      </c>
      <c r="O18" s="287"/>
      <c r="P18" s="287"/>
      <c r="Q18" s="287"/>
      <c r="R18" s="319">
        <f t="shared" si="2"/>
        <v>0</v>
      </c>
    </row>
    <row r="19" spans="1:18" s="257" customFormat="1" ht="30" customHeight="1">
      <c r="A19" s="279" t="s">
        <v>166</v>
      </c>
      <c r="B19" s="284" t="s">
        <v>167</v>
      </c>
      <c r="C19" s="281">
        <f t="shared" si="3"/>
        <v>829</v>
      </c>
      <c r="D19" s="288"/>
      <c r="E19" s="283">
        <f t="shared" si="7"/>
        <v>829</v>
      </c>
      <c r="F19" s="289"/>
      <c r="G19" s="289"/>
      <c r="H19" s="289"/>
      <c r="I19" s="309"/>
      <c r="J19" s="309"/>
      <c r="K19" s="309"/>
      <c r="L19" s="289"/>
      <c r="M19" s="289"/>
      <c r="N19" s="310">
        <v>829</v>
      </c>
      <c r="O19" s="289"/>
      <c r="P19" s="289"/>
      <c r="Q19" s="289"/>
      <c r="R19" s="319">
        <f t="shared" si="2"/>
        <v>0</v>
      </c>
    </row>
    <row r="20" spans="1:18" s="257" customFormat="1" ht="30" customHeight="1">
      <c r="A20" s="279" t="s">
        <v>168</v>
      </c>
      <c r="B20" s="284" t="s">
        <v>169</v>
      </c>
      <c r="C20" s="281"/>
      <c r="D20" s="288"/>
      <c r="E20" s="283">
        <f t="shared" si="7"/>
        <v>176</v>
      </c>
      <c r="F20" s="289"/>
      <c r="G20" s="289"/>
      <c r="H20" s="289"/>
      <c r="I20" s="309"/>
      <c r="J20" s="309"/>
      <c r="K20" s="309"/>
      <c r="L20" s="289"/>
      <c r="M20" s="289"/>
      <c r="N20" s="310"/>
      <c r="O20" s="289"/>
      <c r="P20" s="289"/>
      <c r="Q20" s="310">
        <v>176</v>
      </c>
      <c r="R20" s="319"/>
    </row>
    <row r="21" spans="1:18" s="255" customFormat="1" ht="20.25" customHeight="1">
      <c r="A21" s="275">
        <v>2</v>
      </c>
      <c r="B21" s="276" t="s">
        <v>170</v>
      </c>
      <c r="C21" s="285">
        <f>SUM(C22:C30)</f>
        <v>1899</v>
      </c>
      <c r="D21" s="285">
        <f>SUM(D22:D30)</f>
        <v>0</v>
      </c>
      <c r="E21" s="278">
        <f t="shared" ref="E21:N21" si="8">SUM(E22:E24)+E30+E31</f>
        <v>1982</v>
      </c>
      <c r="F21" s="278">
        <f t="shared" si="8"/>
        <v>0</v>
      </c>
      <c r="G21" s="278">
        <f t="shared" si="8"/>
        <v>0</v>
      </c>
      <c r="H21" s="278">
        <f t="shared" si="8"/>
        <v>0</v>
      </c>
      <c r="I21" s="278">
        <f t="shared" si="8"/>
        <v>0</v>
      </c>
      <c r="J21" s="278">
        <f t="shared" si="8"/>
        <v>0</v>
      </c>
      <c r="K21" s="278">
        <f t="shared" si="8"/>
        <v>0</v>
      </c>
      <c r="L21" s="278">
        <f t="shared" si="8"/>
        <v>0</v>
      </c>
      <c r="M21" s="278">
        <f t="shared" si="8"/>
        <v>0</v>
      </c>
      <c r="N21" s="278">
        <f t="shared" si="8"/>
        <v>1899</v>
      </c>
      <c r="O21" s="278">
        <f t="shared" ref="O21:Q21" si="9">SUM(O22:O24)+O30+O31</f>
        <v>0</v>
      </c>
      <c r="P21" s="278">
        <f t="shared" si="9"/>
        <v>0</v>
      </c>
      <c r="Q21" s="278">
        <f t="shared" si="9"/>
        <v>83</v>
      </c>
      <c r="R21" s="319">
        <f>+E21-SUM(F21:Q21)</f>
        <v>0</v>
      </c>
    </row>
    <row r="22" spans="1:18" ht="34.5" customHeight="1">
      <c r="A22" s="279" t="s">
        <v>171</v>
      </c>
      <c r="B22" s="284" t="s">
        <v>159</v>
      </c>
      <c r="C22" s="281">
        <f>+D22+E22</f>
        <v>837</v>
      </c>
      <c r="D22" s="290"/>
      <c r="E22" s="283">
        <f t="shared" ref="E22:E31" si="10">SUM(F22:Q22)</f>
        <v>837</v>
      </c>
      <c r="F22" s="283"/>
      <c r="G22" s="283"/>
      <c r="H22" s="283"/>
      <c r="I22" s="309"/>
      <c r="J22" s="309"/>
      <c r="K22" s="309"/>
      <c r="L22" s="283"/>
      <c r="M22" s="283"/>
      <c r="N22" s="283">
        <v>837</v>
      </c>
      <c r="O22" s="283"/>
      <c r="P22" s="283"/>
      <c r="Q22" s="283"/>
      <c r="R22" s="319">
        <f>+E22-SUM(F22:Q22)</f>
        <v>0</v>
      </c>
    </row>
    <row r="23" spans="1:18" ht="34.5" customHeight="1">
      <c r="A23" s="279" t="s">
        <v>172</v>
      </c>
      <c r="B23" s="284" t="s">
        <v>173</v>
      </c>
      <c r="C23" s="281">
        <f>+D23+E23</f>
        <v>601</v>
      </c>
      <c r="D23" s="290"/>
      <c r="E23" s="283">
        <f t="shared" si="10"/>
        <v>601</v>
      </c>
      <c r="F23" s="283"/>
      <c r="G23" s="283"/>
      <c r="H23" s="283"/>
      <c r="I23" s="309"/>
      <c r="J23" s="309"/>
      <c r="K23" s="309"/>
      <c r="L23" s="283"/>
      <c r="M23" s="283"/>
      <c r="N23" s="283">
        <v>601</v>
      </c>
      <c r="O23" s="283"/>
      <c r="P23" s="283"/>
      <c r="Q23" s="283"/>
      <c r="R23" s="319">
        <f>+E23-SUM(F23:Q23)</f>
        <v>0</v>
      </c>
    </row>
    <row r="24" spans="1:18" ht="34.5" customHeight="1">
      <c r="A24" s="279" t="s">
        <v>174</v>
      </c>
      <c r="B24" s="291" t="s">
        <v>914</v>
      </c>
      <c r="C24" s="281">
        <f>+D24+E24</f>
        <v>390</v>
      </c>
      <c r="D24" s="290"/>
      <c r="E24" s="283">
        <f t="shared" si="10"/>
        <v>390</v>
      </c>
      <c r="F24" s="283"/>
      <c r="G24" s="283"/>
      <c r="H24" s="283"/>
      <c r="I24" s="309"/>
      <c r="J24" s="309"/>
      <c r="K24" s="309"/>
      <c r="L24" s="283"/>
      <c r="M24" s="283"/>
      <c r="N24" s="297">
        <f>+SUM(N25:N29)</f>
        <v>390</v>
      </c>
      <c r="O24" s="283"/>
      <c r="P24" s="283"/>
      <c r="Q24" s="283"/>
      <c r="R24" s="319">
        <f>+E24-SUM(F24:Q24)</f>
        <v>0</v>
      </c>
    </row>
    <row r="25" spans="1:18" ht="34.5" hidden="1" customHeight="1">
      <c r="A25" s="279"/>
      <c r="B25" s="292" t="s">
        <v>175</v>
      </c>
      <c r="C25" s="281"/>
      <c r="D25" s="290"/>
      <c r="E25" s="293">
        <f t="shared" si="10"/>
        <v>150</v>
      </c>
      <c r="F25" s="283"/>
      <c r="G25" s="283"/>
      <c r="H25" s="283"/>
      <c r="I25" s="309"/>
      <c r="J25" s="309"/>
      <c r="K25" s="309"/>
      <c r="L25" s="283"/>
      <c r="M25" s="283"/>
      <c r="N25" s="302">
        <v>150</v>
      </c>
      <c r="O25" s="283"/>
      <c r="P25" s="283"/>
      <c r="Q25" s="283"/>
      <c r="R25" s="319"/>
    </row>
    <row r="26" spans="1:18" ht="34.5" hidden="1" customHeight="1">
      <c r="A26" s="279"/>
      <c r="B26" s="292" t="s">
        <v>176</v>
      </c>
      <c r="C26" s="281"/>
      <c r="D26" s="290"/>
      <c r="E26" s="293">
        <f t="shared" si="10"/>
        <v>60</v>
      </c>
      <c r="F26" s="283"/>
      <c r="G26" s="283"/>
      <c r="H26" s="283"/>
      <c r="I26" s="309"/>
      <c r="J26" s="309"/>
      <c r="K26" s="309"/>
      <c r="L26" s="283"/>
      <c r="M26" s="283"/>
      <c r="N26" s="302">
        <v>60</v>
      </c>
      <c r="O26" s="283"/>
      <c r="P26" s="283"/>
      <c r="Q26" s="283"/>
      <c r="R26" s="319"/>
    </row>
    <row r="27" spans="1:18" ht="34.5" hidden="1" customHeight="1">
      <c r="A27" s="279"/>
      <c r="B27" s="292" t="s">
        <v>177</v>
      </c>
      <c r="C27" s="281"/>
      <c r="D27" s="290"/>
      <c r="E27" s="293">
        <f t="shared" si="10"/>
        <v>60</v>
      </c>
      <c r="F27" s="283"/>
      <c r="G27" s="283"/>
      <c r="H27" s="283"/>
      <c r="I27" s="309"/>
      <c r="J27" s="309"/>
      <c r="K27" s="309"/>
      <c r="L27" s="283"/>
      <c r="M27" s="283"/>
      <c r="N27" s="302">
        <v>60</v>
      </c>
      <c r="O27" s="283"/>
      <c r="P27" s="283"/>
      <c r="Q27" s="283"/>
      <c r="R27" s="319"/>
    </row>
    <row r="28" spans="1:18" ht="34.5" hidden="1" customHeight="1">
      <c r="A28" s="279"/>
      <c r="B28" s="292" t="s">
        <v>178</v>
      </c>
      <c r="C28" s="281"/>
      <c r="D28" s="290"/>
      <c r="E28" s="293">
        <f t="shared" si="10"/>
        <v>60</v>
      </c>
      <c r="F28" s="283"/>
      <c r="G28" s="283"/>
      <c r="H28" s="283"/>
      <c r="I28" s="309"/>
      <c r="J28" s="309"/>
      <c r="K28" s="309"/>
      <c r="L28" s="283"/>
      <c r="M28" s="283"/>
      <c r="N28" s="302">
        <v>60</v>
      </c>
      <c r="O28" s="283"/>
      <c r="P28" s="283"/>
      <c r="Q28" s="283"/>
      <c r="R28" s="319"/>
    </row>
    <row r="29" spans="1:18" ht="34.5" hidden="1" customHeight="1">
      <c r="A29" s="279"/>
      <c r="B29" s="292" t="s">
        <v>179</v>
      </c>
      <c r="C29" s="281"/>
      <c r="D29" s="290"/>
      <c r="E29" s="293">
        <f t="shared" si="10"/>
        <v>60</v>
      </c>
      <c r="F29" s="283"/>
      <c r="G29" s="283"/>
      <c r="H29" s="283"/>
      <c r="I29" s="309"/>
      <c r="J29" s="309"/>
      <c r="K29" s="309"/>
      <c r="L29" s="283"/>
      <c r="M29" s="283"/>
      <c r="N29" s="302">
        <v>60</v>
      </c>
      <c r="O29" s="283"/>
      <c r="P29" s="283"/>
      <c r="Q29" s="283"/>
      <c r="R29" s="319"/>
    </row>
    <row r="30" spans="1:18" s="258" customFormat="1" ht="34.5" customHeight="1">
      <c r="A30" s="279" t="s">
        <v>180</v>
      </c>
      <c r="B30" s="291" t="s">
        <v>181</v>
      </c>
      <c r="C30" s="281">
        <f>+D30+E30</f>
        <v>71</v>
      </c>
      <c r="D30" s="290"/>
      <c r="E30" s="283">
        <f t="shared" si="10"/>
        <v>71</v>
      </c>
      <c r="F30" s="283"/>
      <c r="G30" s="283"/>
      <c r="H30" s="283"/>
      <c r="I30" s="309"/>
      <c r="J30" s="309"/>
      <c r="K30" s="309"/>
      <c r="L30" s="283"/>
      <c r="M30" s="283"/>
      <c r="N30" s="297">
        <f>26+45</f>
        <v>71</v>
      </c>
      <c r="O30" s="283"/>
      <c r="P30" s="283"/>
      <c r="Q30" s="283"/>
      <c r="R30" s="319">
        <f>+E30-SUM(F30:Q30)</f>
        <v>0</v>
      </c>
    </row>
    <row r="31" spans="1:18" s="258" customFormat="1" ht="26.25" customHeight="1">
      <c r="A31" s="279" t="s">
        <v>182</v>
      </c>
      <c r="B31" s="291" t="s">
        <v>169</v>
      </c>
      <c r="C31" s="281"/>
      <c r="D31" s="290"/>
      <c r="E31" s="283">
        <f t="shared" si="10"/>
        <v>83</v>
      </c>
      <c r="F31" s="283"/>
      <c r="G31" s="283"/>
      <c r="H31" s="283"/>
      <c r="I31" s="309"/>
      <c r="J31" s="309"/>
      <c r="K31" s="309"/>
      <c r="L31" s="283"/>
      <c r="M31" s="283"/>
      <c r="N31" s="297"/>
      <c r="O31" s="283"/>
      <c r="P31" s="283"/>
      <c r="Q31" s="297">
        <v>83</v>
      </c>
      <c r="R31" s="319"/>
    </row>
    <row r="32" spans="1:18" s="255" customFormat="1" ht="20.25" customHeight="1">
      <c r="A32" s="275">
        <v>3</v>
      </c>
      <c r="B32" s="294" t="s">
        <v>183</v>
      </c>
      <c r="C32" s="295">
        <f>SUM(C33:C37)+SUM(C40:C49)</f>
        <v>12681</v>
      </c>
      <c r="D32" s="285">
        <f>SUM(D33:D37)+SUM(D40:D49)</f>
        <v>0</v>
      </c>
      <c r="E32" s="278">
        <f t="shared" ref="E32:Q32" si="11">+SUM(E33:E37)+SUM(E40:E45)+SUM(E48:E52)</f>
        <v>11869</v>
      </c>
      <c r="F32" s="278">
        <f t="shared" si="11"/>
        <v>0</v>
      </c>
      <c r="G32" s="278">
        <f t="shared" si="11"/>
        <v>171</v>
      </c>
      <c r="H32" s="278">
        <f t="shared" si="11"/>
        <v>0</v>
      </c>
      <c r="I32" s="278">
        <f t="shared" si="11"/>
        <v>14</v>
      </c>
      <c r="J32" s="278">
        <f t="shared" si="11"/>
        <v>93</v>
      </c>
      <c r="K32" s="278">
        <f t="shared" si="11"/>
        <v>0</v>
      </c>
      <c r="L32" s="278">
        <f t="shared" si="11"/>
        <v>84</v>
      </c>
      <c r="M32" s="278">
        <f t="shared" si="11"/>
        <v>144</v>
      </c>
      <c r="N32" s="278">
        <f t="shared" si="11"/>
        <v>9549</v>
      </c>
      <c r="O32" s="278">
        <f t="shared" si="11"/>
        <v>915</v>
      </c>
      <c r="P32" s="278">
        <f t="shared" si="11"/>
        <v>789</v>
      </c>
      <c r="Q32" s="278">
        <f t="shared" si="11"/>
        <v>110</v>
      </c>
      <c r="R32" s="319">
        <f t="shared" ref="R32:R41" si="12">+E32-SUM(F32:Q32)</f>
        <v>0</v>
      </c>
    </row>
    <row r="33" spans="1:18" ht="35.25" customHeight="1">
      <c r="A33" s="296" t="s">
        <v>184</v>
      </c>
      <c r="B33" s="284" t="s">
        <v>159</v>
      </c>
      <c r="C33" s="281">
        <f t="shared" ref="C33:C49" si="13">+D33+E33</f>
        <v>1043</v>
      </c>
      <c r="D33" s="282"/>
      <c r="E33" s="283">
        <f t="shared" ref="E33:E52" si="14">SUM(F33:Q33)</f>
        <v>1043</v>
      </c>
      <c r="F33" s="297"/>
      <c r="G33" s="283"/>
      <c r="H33" s="283"/>
      <c r="I33" s="309"/>
      <c r="J33" s="309"/>
      <c r="K33" s="309"/>
      <c r="L33" s="283"/>
      <c r="M33" s="297"/>
      <c r="N33" s="297">
        <v>1043</v>
      </c>
      <c r="O33" s="297"/>
      <c r="P33" s="283"/>
      <c r="Q33" s="297"/>
      <c r="R33" s="319">
        <f t="shared" si="12"/>
        <v>0</v>
      </c>
    </row>
    <row r="34" spans="1:18" ht="21" customHeight="1">
      <c r="A34" s="296" t="s">
        <v>185</v>
      </c>
      <c r="B34" s="284" t="s">
        <v>186</v>
      </c>
      <c r="C34" s="281">
        <f t="shared" si="13"/>
        <v>202</v>
      </c>
      <c r="D34" s="282"/>
      <c r="E34" s="283">
        <f t="shared" si="14"/>
        <v>202</v>
      </c>
      <c r="F34" s="297"/>
      <c r="G34" s="297"/>
      <c r="H34" s="297"/>
      <c r="I34" s="309"/>
      <c r="J34" s="309"/>
      <c r="K34" s="309"/>
      <c r="L34" s="297"/>
      <c r="M34" s="297"/>
      <c r="N34" s="297"/>
      <c r="O34" s="297">
        <v>202</v>
      </c>
      <c r="P34" s="297"/>
      <c r="Q34" s="297"/>
      <c r="R34" s="319">
        <f t="shared" si="12"/>
        <v>0</v>
      </c>
    </row>
    <row r="35" spans="1:18" ht="28.5" customHeight="1">
      <c r="A35" s="296" t="s">
        <v>187</v>
      </c>
      <c r="B35" s="284" t="s">
        <v>188</v>
      </c>
      <c r="C35" s="281">
        <f t="shared" si="13"/>
        <v>491</v>
      </c>
      <c r="D35" s="282"/>
      <c r="E35" s="283">
        <f t="shared" si="14"/>
        <v>491</v>
      </c>
      <c r="F35" s="297"/>
      <c r="G35" s="297"/>
      <c r="H35" s="297"/>
      <c r="I35" s="309"/>
      <c r="J35" s="309"/>
      <c r="K35" s="309"/>
      <c r="L35" s="297"/>
      <c r="M35" s="297"/>
      <c r="N35" s="297">
        <v>491</v>
      </c>
      <c r="O35" s="297"/>
      <c r="P35" s="297"/>
      <c r="Q35" s="297"/>
      <c r="R35" s="319">
        <f t="shared" si="12"/>
        <v>0</v>
      </c>
    </row>
    <row r="36" spans="1:18" ht="47.25" customHeight="1">
      <c r="A36" s="296" t="s">
        <v>189</v>
      </c>
      <c r="B36" s="284" t="s">
        <v>190</v>
      </c>
      <c r="C36" s="281">
        <f t="shared" si="13"/>
        <v>150</v>
      </c>
      <c r="D36" s="282"/>
      <c r="E36" s="283">
        <f t="shared" si="14"/>
        <v>150</v>
      </c>
      <c r="F36" s="297"/>
      <c r="G36" s="297"/>
      <c r="H36" s="297"/>
      <c r="I36" s="309"/>
      <c r="J36" s="309"/>
      <c r="K36" s="309"/>
      <c r="L36" s="297"/>
      <c r="M36" s="297"/>
      <c r="N36" s="297"/>
      <c r="O36" s="297">
        <v>150</v>
      </c>
      <c r="P36" s="297"/>
      <c r="Q36" s="297"/>
      <c r="R36" s="319">
        <f t="shared" si="12"/>
        <v>0</v>
      </c>
    </row>
    <row r="37" spans="1:18" ht="18.75" customHeight="1">
      <c r="A37" s="296" t="s">
        <v>191</v>
      </c>
      <c r="B37" s="284" t="s">
        <v>192</v>
      </c>
      <c r="C37" s="281">
        <f t="shared" si="13"/>
        <v>411</v>
      </c>
      <c r="D37" s="282"/>
      <c r="E37" s="283">
        <f t="shared" si="14"/>
        <v>411</v>
      </c>
      <c r="F37" s="297"/>
      <c r="G37" s="297"/>
      <c r="H37" s="297"/>
      <c r="I37" s="309"/>
      <c r="J37" s="309"/>
      <c r="K37" s="309"/>
      <c r="L37" s="297"/>
      <c r="M37" s="297"/>
      <c r="N37" s="297"/>
      <c r="O37" s="297"/>
      <c r="P37" s="297">
        <f>+P38+P39</f>
        <v>411</v>
      </c>
      <c r="Q37" s="297"/>
      <c r="R37" s="319">
        <f t="shared" si="12"/>
        <v>0</v>
      </c>
    </row>
    <row r="38" spans="1:18" s="259" customFormat="1" ht="18.75" customHeight="1">
      <c r="A38" s="298" t="s">
        <v>38</v>
      </c>
      <c r="B38" s="299" t="s">
        <v>193</v>
      </c>
      <c r="C38" s="300">
        <f t="shared" si="13"/>
        <v>318</v>
      </c>
      <c r="D38" s="301"/>
      <c r="E38" s="293">
        <f t="shared" si="14"/>
        <v>318</v>
      </c>
      <c r="F38" s="302"/>
      <c r="G38" s="302"/>
      <c r="H38" s="302"/>
      <c r="I38" s="311"/>
      <c r="J38" s="311"/>
      <c r="K38" s="311"/>
      <c r="L38" s="302"/>
      <c r="M38" s="302"/>
      <c r="N38" s="302"/>
      <c r="O38" s="302"/>
      <c r="P38" s="302">
        <v>318</v>
      </c>
      <c r="Q38" s="302"/>
      <c r="R38" s="323">
        <f t="shared" si="12"/>
        <v>0</v>
      </c>
    </row>
    <row r="39" spans="1:18" s="259" customFormat="1" ht="32.25" customHeight="1">
      <c r="A39" s="298" t="s">
        <v>38</v>
      </c>
      <c r="B39" s="299" t="s">
        <v>194</v>
      </c>
      <c r="C39" s="281">
        <f t="shared" si="13"/>
        <v>93</v>
      </c>
      <c r="D39" s="301"/>
      <c r="E39" s="293">
        <f t="shared" si="14"/>
        <v>93</v>
      </c>
      <c r="F39" s="302"/>
      <c r="G39" s="302"/>
      <c r="H39" s="302"/>
      <c r="I39" s="311"/>
      <c r="J39" s="311"/>
      <c r="K39" s="311"/>
      <c r="L39" s="302"/>
      <c r="M39" s="302"/>
      <c r="N39" s="302"/>
      <c r="O39" s="302"/>
      <c r="P39" s="302">
        <v>93</v>
      </c>
      <c r="Q39" s="302"/>
      <c r="R39" s="323">
        <f t="shared" si="12"/>
        <v>0</v>
      </c>
    </row>
    <row r="40" spans="1:18" ht="20.100000000000001" customHeight="1">
      <c r="A40" s="296" t="s">
        <v>195</v>
      </c>
      <c r="B40" s="284" t="s">
        <v>196</v>
      </c>
      <c r="C40" s="281">
        <f t="shared" si="13"/>
        <v>43</v>
      </c>
      <c r="D40" s="282"/>
      <c r="E40" s="283">
        <f t="shared" si="14"/>
        <v>43</v>
      </c>
      <c r="F40" s="297"/>
      <c r="G40" s="297"/>
      <c r="H40" s="297"/>
      <c r="I40" s="309"/>
      <c r="J40" s="309"/>
      <c r="K40" s="309"/>
      <c r="L40" s="297"/>
      <c r="M40" s="297">
        <v>43</v>
      </c>
      <c r="N40" s="297"/>
      <c r="O40" s="297"/>
      <c r="P40" s="297"/>
      <c r="Q40" s="297"/>
      <c r="R40" s="319">
        <f t="shared" si="12"/>
        <v>0</v>
      </c>
    </row>
    <row r="41" spans="1:18" ht="20.100000000000001" customHeight="1">
      <c r="A41" s="296" t="s">
        <v>197</v>
      </c>
      <c r="B41" s="303" t="s">
        <v>198</v>
      </c>
      <c r="C41" s="281">
        <f t="shared" si="13"/>
        <v>204</v>
      </c>
      <c r="D41" s="282"/>
      <c r="E41" s="283">
        <f t="shared" si="14"/>
        <v>204</v>
      </c>
      <c r="F41" s="283"/>
      <c r="G41" s="283"/>
      <c r="H41" s="283"/>
      <c r="I41" s="309"/>
      <c r="J41" s="309"/>
      <c r="K41" s="309"/>
      <c r="L41" s="283"/>
      <c r="M41" s="283"/>
      <c r="N41" s="283">
        <v>204</v>
      </c>
      <c r="O41" s="283"/>
      <c r="P41" s="283"/>
      <c r="Q41" s="283"/>
      <c r="R41" s="319">
        <f t="shared" si="12"/>
        <v>0</v>
      </c>
    </row>
    <row r="42" spans="1:18" ht="20.100000000000001" customHeight="1">
      <c r="A42" s="296" t="s">
        <v>199</v>
      </c>
      <c r="B42" s="303" t="s">
        <v>200</v>
      </c>
      <c r="C42" s="281">
        <f t="shared" si="13"/>
        <v>117</v>
      </c>
      <c r="D42" s="282"/>
      <c r="E42" s="283">
        <f t="shared" si="14"/>
        <v>117</v>
      </c>
      <c r="F42" s="283"/>
      <c r="G42" s="283"/>
      <c r="H42" s="283"/>
      <c r="I42" s="309"/>
      <c r="J42" s="309"/>
      <c r="K42" s="309"/>
      <c r="L42" s="283"/>
      <c r="M42" s="283"/>
      <c r="N42" s="283">
        <v>117</v>
      </c>
      <c r="O42" s="283"/>
      <c r="P42" s="283"/>
      <c r="Q42" s="283"/>
      <c r="R42" s="319"/>
    </row>
    <row r="43" spans="1:18" ht="20.100000000000001" customHeight="1">
      <c r="A43" s="296" t="s">
        <v>201</v>
      </c>
      <c r="B43" s="303" t="s">
        <v>202</v>
      </c>
      <c r="C43" s="281">
        <f t="shared" si="13"/>
        <v>29</v>
      </c>
      <c r="D43" s="282"/>
      <c r="E43" s="283">
        <f t="shared" si="14"/>
        <v>29</v>
      </c>
      <c r="F43" s="283"/>
      <c r="G43" s="283"/>
      <c r="H43" s="283"/>
      <c r="I43" s="309"/>
      <c r="J43" s="309"/>
      <c r="K43" s="309"/>
      <c r="L43" s="283"/>
      <c r="M43" s="283"/>
      <c r="N43" s="283">
        <v>29</v>
      </c>
      <c r="O43" s="283"/>
      <c r="P43" s="283"/>
      <c r="Q43" s="283"/>
      <c r="R43" s="319"/>
    </row>
    <row r="44" spans="1:18" ht="20.100000000000001" customHeight="1">
      <c r="A44" s="296" t="s">
        <v>203</v>
      </c>
      <c r="B44" s="303" t="s">
        <v>204</v>
      </c>
      <c r="C44" s="281">
        <f t="shared" si="13"/>
        <v>85</v>
      </c>
      <c r="D44" s="282"/>
      <c r="E44" s="283">
        <f t="shared" si="14"/>
        <v>85</v>
      </c>
      <c r="F44" s="283"/>
      <c r="G44" s="283">
        <v>85</v>
      </c>
      <c r="H44" s="283"/>
      <c r="I44" s="309"/>
      <c r="J44" s="309"/>
      <c r="K44" s="309"/>
      <c r="L44" s="283"/>
      <c r="M44" s="283"/>
      <c r="N44" s="283"/>
      <c r="O44" s="283"/>
      <c r="P44" s="283"/>
      <c r="Q44" s="283"/>
      <c r="R44" s="319"/>
    </row>
    <row r="45" spans="1:18" ht="24.75" customHeight="1">
      <c r="A45" s="296" t="s">
        <v>205</v>
      </c>
      <c r="B45" s="284" t="s">
        <v>206</v>
      </c>
      <c r="C45" s="281">
        <f t="shared" si="13"/>
        <v>1050</v>
      </c>
      <c r="D45" s="282"/>
      <c r="E45" s="283">
        <f t="shared" si="14"/>
        <v>1050</v>
      </c>
      <c r="F45" s="283"/>
      <c r="G45" s="283"/>
      <c r="H45" s="283"/>
      <c r="I45" s="283"/>
      <c r="J45" s="283"/>
      <c r="K45" s="283"/>
      <c r="L45" s="283"/>
      <c r="M45" s="283"/>
      <c r="N45" s="283">
        <f>+SUM(N46:N47)</f>
        <v>1050</v>
      </c>
      <c r="O45" s="283"/>
      <c r="P45" s="283"/>
      <c r="Q45" s="283"/>
      <c r="R45" s="319">
        <f>+E45-SUM(F45:Q45)</f>
        <v>0</v>
      </c>
    </row>
    <row r="46" spans="1:18" s="259" customFormat="1" ht="37.5" customHeight="1">
      <c r="A46" s="298"/>
      <c r="B46" s="299" t="s">
        <v>207</v>
      </c>
      <c r="C46" s="300">
        <f t="shared" si="13"/>
        <v>850</v>
      </c>
      <c r="D46" s="301"/>
      <c r="E46" s="293">
        <f t="shared" si="14"/>
        <v>850</v>
      </c>
      <c r="F46" s="293"/>
      <c r="G46" s="293"/>
      <c r="H46" s="293"/>
      <c r="I46" s="293"/>
      <c r="J46" s="293"/>
      <c r="K46" s="293"/>
      <c r="L46" s="293"/>
      <c r="M46" s="293"/>
      <c r="N46" s="293">
        <v>850</v>
      </c>
      <c r="O46" s="293"/>
      <c r="P46" s="293"/>
      <c r="Q46" s="293"/>
      <c r="R46" s="323"/>
    </row>
    <row r="47" spans="1:18" s="259" customFormat="1" ht="33.75" customHeight="1">
      <c r="A47" s="298"/>
      <c r="B47" s="299" t="s">
        <v>208</v>
      </c>
      <c r="C47" s="300">
        <f t="shared" si="13"/>
        <v>200</v>
      </c>
      <c r="D47" s="301"/>
      <c r="E47" s="293">
        <f t="shared" si="14"/>
        <v>200</v>
      </c>
      <c r="F47" s="293"/>
      <c r="G47" s="293"/>
      <c r="H47" s="293"/>
      <c r="I47" s="293"/>
      <c r="J47" s="293"/>
      <c r="K47" s="293"/>
      <c r="L47" s="293"/>
      <c r="M47" s="293"/>
      <c r="N47" s="293">
        <v>200</v>
      </c>
      <c r="O47" s="293"/>
      <c r="P47" s="293"/>
      <c r="Q47" s="293"/>
      <c r="R47" s="323"/>
    </row>
    <row r="48" spans="1:18" ht="54" customHeight="1">
      <c r="A48" s="296" t="s">
        <v>210</v>
      </c>
      <c r="B48" s="284" t="s">
        <v>211</v>
      </c>
      <c r="C48" s="281">
        <f t="shared" si="13"/>
        <v>294</v>
      </c>
      <c r="D48" s="282"/>
      <c r="E48" s="283">
        <f t="shared" si="14"/>
        <v>294</v>
      </c>
      <c r="F48" s="283"/>
      <c r="G48" s="283"/>
      <c r="H48" s="283"/>
      <c r="I48" s="283"/>
      <c r="J48" s="283"/>
      <c r="K48" s="283"/>
      <c r="L48" s="283"/>
      <c r="M48" s="283"/>
      <c r="N48" s="283">
        <v>294</v>
      </c>
      <c r="O48" s="283"/>
      <c r="P48" s="283"/>
      <c r="Q48" s="283"/>
      <c r="R48" s="319">
        <f>+E48-SUM(F48:Q48)</f>
        <v>0</v>
      </c>
    </row>
    <row r="49" spans="1:19" s="257" customFormat="1" ht="33.75" customHeight="1">
      <c r="A49" s="296" t="s">
        <v>212</v>
      </c>
      <c r="B49" s="284" t="s">
        <v>213</v>
      </c>
      <c r="C49" s="281">
        <f t="shared" si="13"/>
        <v>7512</v>
      </c>
      <c r="D49" s="304"/>
      <c r="E49" s="283">
        <f t="shared" si="14"/>
        <v>7512</v>
      </c>
      <c r="F49" s="305"/>
      <c r="G49" s="305">
        <v>86</v>
      </c>
      <c r="H49" s="305"/>
      <c r="I49" s="305">
        <v>14</v>
      </c>
      <c r="J49" s="305">
        <v>93</v>
      </c>
      <c r="K49" s="312"/>
      <c r="L49" s="305">
        <v>84</v>
      </c>
      <c r="M49" s="305">
        <f>66+35</f>
        <v>101</v>
      </c>
      <c r="N49" s="305">
        <v>6193</v>
      </c>
      <c r="O49" s="283">
        <v>563</v>
      </c>
      <c r="P49" s="283">
        <v>378</v>
      </c>
      <c r="Q49" s="305"/>
      <c r="R49" s="319">
        <f>+E49-SUM(F49:Q49)</f>
        <v>0</v>
      </c>
    </row>
    <row r="50" spans="1:19" s="257" customFormat="1" ht="20.25" customHeight="1">
      <c r="A50" s="296" t="s">
        <v>214</v>
      </c>
      <c r="B50" s="284" t="s">
        <v>215</v>
      </c>
      <c r="C50" s="281"/>
      <c r="D50" s="304"/>
      <c r="E50" s="283">
        <f t="shared" si="14"/>
        <v>48</v>
      </c>
      <c r="F50" s="305"/>
      <c r="G50" s="305"/>
      <c r="H50" s="305"/>
      <c r="I50" s="305"/>
      <c r="J50" s="305"/>
      <c r="K50" s="312"/>
      <c r="L50" s="305"/>
      <c r="M50" s="305"/>
      <c r="N50" s="305">
        <v>48</v>
      </c>
      <c r="O50" s="283"/>
      <c r="P50" s="283"/>
      <c r="Q50" s="305"/>
      <c r="R50" s="319"/>
    </row>
    <row r="51" spans="1:19" s="257" customFormat="1" ht="39" customHeight="1">
      <c r="A51" s="296" t="s">
        <v>216</v>
      </c>
      <c r="B51" s="284" t="s">
        <v>217</v>
      </c>
      <c r="C51" s="281"/>
      <c r="D51" s="304"/>
      <c r="E51" s="283">
        <f t="shared" si="14"/>
        <v>80</v>
      </c>
      <c r="F51" s="305"/>
      <c r="G51" s="305"/>
      <c r="H51" s="305"/>
      <c r="I51" s="305"/>
      <c r="J51" s="305"/>
      <c r="K51" s="312"/>
      <c r="L51" s="305"/>
      <c r="M51" s="305"/>
      <c r="N51" s="305">
        <v>80</v>
      </c>
      <c r="O51" s="283"/>
      <c r="P51" s="283"/>
      <c r="Q51" s="305"/>
      <c r="R51" s="319"/>
    </row>
    <row r="52" spans="1:19" s="257" customFormat="1" ht="24" customHeight="1">
      <c r="A52" s="296" t="s">
        <v>218</v>
      </c>
      <c r="B52" s="284" t="s">
        <v>169</v>
      </c>
      <c r="C52" s="281"/>
      <c r="D52" s="304"/>
      <c r="E52" s="283">
        <f t="shared" si="14"/>
        <v>110</v>
      </c>
      <c r="F52" s="305"/>
      <c r="G52" s="305"/>
      <c r="H52" s="305"/>
      <c r="I52" s="305"/>
      <c r="J52" s="305"/>
      <c r="K52" s="312"/>
      <c r="L52" s="305"/>
      <c r="M52" s="305"/>
      <c r="N52" s="305"/>
      <c r="O52" s="283"/>
      <c r="P52" s="283"/>
      <c r="Q52" s="305">
        <v>110</v>
      </c>
      <c r="R52" s="319"/>
    </row>
    <row r="53" spans="1:19" s="255" customFormat="1" ht="20.25" customHeight="1">
      <c r="A53" s="275">
        <v>4</v>
      </c>
      <c r="B53" s="294" t="s">
        <v>219</v>
      </c>
      <c r="C53" s="285">
        <f>SUM(C54:C76)</f>
        <v>3949</v>
      </c>
      <c r="D53" s="285">
        <f>SUM(D54:D76)</f>
        <v>0</v>
      </c>
      <c r="E53" s="278">
        <f t="shared" ref="E53:H53" si="15">+SUM(E54:E55)+SUM(E60:E61)+SUM(E67:E70)+SUM(E76:E77)</f>
        <v>4059</v>
      </c>
      <c r="F53" s="278">
        <f t="shared" si="15"/>
        <v>78</v>
      </c>
      <c r="G53" s="278">
        <f t="shared" si="15"/>
        <v>337</v>
      </c>
      <c r="H53" s="278">
        <f t="shared" si="15"/>
        <v>30</v>
      </c>
      <c r="I53" s="278">
        <f t="shared" ref="I53:Q53" si="16">+SUM(I54:I55)+I61+SUM(I67:I70)+SUM(I76:I77)</f>
        <v>45</v>
      </c>
      <c r="J53" s="278">
        <f t="shared" si="16"/>
        <v>0</v>
      </c>
      <c r="K53" s="278">
        <f t="shared" si="16"/>
        <v>0</v>
      </c>
      <c r="L53" s="278">
        <f t="shared" si="16"/>
        <v>2419</v>
      </c>
      <c r="M53" s="278">
        <f t="shared" si="16"/>
        <v>0</v>
      </c>
      <c r="N53" s="278">
        <f>+SUM(N54:N55)+N61+SUM(N67:N70)+SUM(N76:N77)</f>
        <v>1100</v>
      </c>
      <c r="O53" s="278">
        <f t="shared" si="16"/>
        <v>0</v>
      </c>
      <c r="P53" s="278">
        <f t="shared" si="16"/>
        <v>0</v>
      </c>
      <c r="Q53" s="278">
        <f t="shared" si="16"/>
        <v>50</v>
      </c>
      <c r="R53" s="319">
        <f>+E53-SUM(F53:Q53)</f>
        <v>0</v>
      </c>
      <c r="S53" s="255" t="s">
        <v>220</v>
      </c>
    </row>
    <row r="54" spans="1:19" ht="34.5" customHeight="1">
      <c r="A54" s="279" t="s">
        <v>221</v>
      </c>
      <c r="B54" s="284" t="s">
        <v>159</v>
      </c>
      <c r="C54" s="281">
        <f t="shared" ref="C54:C76" si="17">+D54+E54</f>
        <v>431</v>
      </c>
      <c r="D54" s="306"/>
      <c r="E54" s="283">
        <f>SUM(F54:Q54)</f>
        <v>431</v>
      </c>
      <c r="F54" s="283"/>
      <c r="G54" s="283"/>
      <c r="H54" s="283"/>
      <c r="I54" s="283"/>
      <c r="J54" s="283"/>
      <c r="K54" s="283"/>
      <c r="L54" s="283"/>
      <c r="M54" s="283"/>
      <c r="N54" s="283">
        <v>431</v>
      </c>
      <c r="O54" s="283"/>
      <c r="P54" s="283"/>
      <c r="Q54" s="283"/>
      <c r="R54" s="319">
        <f>+E54-SUM(F54:Q54)</f>
        <v>0</v>
      </c>
    </row>
    <row r="55" spans="1:19" ht="27.75" customHeight="1">
      <c r="A55" s="279" t="s">
        <v>222</v>
      </c>
      <c r="B55" s="284" t="s">
        <v>223</v>
      </c>
      <c r="C55" s="281">
        <f t="shared" si="17"/>
        <v>414</v>
      </c>
      <c r="D55" s="283"/>
      <c r="E55" s="283">
        <f t="shared" ref="E55:Q55" si="18">+SUM(E56:E59)</f>
        <v>414</v>
      </c>
      <c r="F55" s="283">
        <f t="shared" si="18"/>
        <v>0</v>
      </c>
      <c r="G55" s="283">
        <f t="shared" si="18"/>
        <v>0</v>
      </c>
      <c r="H55" s="283"/>
      <c r="I55" s="283">
        <f t="shared" si="18"/>
        <v>45</v>
      </c>
      <c r="J55" s="283">
        <f t="shared" si="18"/>
        <v>0</v>
      </c>
      <c r="K55" s="283">
        <f t="shared" si="18"/>
        <v>0</v>
      </c>
      <c r="L55" s="283">
        <f t="shared" si="18"/>
        <v>0</v>
      </c>
      <c r="M55" s="283">
        <f t="shared" si="18"/>
        <v>0</v>
      </c>
      <c r="N55" s="283">
        <f t="shared" si="18"/>
        <v>369</v>
      </c>
      <c r="O55" s="283">
        <f t="shared" si="18"/>
        <v>0</v>
      </c>
      <c r="P55" s="283">
        <f t="shared" si="18"/>
        <v>0</v>
      </c>
      <c r="Q55" s="283">
        <f t="shared" si="18"/>
        <v>0</v>
      </c>
      <c r="R55" s="319">
        <f>+E55-SUM(F55:Q55)</f>
        <v>0</v>
      </c>
    </row>
    <row r="56" spans="1:19" s="259" customFormat="1" ht="33" customHeight="1">
      <c r="A56" s="307"/>
      <c r="B56" s="299" t="s">
        <v>224</v>
      </c>
      <c r="C56" s="300"/>
      <c r="D56" s="293"/>
      <c r="E56" s="293">
        <f t="shared" ref="E56:E77" si="19">SUM(F56:Q56)</f>
        <v>159</v>
      </c>
      <c r="F56" s="293"/>
      <c r="G56" s="293"/>
      <c r="H56" s="293"/>
      <c r="I56" s="293"/>
      <c r="J56" s="293"/>
      <c r="K56" s="293"/>
      <c r="L56" s="293"/>
      <c r="M56" s="293"/>
      <c r="N56" s="293">
        <v>159</v>
      </c>
      <c r="O56" s="293"/>
      <c r="P56" s="293"/>
      <c r="Q56" s="293"/>
      <c r="R56" s="323"/>
    </row>
    <row r="57" spans="1:19" s="259" customFormat="1" ht="45" customHeight="1">
      <c r="A57" s="307"/>
      <c r="B57" s="299" t="s">
        <v>225</v>
      </c>
      <c r="C57" s="300"/>
      <c r="D57" s="293"/>
      <c r="E57" s="293">
        <f t="shared" si="19"/>
        <v>60</v>
      </c>
      <c r="F57" s="293"/>
      <c r="G57" s="293"/>
      <c r="H57" s="293"/>
      <c r="I57" s="293"/>
      <c r="J57" s="293"/>
      <c r="K57" s="293"/>
      <c r="L57" s="293"/>
      <c r="M57" s="293"/>
      <c r="N57" s="293">
        <v>60</v>
      </c>
      <c r="O57" s="293"/>
      <c r="P57" s="293"/>
      <c r="Q57" s="293"/>
      <c r="R57" s="323"/>
    </row>
    <row r="58" spans="1:19" s="259" customFormat="1" ht="36" customHeight="1">
      <c r="A58" s="307"/>
      <c r="B58" s="299" t="s">
        <v>226</v>
      </c>
      <c r="C58" s="300"/>
      <c r="D58" s="293"/>
      <c r="E58" s="293">
        <f t="shared" si="19"/>
        <v>150</v>
      </c>
      <c r="F58" s="293"/>
      <c r="G58" s="293"/>
      <c r="H58" s="293"/>
      <c r="I58" s="293"/>
      <c r="J58" s="293"/>
      <c r="K58" s="293"/>
      <c r="L58" s="293"/>
      <c r="M58" s="293"/>
      <c r="N58" s="293">
        <f>100+10+20+20</f>
        <v>150</v>
      </c>
      <c r="O58" s="293"/>
      <c r="P58" s="293"/>
      <c r="Q58" s="293"/>
      <c r="R58" s="323"/>
    </row>
    <row r="59" spans="1:19" s="259" customFormat="1" ht="24.75" customHeight="1">
      <c r="A59" s="307"/>
      <c r="B59" s="299" t="s">
        <v>227</v>
      </c>
      <c r="C59" s="300"/>
      <c r="D59" s="293"/>
      <c r="E59" s="293">
        <f t="shared" si="19"/>
        <v>45</v>
      </c>
      <c r="F59" s="293"/>
      <c r="G59" s="293"/>
      <c r="H59" s="293"/>
      <c r="I59" s="293">
        <v>45</v>
      </c>
      <c r="J59" s="293"/>
      <c r="K59" s="293"/>
      <c r="L59" s="293"/>
      <c r="M59" s="293"/>
      <c r="N59" s="293"/>
      <c r="O59" s="293"/>
      <c r="P59" s="293"/>
      <c r="Q59" s="293"/>
      <c r="R59" s="323"/>
    </row>
    <row r="60" spans="1:19" s="259" customFormat="1" ht="39.6">
      <c r="A60" s="279" t="s">
        <v>228</v>
      </c>
      <c r="B60" s="284" t="s">
        <v>229</v>
      </c>
      <c r="C60" s="281"/>
      <c r="D60" s="283"/>
      <c r="E60" s="283">
        <f t="shared" si="19"/>
        <v>30</v>
      </c>
      <c r="F60" s="283"/>
      <c r="G60" s="283"/>
      <c r="H60" s="283">
        <v>30</v>
      </c>
      <c r="I60" s="283"/>
      <c r="J60" s="283"/>
      <c r="K60" s="283"/>
      <c r="L60" s="283"/>
      <c r="M60" s="283"/>
      <c r="N60" s="283"/>
      <c r="O60" s="283"/>
      <c r="P60" s="283"/>
      <c r="Q60" s="283"/>
      <c r="R60" s="323"/>
    </row>
    <row r="61" spans="1:19" ht="20.25" customHeight="1">
      <c r="A61" s="279" t="s">
        <v>228</v>
      </c>
      <c r="B61" s="280" t="s">
        <v>230</v>
      </c>
      <c r="C61" s="281">
        <f t="shared" si="17"/>
        <v>98</v>
      </c>
      <c r="D61" s="283"/>
      <c r="E61" s="283">
        <f t="shared" si="19"/>
        <v>98</v>
      </c>
      <c r="F61" s="283">
        <f>+SUM(F62:F63)</f>
        <v>78</v>
      </c>
      <c r="G61" s="283">
        <f t="shared" ref="G61:N61" si="20">+SUM(G62:G66)</f>
        <v>0</v>
      </c>
      <c r="H61" s="283"/>
      <c r="I61" s="283">
        <f t="shared" si="20"/>
        <v>0</v>
      </c>
      <c r="J61" s="283">
        <f t="shared" si="20"/>
        <v>0</v>
      </c>
      <c r="K61" s="283">
        <f t="shared" si="20"/>
        <v>0</v>
      </c>
      <c r="L61" s="283">
        <f t="shared" si="20"/>
        <v>0</v>
      </c>
      <c r="M61" s="283">
        <f t="shared" si="20"/>
        <v>0</v>
      </c>
      <c r="N61" s="283">
        <f t="shared" si="20"/>
        <v>20</v>
      </c>
      <c r="O61" s="283">
        <f t="shared" ref="O61:Q61" si="21">+SUM(O62:O66)</f>
        <v>0</v>
      </c>
      <c r="P61" s="283">
        <f t="shared" si="21"/>
        <v>0</v>
      </c>
      <c r="Q61" s="283">
        <f t="shared" si="21"/>
        <v>0</v>
      </c>
      <c r="R61" s="319">
        <f>+E61-SUM(F61:Q61)</f>
        <v>0</v>
      </c>
    </row>
    <row r="62" spans="1:19" ht="20.25" customHeight="1">
      <c r="A62" s="279" t="s">
        <v>38</v>
      </c>
      <c r="B62" s="280" t="s">
        <v>231</v>
      </c>
      <c r="C62" s="281"/>
      <c r="D62" s="283"/>
      <c r="E62" s="283">
        <f t="shared" si="19"/>
        <v>20</v>
      </c>
      <c r="F62" s="283"/>
      <c r="G62" s="283"/>
      <c r="H62" s="283"/>
      <c r="I62" s="283"/>
      <c r="J62" s="283"/>
      <c r="K62" s="283"/>
      <c r="L62" s="283"/>
      <c r="M62" s="283"/>
      <c r="N62" s="283">
        <v>20</v>
      </c>
      <c r="O62" s="283"/>
      <c r="P62" s="283"/>
      <c r="Q62" s="283"/>
      <c r="R62" s="319"/>
    </row>
    <row r="63" spans="1:19" ht="20.25" customHeight="1">
      <c r="A63" s="279" t="s">
        <v>38</v>
      </c>
      <c r="B63" s="280" t="s">
        <v>232</v>
      </c>
      <c r="C63" s="281"/>
      <c r="D63" s="283"/>
      <c r="E63" s="283">
        <f t="shared" si="19"/>
        <v>78</v>
      </c>
      <c r="F63" s="283">
        <f>+SUM(F64:F66)</f>
        <v>78</v>
      </c>
      <c r="G63" s="283"/>
      <c r="H63" s="283"/>
      <c r="I63" s="283"/>
      <c r="J63" s="283"/>
      <c r="K63" s="283"/>
      <c r="L63" s="283"/>
      <c r="M63" s="283"/>
      <c r="N63" s="283"/>
      <c r="O63" s="283"/>
      <c r="P63" s="283"/>
      <c r="Q63" s="283"/>
      <c r="R63" s="319"/>
    </row>
    <row r="64" spans="1:19" s="259" customFormat="1" ht="20.25" customHeight="1">
      <c r="A64" s="307"/>
      <c r="B64" s="324" t="s">
        <v>233</v>
      </c>
      <c r="C64" s="300"/>
      <c r="D64" s="293"/>
      <c r="E64" s="293">
        <f t="shared" si="19"/>
        <v>27</v>
      </c>
      <c r="F64" s="293">
        <v>27</v>
      </c>
      <c r="G64" s="293"/>
      <c r="H64" s="293"/>
      <c r="I64" s="293"/>
      <c r="J64" s="293"/>
      <c r="K64" s="293"/>
      <c r="L64" s="293"/>
      <c r="M64" s="293"/>
      <c r="N64" s="293"/>
      <c r="O64" s="293"/>
      <c r="P64" s="293"/>
      <c r="Q64" s="293"/>
      <c r="R64" s="323"/>
    </row>
    <row r="65" spans="1:18" s="259" customFormat="1" ht="20.25" customHeight="1">
      <c r="A65" s="307"/>
      <c r="B65" s="324" t="s">
        <v>234</v>
      </c>
      <c r="C65" s="300"/>
      <c r="D65" s="293"/>
      <c r="E65" s="293">
        <f t="shared" si="19"/>
        <v>19</v>
      </c>
      <c r="F65" s="293">
        <v>19</v>
      </c>
      <c r="G65" s="293"/>
      <c r="H65" s="293"/>
      <c r="I65" s="293"/>
      <c r="J65" s="293"/>
      <c r="K65" s="293"/>
      <c r="L65" s="293"/>
      <c r="M65" s="293"/>
      <c r="N65" s="293"/>
      <c r="O65" s="293"/>
      <c r="P65" s="293"/>
      <c r="Q65" s="293"/>
      <c r="R65" s="323"/>
    </row>
    <row r="66" spans="1:18" s="259" customFormat="1" ht="20.25" customHeight="1">
      <c r="A66" s="307"/>
      <c r="B66" s="324" t="s">
        <v>235</v>
      </c>
      <c r="C66" s="300"/>
      <c r="D66" s="293"/>
      <c r="E66" s="293">
        <f t="shared" si="19"/>
        <v>32</v>
      </c>
      <c r="F66" s="293">
        <v>32</v>
      </c>
      <c r="G66" s="293"/>
      <c r="H66" s="293"/>
      <c r="I66" s="293"/>
      <c r="J66" s="293"/>
      <c r="K66" s="293"/>
      <c r="L66" s="293"/>
      <c r="M66" s="293"/>
      <c r="N66" s="293"/>
      <c r="O66" s="293"/>
      <c r="P66" s="293"/>
      <c r="Q66" s="293"/>
      <c r="R66" s="323"/>
    </row>
    <row r="67" spans="1:18" ht="21.75" customHeight="1">
      <c r="A67" s="279" t="s">
        <v>236</v>
      </c>
      <c r="B67" s="280" t="s">
        <v>237</v>
      </c>
      <c r="C67" s="281">
        <f t="shared" si="17"/>
        <v>84</v>
      </c>
      <c r="D67" s="283"/>
      <c r="E67" s="283">
        <f t="shared" si="19"/>
        <v>84</v>
      </c>
      <c r="F67" s="283"/>
      <c r="G67" s="283"/>
      <c r="H67" s="283"/>
      <c r="I67" s="283"/>
      <c r="J67" s="283"/>
      <c r="K67" s="283"/>
      <c r="L67" s="283">
        <v>84</v>
      </c>
      <c r="M67" s="283"/>
      <c r="N67" s="283"/>
      <c r="O67" s="283"/>
      <c r="P67" s="283"/>
      <c r="Q67" s="283"/>
      <c r="R67" s="319">
        <f>+E67-SUM(F67:Q67)</f>
        <v>0</v>
      </c>
    </row>
    <row r="68" spans="1:18" ht="17.25" customHeight="1">
      <c r="A68" s="279" t="s">
        <v>238</v>
      </c>
      <c r="B68" s="325" t="s">
        <v>239</v>
      </c>
      <c r="C68" s="281">
        <f t="shared" si="17"/>
        <v>100</v>
      </c>
      <c r="D68" s="326"/>
      <c r="E68" s="283">
        <f t="shared" si="19"/>
        <v>100</v>
      </c>
      <c r="F68" s="283"/>
      <c r="G68" s="283"/>
      <c r="H68" s="283"/>
      <c r="I68" s="283"/>
      <c r="J68" s="283"/>
      <c r="K68" s="283"/>
      <c r="L68" s="283"/>
      <c r="M68" s="283"/>
      <c r="N68" s="283">
        <v>100</v>
      </c>
      <c r="O68" s="283"/>
      <c r="P68" s="283"/>
      <c r="Q68" s="283"/>
      <c r="R68" s="319">
        <f>+E68-SUM(F68:Q68)</f>
        <v>0</v>
      </c>
    </row>
    <row r="69" spans="1:18" ht="17.25" customHeight="1">
      <c r="A69" s="279" t="s">
        <v>240</v>
      </c>
      <c r="B69" s="325" t="s">
        <v>241</v>
      </c>
      <c r="C69" s="281"/>
      <c r="D69" s="326"/>
      <c r="E69" s="283">
        <f t="shared" si="19"/>
        <v>30</v>
      </c>
      <c r="F69" s="283"/>
      <c r="G69" s="283"/>
      <c r="H69" s="283"/>
      <c r="I69" s="283"/>
      <c r="J69" s="283"/>
      <c r="K69" s="283"/>
      <c r="L69" s="283"/>
      <c r="M69" s="283"/>
      <c r="N69" s="283">
        <v>30</v>
      </c>
      <c r="O69" s="283"/>
      <c r="P69" s="283"/>
      <c r="Q69" s="283"/>
      <c r="R69" s="319"/>
    </row>
    <row r="70" spans="1:18" ht="20.25" customHeight="1">
      <c r="A70" s="279" t="s">
        <v>242</v>
      </c>
      <c r="B70" s="280" t="s">
        <v>243</v>
      </c>
      <c r="C70" s="281">
        <f t="shared" si="17"/>
        <v>2485</v>
      </c>
      <c r="D70" s="326"/>
      <c r="E70" s="283">
        <f t="shared" si="19"/>
        <v>2485</v>
      </c>
      <c r="F70" s="283">
        <f t="shared" ref="F70:K70" si="22">+SUM(F71:F73)</f>
        <v>0</v>
      </c>
      <c r="G70" s="283">
        <f t="shared" si="22"/>
        <v>0</v>
      </c>
      <c r="H70" s="283"/>
      <c r="I70" s="283">
        <f t="shared" si="22"/>
        <v>0</v>
      </c>
      <c r="J70" s="283">
        <f t="shared" si="22"/>
        <v>0</v>
      </c>
      <c r="K70" s="283">
        <f t="shared" si="22"/>
        <v>0</v>
      </c>
      <c r="L70" s="283">
        <f>+SUM(L71:L75)</f>
        <v>2335</v>
      </c>
      <c r="M70" s="283">
        <f t="shared" ref="M70:Q70" si="23">+SUM(M71:M74)</f>
        <v>0</v>
      </c>
      <c r="N70" s="283">
        <f t="shared" si="23"/>
        <v>150</v>
      </c>
      <c r="O70" s="283">
        <f t="shared" si="23"/>
        <v>0</v>
      </c>
      <c r="P70" s="283">
        <f t="shared" si="23"/>
        <v>0</v>
      </c>
      <c r="Q70" s="283">
        <f t="shared" si="23"/>
        <v>0</v>
      </c>
      <c r="R70" s="319">
        <f>+E70-SUM(F70:Q70)</f>
        <v>0</v>
      </c>
    </row>
    <row r="71" spans="1:18" s="259" customFormat="1" ht="23.25" customHeight="1">
      <c r="A71" s="307"/>
      <c r="B71" s="324" t="s">
        <v>244</v>
      </c>
      <c r="C71" s="300"/>
      <c r="D71" s="327"/>
      <c r="E71" s="293">
        <f t="shared" si="19"/>
        <v>2088</v>
      </c>
      <c r="F71" s="293"/>
      <c r="G71" s="293"/>
      <c r="H71" s="293"/>
      <c r="I71" s="293"/>
      <c r="J71" s="293"/>
      <c r="K71" s="293"/>
      <c r="L71" s="293">
        <v>2088</v>
      </c>
      <c r="M71" s="293"/>
      <c r="N71" s="293"/>
      <c r="O71" s="293"/>
      <c r="P71" s="293"/>
      <c r="Q71" s="293"/>
      <c r="R71" s="323"/>
    </row>
    <row r="72" spans="1:18" s="259" customFormat="1" ht="23.25" customHeight="1">
      <c r="A72" s="307"/>
      <c r="B72" s="324" t="s">
        <v>245</v>
      </c>
      <c r="C72" s="300"/>
      <c r="D72" s="327"/>
      <c r="E72" s="293">
        <f t="shared" si="19"/>
        <v>150</v>
      </c>
      <c r="F72" s="293"/>
      <c r="G72" s="293"/>
      <c r="H72" s="293"/>
      <c r="I72" s="293"/>
      <c r="J72" s="293"/>
      <c r="K72" s="293"/>
      <c r="L72" s="293"/>
      <c r="M72" s="293"/>
      <c r="N72" s="293">
        <v>150</v>
      </c>
      <c r="O72" s="293"/>
      <c r="P72" s="293"/>
      <c r="Q72" s="293"/>
      <c r="R72" s="323"/>
    </row>
    <row r="73" spans="1:18" s="259" customFormat="1" ht="56.25" customHeight="1">
      <c r="A73" s="307"/>
      <c r="B73" s="292" t="s">
        <v>246</v>
      </c>
      <c r="C73" s="300"/>
      <c r="D73" s="327"/>
      <c r="E73" s="293">
        <f t="shared" si="19"/>
        <v>150</v>
      </c>
      <c r="F73" s="293"/>
      <c r="G73" s="293"/>
      <c r="H73" s="293"/>
      <c r="I73" s="293"/>
      <c r="J73" s="293"/>
      <c r="K73" s="293"/>
      <c r="L73" s="293">
        <v>150</v>
      </c>
      <c r="M73" s="293"/>
      <c r="N73" s="293"/>
      <c r="O73" s="293"/>
      <c r="P73" s="293"/>
      <c r="Q73" s="293"/>
      <c r="R73" s="323"/>
    </row>
    <row r="74" spans="1:18" s="259" customFormat="1" ht="60.75" customHeight="1">
      <c r="A74" s="307"/>
      <c r="B74" s="292" t="s">
        <v>247</v>
      </c>
      <c r="C74" s="300"/>
      <c r="D74" s="327"/>
      <c r="E74" s="293">
        <f t="shared" si="19"/>
        <v>75</v>
      </c>
      <c r="F74" s="293"/>
      <c r="G74" s="293"/>
      <c r="H74" s="293"/>
      <c r="I74" s="293"/>
      <c r="J74" s="293"/>
      <c r="K74" s="293"/>
      <c r="L74" s="293">
        <v>75</v>
      </c>
      <c r="M74" s="293"/>
      <c r="N74" s="293"/>
      <c r="O74" s="293"/>
      <c r="P74" s="293"/>
      <c r="Q74" s="293"/>
      <c r="R74" s="323"/>
    </row>
    <row r="75" spans="1:18" s="259" customFormat="1" ht="35.25" customHeight="1">
      <c r="A75" s="307"/>
      <c r="B75" s="292" t="s">
        <v>248</v>
      </c>
      <c r="C75" s="300"/>
      <c r="D75" s="327"/>
      <c r="E75" s="293">
        <f t="shared" si="19"/>
        <v>22</v>
      </c>
      <c r="F75" s="293"/>
      <c r="G75" s="293"/>
      <c r="H75" s="293"/>
      <c r="I75" s="293"/>
      <c r="J75" s="293"/>
      <c r="K75" s="293"/>
      <c r="L75" s="293">
        <v>22</v>
      </c>
      <c r="M75" s="293"/>
      <c r="N75" s="293"/>
      <c r="O75" s="293"/>
      <c r="P75" s="293"/>
      <c r="Q75" s="293"/>
      <c r="R75" s="323"/>
    </row>
    <row r="76" spans="1:18" ht="20.25" customHeight="1">
      <c r="A76" s="279" t="s">
        <v>249</v>
      </c>
      <c r="B76" s="280" t="s">
        <v>250</v>
      </c>
      <c r="C76" s="281">
        <f t="shared" si="17"/>
        <v>337</v>
      </c>
      <c r="D76" s="326"/>
      <c r="E76" s="283">
        <f t="shared" si="19"/>
        <v>337</v>
      </c>
      <c r="F76" s="283"/>
      <c r="G76" s="283">
        <v>337</v>
      </c>
      <c r="H76" s="283"/>
      <c r="I76" s="283"/>
      <c r="J76" s="283"/>
      <c r="K76" s="283"/>
      <c r="L76" s="283"/>
      <c r="M76" s="283"/>
      <c r="N76" s="283"/>
      <c r="O76" s="283"/>
      <c r="P76" s="283"/>
      <c r="Q76" s="283"/>
      <c r="R76" s="319">
        <f>+E76-SUM(F76:Q76)</f>
        <v>0</v>
      </c>
    </row>
    <row r="77" spans="1:18" ht="20.25" customHeight="1">
      <c r="A77" s="279" t="s">
        <v>251</v>
      </c>
      <c r="B77" s="280" t="s">
        <v>169</v>
      </c>
      <c r="C77" s="281"/>
      <c r="D77" s="326"/>
      <c r="E77" s="283">
        <f t="shared" si="19"/>
        <v>50</v>
      </c>
      <c r="F77" s="283"/>
      <c r="G77" s="283"/>
      <c r="H77" s="283"/>
      <c r="I77" s="283"/>
      <c r="J77" s="283"/>
      <c r="K77" s="283"/>
      <c r="L77" s="283"/>
      <c r="M77" s="283"/>
      <c r="N77" s="283"/>
      <c r="O77" s="283"/>
      <c r="P77" s="283"/>
      <c r="Q77" s="283">
        <v>50</v>
      </c>
      <c r="R77" s="319"/>
    </row>
    <row r="78" spans="1:18" s="255" customFormat="1" ht="19.5" customHeight="1">
      <c r="A78" s="275">
        <v>5</v>
      </c>
      <c r="B78" s="276" t="s">
        <v>252</v>
      </c>
      <c r="C78" s="328" t="e">
        <f>+SUM(C79:C84)+SUM(C92:C94)</f>
        <v>#REF!</v>
      </c>
      <c r="D78" s="328" t="e">
        <f>+SUM(D79:D84)+SUM(D92:D94)</f>
        <v>#REF!</v>
      </c>
      <c r="E78" s="329">
        <f>+E79+E82+E84+E92+E94+E80+E98+E99+E97</f>
        <v>3915.5</v>
      </c>
      <c r="F78" s="329">
        <f t="shared" ref="F78:Q78" si="24">+F79+F82+F84+F92+F94+F80+F98+F99+F97</f>
        <v>0</v>
      </c>
      <c r="G78" s="329">
        <f t="shared" si="24"/>
        <v>0</v>
      </c>
      <c r="H78" s="329">
        <f t="shared" si="24"/>
        <v>0</v>
      </c>
      <c r="I78" s="329">
        <f t="shared" si="24"/>
        <v>0</v>
      </c>
      <c r="J78" s="329">
        <f t="shared" si="24"/>
        <v>0</v>
      </c>
      <c r="K78" s="329">
        <f t="shared" si="24"/>
        <v>0</v>
      </c>
      <c r="L78" s="329">
        <f t="shared" si="24"/>
        <v>180</v>
      </c>
      <c r="M78" s="329">
        <f t="shared" si="24"/>
        <v>2644.5</v>
      </c>
      <c r="N78" s="329">
        <f>+N79+N82+N84+N92+N94+N80+N98+N99+N97</f>
        <v>1016</v>
      </c>
      <c r="O78" s="329">
        <f t="shared" si="24"/>
        <v>0</v>
      </c>
      <c r="P78" s="329">
        <f t="shared" si="24"/>
        <v>0</v>
      </c>
      <c r="Q78" s="329">
        <f t="shared" si="24"/>
        <v>75</v>
      </c>
      <c r="R78" s="319">
        <f>+E78-SUM(F78:Q78)</f>
        <v>0</v>
      </c>
    </row>
    <row r="79" spans="1:18" ht="36" customHeight="1">
      <c r="A79" s="279" t="s">
        <v>253</v>
      </c>
      <c r="B79" s="284" t="s">
        <v>159</v>
      </c>
      <c r="C79" s="281">
        <f t="shared" ref="C79:C96" si="25">+D79+E79</f>
        <v>766</v>
      </c>
      <c r="D79" s="330"/>
      <c r="E79" s="283">
        <f t="shared" ref="E79:E99" si="26">SUM(F79:Q79)</f>
        <v>766</v>
      </c>
      <c r="F79" s="297"/>
      <c r="G79" s="297"/>
      <c r="H79" s="297"/>
      <c r="I79" s="297"/>
      <c r="J79" s="297"/>
      <c r="K79" s="297"/>
      <c r="L79" s="297"/>
      <c r="M79" s="297">
        <v>56</v>
      </c>
      <c r="N79" s="297">
        <v>710</v>
      </c>
      <c r="O79" s="297"/>
      <c r="P79" s="297"/>
      <c r="Q79" s="297"/>
      <c r="R79" s="319">
        <f>+E79-SUM(F79:Q79)</f>
        <v>0</v>
      </c>
    </row>
    <row r="80" spans="1:18" ht="36" customHeight="1">
      <c r="A80" s="279" t="s">
        <v>254</v>
      </c>
      <c r="B80" s="284" t="s">
        <v>255</v>
      </c>
      <c r="C80" s="281"/>
      <c r="D80" s="330"/>
      <c r="E80" s="283">
        <f t="shared" si="26"/>
        <v>120</v>
      </c>
      <c r="F80" s="297"/>
      <c r="G80" s="297"/>
      <c r="H80" s="297"/>
      <c r="I80" s="297"/>
      <c r="J80" s="297"/>
      <c r="K80" s="297"/>
      <c r="L80" s="297"/>
      <c r="M80" s="297"/>
      <c r="N80" s="297">
        <v>120</v>
      </c>
      <c r="O80" s="297"/>
      <c r="P80" s="297"/>
      <c r="Q80" s="297"/>
      <c r="R80" s="319"/>
    </row>
    <row r="81" spans="1:18" s="259" customFormat="1" ht="36" customHeight="1">
      <c r="A81" s="307"/>
      <c r="B81" s="299" t="s">
        <v>256</v>
      </c>
      <c r="C81" s="300"/>
      <c r="D81" s="331"/>
      <c r="E81" s="293">
        <f t="shared" si="26"/>
        <v>50</v>
      </c>
      <c r="F81" s="302"/>
      <c r="G81" s="302"/>
      <c r="H81" s="302"/>
      <c r="I81" s="302"/>
      <c r="J81" s="302"/>
      <c r="K81" s="302"/>
      <c r="L81" s="302"/>
      <c r="M81" s="302"/>
      <c r="N81" s="302">
        <v>50</v>
      </c>
      <c r="O81" s="302"/>
      <c r="P81" s="302"/>
      <c r="Q81" s="302"/>
      <c r="R81" s="323"/>
    </row>
    <row r="82" spans="1:18" ht="49.5" customHeight="1">
      <c r="A82" s="279" t="s">
        <v>257</v>
      </c>
      <c r="B82" s="284" t="s">
        <v>258</v>
      </c>
      <c r="C82" s="281">
        <f t="shared" si="25"/>
        <v>500</v>
      </c>
      <c r="D82" s="330"/>
      <c r="E82" s="283">
        <f t="shared" si="26"/>
        <v>500</v>
      </c>
      <c r="F82" s="297"/>
      <c r="G82" s="297"/>
      <c r="H82" s="297"/>
      <c r="I82" s="297"/>
      <c r="J82" s="297"/>
      <c r="K82" s="297"/>
      <c r="L82" s="297"/>
      <c r="M82" s="297">
        <f>+M83</f>
        <v>434</v>
      </c>
      <c r="N82" s="297">
        <v>66</v>
      </c>
      <c r="O82" s="297"/>
      <c r="P82" s="297"/>
      <c r="Q82" s="297"/>
      <c r="R82" s="319">
        <f>+E82-SUM(F82:Q82)</f>
        <v>0</v>
      </c>
    </row>
    <row r="83" spans="1:18" s="259" customFormat="1" ht="16.5" customHeight="1">
      <c r="A83" s="307"/>
      <c r="B83" s="299" t="s">
        <v>259</v>
      </c>
      <c r="C83" s="300"/>
      <c r="D83" s="331"/>
      <c r="E83" s="293">
        <f t="shared" si="26"/>
        <v>434</v>
      </c>
      <c r="F83" s="302"/>
      <c r="G83" s="302"/>
      <c r="H83" s="302"/>
      <c r="I83" s="302"/>
      <c r="J83" s="302"/>
      <c r="K83" s="302"/>
      <c r="L83" s="302"/>
      <c r="M83" s="302">
        <v>434</v>
      </c>
      <c r="N83" s="302"/>
      <c r="O83" s="302"/>
      <c r="P83" s="302"/>
      <c r="Q83" s="302"/>
      <c r="R83" s="323"/>
    </row>
    <row r="84" spans="1:18" ht="34.5" customHeight="1">
      <c r="A84" s="279" t="s">
        <v>260</v>
      </c>
      <c r="B84" s="284" t="s">
        <v>261</v>
      </c>
      <c r="C84" s="281" t="e">
        <f t="shared" si="25"/>
        <v>#REF!</v>
      </c>
      <c r="D84" s="330" t="e">
        <f>+#REF!</f>
        <v>#REF!</v>
      </c>
      <c r="E84" s="283">
        <f t="shared" si="26"/>
        <v>1148.5</v>
      </c>
      <c r="F84" s="297"/>
      <c r="G84" s="297"/>
      <c r="H84" s="297"/>
      <c r="I84" s="297"/>
      <c r="J84" s="297"/>
      <c r="K84" s="297"/>
      <c r="L84" s="297"/>
      <c r="M84" s="297">
        <f>+SUM(M85:M91)</f>
        <v>1148.5</v>
      </c>
      <c r="N84" s="297"/>
      <c r="O84" s="297"/>
      <c r="P84" s="297"/>
      <c r="Q84" s="297"/>
      <c r="R84" s="319">
        <f>+E84-SUM(F84:Q84)</f>
        <v>0</v>
      </c>
    </row>
    <row r="85" spans="1:18" s="259" customFormat="1" ht="19.5" customHeight="1">
      <c r="A85" s="307" t="s">
        <v>38</v>
      </c>
      <c r="B85" s="299" t="s">
        <v>262</v>
      </c>
      <c r="C85" s="300"/>
      <c r="D85" s="331"/>
      <c r="E85" s="293">
        <f t="shared" si="26"/>
        <v>297.5</v>
      </c>
      <c r="F85" s="302"/>
      <c r="G85" s="302"/>
      <c r="H85" s="302"/>
      <c r="I85" s="302"/>
      <c r="J85" s="302"/>
      <c r="K85" s="302"/>
      <c r="L85" s="302"/>
      <c r="M85" s="302">
        <v>297.5</v>
      </c>
      <c r="N85" s="302"/>
      <c r="O85" s="302"/>
      <c r="P85" s="302"/>
      <c r="Q85" s="302"/>
      <c r="R85" s="323"/>
    </row>
    <row r="86" spans="1:18" s="259" customFormat="1" ht="19.5" customHeight="1">
      <c r="A86" s="307" t="s">
        <v>38</v>
      </c>
      <c r="B86" s="299" t="s">
        <v>263</v>
      </c>
      <c r="C86" s="300"/>
      <c r="D86" s="331"/>
      <c r="E86" s="293">
        <f t="shared" si="26"/>
        <v>13</v>
      </c>
      <c r="F86" s="302"/>
      <c r="G86" s="302"/>
      <c r="H86" s="302"/>
      <c r="I86" s="302"/>
      <c r="J86" s="302"/>
      <c r="K86" s="302"/>
      <c r="L86" s="302"/>
      <c r="M86" s="302">
        <v>13</v>
      </c>
      <c r="N86" s="302"/>
      <c r="O86" s="302"/>
      <c r="P86" s="302"/>
      <c r="Q86" s="302"/>
      <c r="R86" s="323"/>
    </row>
    <row r="87" spans="1:18" s="259" customFormat="1" ht="19.5" customHeight="1">
      <c r="A87" s="307" t="s">
        <v>38</v>
      </c>
      <c r="B87" s="299" t="s">
        <v>264</v>
      </c>
      <c r="C87" s="300"/>
      <c r="D87" s="331"/>
      <c r="E87" s="293">
        <f t="shared" si="26"/>
        <v>634</v>
      </c>
      <c r="F87" s="302"/>
      <c r="G87" s="302"/>
      <c r="H87" s="302"/>
      <c r="I87" s="302"/>
      <c r="J87" s="302"/>
      <c r="K87" s="302"/>
      <c r="L87" s="302"/>
      <c r="M87" s="302">
        <v>634</v>
      </c>
      <c r="N87" s="302"/>
      <c r="O87" s="302"/>
      <c r="P87" s="302"/>
      <c r="Q87" s="302"/>
      <c r="R87" s="323"/>
    </row>
    <row r="88" spans="1:18" s="259" customFormat="1" ht="33" customHeight="1">
      <c r="A88" s="307" t="s">
        <v>38</v>
      </c>
      <c r="B88" s="299" t="s">
        <v>265</v>
      </c>
      <c r="C88" s="300"/>
      <c r="D88" s="331"/>
      <c r="E88" s="293">
        <f t="shared" si="26"/>
        <v>123</v>
      </c>
      <c r="F88" s="302"/>
      <c r="G88" s="302"/>
      <c r="H88" s="302"/>
      <c r="I88" s="302"/>
      <c r="J88" s="302"/>
      <c r="K88" s="302"/>
      <c r="L88" s="302"/>
      <c r="M88" s="302">
        <v>123</v>
      </c>
      <c r="N88" s="302"/>
      <c r="O88" s="302"/>
      <c r="P88" s="302"/>
      <c r="Q88" s="302"/>
      <c r="R88" s="323"/>
    </row>
    <row r="89" spans="1:18" s="259" customFormat="1" ht="34.5" customHeight="1">
      <c r="A89" s="307" t="s">
        <v>38</v>
      </c>
      <c r="B89" s="299" t="s">
        <v>266</v>
      </c>
      <c r="C89" s="300"/>
      <c r="D89" s="331"/>
      <c r="E89" s="293">
        <f t="shared" si="26"/>
        <v>46</v>
      </c>
      <c r="F89" s="302"/>
      <c r="G89" s="302"/>
      <c r="H89" s="302"/>
      <c r="I89" s="302"/>
      <c r="J89" s="302"/>
      <c r="K89" s="302"/>
      <c r="L89" s="302"/>
      <c r="M89" s="302">
        <v>46</v>
      </c>
      <c r="N89" s="302"/>
      <c r="O89" s="302"/>
      <c r="P89" s="302"/>
      <c r="Q89" s="302"/>
      <c r="R89" s="323"/>
    </row>
    <row r="90" spans="1:18" s="259" customFormat="1" ht="22.5" customHeight="1">
      <c r="A90" s="307" t="s">
        <v>38</v>
      </c>
      <c r="B90" s="299" t="s">
        <v>267</v>
      </c>
      <c r="C90" s="300"/>
      <c r="D90" s="331"/>
      <c r="E90" s="293">
        <f t="shared" si="26"/>
        <v>25</v>
      </c>
      <c r="F90" s="302"/>
      <c r="G90" s="302"/>
      <c r="H90" s="302"/>
      <c r="I90" s="302"/>
      <c r="J90" s="302"/>
      <c r="K90" s="302"/>
      <c r="L90" s="302"/>
      <c r="M90" s="302">
        <v>25</v>
      </c>
      <c r="N90" s="302"/>
      <c r="O90" s="302"/>
      <c r="P90" s="302"/>
      <c r="Q90" s="302"/>
      <c r="R90" s="323"/>
    </row>
    <row r="91" spans="1:18" s="259" customFormat="1" ht="22.5" customHeight="1">
      <c r="A91" s="307" t="s">
        <v>38</v>
      </c>
      <c r="B91" s="299" t="s">
        <v>268</v>
      </c>
      <c r="C91" s="300"/>
      <c r="D91" s="331"/>
      <c r="E91" s="293">
        <f t="shared" si="26"/>
        <v>10</v>
      </c>
      <c r="F91" s="302"/>
      <c r="G91" s="302"/>
      <c r="H91" s="302"/>
      <c r="I91" s="302"/>
      <c r="J91" s="302"/>
      <c r="K91" s="302"/>
      <c r="L91" s="302"/>
      <c r="M91" s="302">
        <v>10</v>
      </c>
      <c r="N91" s="302"/>
      <c r="O91" s="302"/>
      <c r="P91" s="302"/>
      <c r="Q91" s="302"/>
      <c r="R91" s="323"/>
    </row>
    <row r="92" spans="1:18" ht="54.75" customHeight="1">
      <c r="A92" s="279" t="s">
        <v>269</v>
      </c>
      <c r="B92" s="284" t="s">
        <v>270</v>
      </c>
      <c r="C92" s="281">
        <f t="shared" si="25"/>
        <v>100</v>
      </c>
      <c r="D92" s="330"/>
      <c r="E92" s="283">
        <f t="shared" si="26"/>
        <v>100</v>
      </c>
      <c r="F92" s="297"/>
      <c r="G92" s="297"/>
      <c r="H92" s="297"/>
      <c r="I92" s="297"/>
      <c r="J92" s="297"/>
      <c r="K92" s="297"/>
      <c r="L92" s="297"/>
      <c r="M92" s="297"/>
      <c r="N92" s="297">
        <v>100</v>
      </c>
      <c r="O92" s="297"/>
      <c r="P92" s="297"/>
      <c r="Q92" s="297"/>
      <c r="R92" s="319">
        <f>+E92-SUM(F92:Q92)</f>
        <v>0</v>
      </c>
    </row>
    <row r="93" spans="1:18" s="259" customFormat="1" ht="33" customHeight="1">
      <c r="A93" s="307"/>
      <c r="B93" s="299" t="s">
        <v>271</v>
      </c>
      <c r="C93" s="300"/>
      <c r="D93" s="331"/>
      <c r="E93" s="293">
        <f t="shared" si="26"/>
        <v>30</v>
      </c>
      <c r="F93" s="302"/>
      <c r="G93" s="302"/>
      <c r="H93" s="302"/>
      <c r="I93" s="302"/>
      <c r="J93" s="302"/>
      <c r="K93" s="302"/>
      <c r="L93" s="302"/>
      <c r="M93" s="302"/>
      <c r="N93" s="302">
        <v>30</v>
      </c>
      <c r="O93" s="302"/>
      <c r="P93" s="302"/>
      <c r="Q93" s="302"/>
      <c r="R93" s="323"/>
    </row>
    <row r="94" spans="1:18" ht="25.5" customHeight="1">
      <c r="A94" s="279" t="s">
        <v>272</v>
      </c>
      <c r="B94" s="284" t="s">
        <v>273</v>
      </c>
      <c r="C94" s="281">
        <f t="shared" si="25"/>
        <v>1006</v>
      </c>
      <c r="D94" s="330">
        <f>+D95+D96</f>
        <v>0</v>
      </c>
      <c r="E94" s="297">
        <f t="shared" ref="E94:M94" si="27">+E95+E96</f>
        <v>1006</v>
      </c>
      <c r="F94" s="297">
        <f t="shared" si="27"/>
        <v>0</v>
      </c>
      <c r="G94" s="297">
        <f t="shared" si="27"/>
        <v>0</v>
      </c>
      <c r="H94" s="297">
        <f t="shared" si="27"/>
        <v>0</v>
      </c>
      <c r="I94" s="297">
        <f t="shared" si="27"/>
        <v>0</v>
      </c>
      <c r="J94" s="297">
        <f t="shared" si="27"/>
        <v>0</v>
      </c>
      <c r="K94" s="297">
        <f t="shared" si="27"/>
        <v>0</v>
      </c>
      <c r="L94" s="297">
        <f t="shared" si="27"/>
        <v>0</v>
      </c>
      <c r="M94" s="297">
        <f t="shared" si="27"/>
        <v>1006</v>
      </c>
      <c r="N94" s="297">
        <f t="shared" ref="N94:Q94" si="28">+N95+N96</f>
        <v>0</v>
      </c>
      <c r="O94" s="297">
        <f t="shared" si="28"/>
        <v>0</v>
      </c>
      <c r="P94" s="297">
        <f t="shared" si="28"/>
        <v>0</v>
      </c>
      <c r="Q94" s="297">
        <f t="shared" si="28"/>
        <v>0</v>
      </c>
      <c r="R94" s="319">
        <f>+E94-SUM(F94:Q94)</f>
        <v>0</v>
      </c>
    </row>
    <row r="95" spans="1:18" s="259" customFormat="1" ht="23.25" customHeight="1">
      <c r="A95" s="307" t="s">
        <v>38</v>
      </c>
      <c r="B95" s="299" t="s">
        <v>274</v>
      </c>
      <c r="C95" s="281">
        <f t="shared" si="25"/>
        <v>600</v>
      </c>
      <c r="D95" s="331"/>
      <c r="E95" s="302">
        <f t="shared" si="26"/>
        <v>600</v>
      </c>
      <c r="F95" s="302"/>
      <c r="G95" s="302"/>
      <c r="H95" s="302"/>
      <c r="I95" s="302"/>
      <c r="J95" s="302"/>
      <c r="K95" s="302"/>
      <c r="L95" s="302"/>
      <c r="M95" s="302">
        <v>600</v>
      </c>
      <c r="N95" s="302"/>
      <c r="O95" s="302"/>
      <c r="P95" s="302"/>
      <c r="Q95" s="302"/>
      <c r="R95" s="319">
        <f>+E95-SUM(F95:Q95)</f>
        <v>0</v>
      </c>
    </row>
    <row r="96" spans="1:18" s="259" customFormat="1" ht="34.5" customHeight="1">
      <c r="A96" s="307" t="s">
        <v>38</v>
      </c>
      <c r="B96" s="299" t="s">
        <v>275</v>
      </c>
      <c r="C96" s="281">
        <f t="shared" si="25"/>
        <v>406</v>
      </c>
      <c r="D96" s="331"/>
      <c r="E96" s="302">
        <f t="shared" si="26"/>
        <v>406</v>
      </c>
      <c r="F96" s="302"/>
      <c r="G96" s="302"/>
      <c r="H96" s="302"/>
      <c r="I96" s="302"/>
      <c r="J96" s="302"/>
      <c r="K96" s="302"/>
      <c r="L96" s="302"/>
      <c r="M96" s="302">
        <v>406</v>
      </c>
      <c r="N96" s="302"/>
      <c r="O96" s="302"/>
      <c r="P96" s="302"/>
      <c r="Q96" s="302"/>
      <c r="R96" s="319">
        <f>+E96-SUM(F96:Q96)</f>
        <v>0</v>
      </c>
    </row>
    <row r="97" spans="1:18" ht="34.5" customHeight="1">
      <c r="A97" s="279" t="s">
        <v>276</v>
      </c>
      <c r="B97" s="284" t="s">
        <v>277</v>
      </c>
      <c r="C97" s="281"/>
      <c r="D97" s="330"/>
      <c r="E97" s="297">
        <f t="shared" si="26"/>
        <v>20</v>
      </c>
      <c r="F97" s="297"/>
      <c r="G97" s="297"/>
      <c r="H97" s="297"/>
      <c r="I97" s="297"/>
      <c r="J97" s="297"/>
      <c r="K97" s="297"/>
      <c r="L97" s="297"/>
      <c r="M97" s="297"/>
      <c r="N97" s="297">
        <v>20</v>
      </c>
      <c r="O97" s="297"/>
      <c r="P97" s="297"/>
      <c r="Q97" s="297"/>
      <c r="R97" s="319"/>
    </row>
    <row r="98" spans="1:18" ht="23.25" customHeight="1">
      <c r="A98" s="279" t="s">
        <v>278</v>
      </c>
      <c r="B98" s="284" t="s">
        <v>279</v>
      </c>
      <c r="C98" s="281"/>
      <c r="D98" s="330"/>
      <c r="E98" s="297">
        <f t="shared" si="26"/>
        <v>180</v>
      </c>
      <c r="F98" s="297"/>
      <c r="G98" s="297"/>
      <c r="H98" s="297"/>
      <c r="I98" s="297"/>
      <c r="J98" s="297"/>
      <c r="K98" s="297"/>
      <c r="L98" s="297">
        <v>180</v>
      </c>
      <c r="M98" s="297"/>
      <c r="N98" s="297"/>
      <c r="O98" s="297"/>
      <c r="P98" s="297"/>
      <c r="Q98" s="297"/>
      <c r="R98" s="319"/>
    </row>
    <row r="99" spans="1:18" ht="23.25" customHeight="1">
      <c r="A99" s="279" t="s">
        <v>280</v>
      </c>
      <c r="B99" s="284" t="s">
        <v>169</v>
      </c>
      <c r="C99" s="281"/>
      <c r="D99" s="330"/>
      <c r="E99" s="297">
        <f t="shared" si="26"/>
        <v>75</v>
      </c>
      <c r="F99" s="297"/>
      <c r="G99" s="297"/>
      <c r="H99" s="297"/>
      <c r="I99" s="297"/>
      <c r="J99" s="297"/>
      <c r="K99" s="297"/>
      <c r="L99" s="297"/>
      <c r="M99" s="297"/>
      <c r="N99" s="297"/>
      <c r="O99" s="297"/>
      <c r="P99" s="297"/>
      <c r="Q99" s="297">
        <v>75</v>
      </c>
      <c r="R99" s="319"/>
    </row>
    <row r="100" spans="1:18" s="255" customFormat="1" ht="24" customHeight="1">
      <c r="A100" s="275">
        <v>6</v>
      </c>
      <c r="B100" s="276" t="s">
        <v>281</v>
      </c>
      <c r="C100" s="285">
        <f t="shared" ref="C100:D100" si="29">SUM(C101:C102)</f>
        <v>675</v>
      </c>
      <c r="D100" s="285">
        <f t="shared" si="29"/>
        <v>0</v>
      </c>
      <c r="E100" s="278">
        <f>SUM(E101:E103)</f>
        <v>732</v>
      </c>
      <c r="F100" s="278">
        <f t="shared" ref="F100:Q100" si="30">SUM(F101:F103)</f>
        <v>0</v>
      </c>
      <c r="G100" s="278">
        <f t="shared" si="30"/>
        <v>0</v>
      </c>
      <c r="H100" s="278"/>
      <c r="I100" s="278">
        <f t="shared" si="30"/>
        <v>0</v>
      </c>
      <c r="J100" s="278">
        <f t="shared" si="30"/>
        <v>0</v>
      </c>
      <c r="K100" s="278">
        <f t="shared" si="30"/>
        <v>0</v>
      </c>
      <c r="L100" s="278">
        <f t="shared" si="30"/>
        <v>0</v>
      </c>
      <c r="M100" s="278">
        <f t="shared" si="30"/>
        <v>0</v>
      </c>
      <c r="N100" s="278">
        <f>SUM(N101:N103)</f>
        <v>675</v>
      </c>
      <c r="O100" s="278">
        <f t="shared" si="30"/>
        <v>0</v>
      </c>
      <c r="P100" s="278">
        <f t="shared" si="30"/>
        <v>0</v>
      </c>
      <c r="Q100" s="278">
        <f t="shared" si="30"/>
        <v>57</v>
      </c>
      <c r="R100" s="319">
        <f>+E100-SUM(F100:Q100)</f>
        <v>0</v>
      </c>
    </row>
    <row r="101" spans="1:18" ht="35.25" customHeight="1">
      <c r="A101" s="279" t="s">
        <v>282</v>
      </c>
      <c r="B101" s="325" t="s">
        <v>283</v>
      </c>
      <c r="C101" s="281">
        <f>+D101+E101</f>
        <v>495</v>
      </c>
      <c r="D101" s="290"/>
      <c r="E101" s="283">
        <f>+SUM(F101:Q101)</f>
        <v>495</v>
      </c>
      <c r="F101" s="283"/>
      <c r="G101" s="283"/>
      <c r="H101" s="283"/>
      <c r="I101" s="283"/>
      <c r="J101" s="283"/>
      <c r="K101" s="283"/>
      <c r="L101" s="283"/>
      <c r="M101" s="283"/>
      <c r="N101" s="297">
        <v>495</v>
      </c>
      <c r="O101" s="283"/>
      <c r="P101" s="283"/>
      <c r="Q101" s="283"/>
      <c r="R101" s="319">
        <f>+E101-SUM(F101:Q101)</f>
        <v>0</v>
      </c>
    </row>
    <row r="102" spans="1:18" s="258" customFormat="1" ht="53.25" customHeight="1">
      <c r="A102" s="279" t="s">
        <v>284</v>
      </c>
      <c r="B102" s="325" t="s">
        <v>285</v>
      </c>
      <c r="C102" s="281">
        <f>+D102+E102</f>
        <v>180</v>
      </c>
      <c r="D102" s="290"/>
      <c r="E102" s="283">
        <f>+SUM(F102:Q102)</f>
        <v>180</v>
      </c>
      <c r="F102" s="283"/>
      <c r="G102" s="283"/>
      <c r="H102" s="283"/>
      <c r="I102" s="283"/>
      <c r="J102" s="283"/>
      <c r="K102" s="283"/>
      <c r="L102" s="283"/>
      <c r="M102" s="283"/>
      <c r="N102" s="297">
        <v>180</v>
      </c>
      <c r="O102" s="283"/>
      <c r="P102" s="283"/>
      <c r="Q102" s="283"/>
      <c r="R102" s="319">
        <f>+E102-SUM(F102:Q102)</f>
        <v>0</v>
      </c>
    </row>
    <row r="103" spans="1:18" s="258" customFormat="1" ht="27.75" customHeight="1">
      <c r="A103" s="279" t="s">
        <v>286</v>
      </c>
      <c r="B103" s="325" t="s">
        <v>169</v>
      </c>
      <c r="C103" s="281"/>
      <c r="D103" s="290"/>
      <c r="E103" s="283">
        <f>+SUM(F103:Q103)</f>
        <v>57</v>
      </c>
      <c r="F103" s="283"/>
      <c r="G103" s="283"/>
      <c r="H103" s="283"/>
      <c r="I103" s="283"/>
      <c r="J103" s="283"/>
      <c r="K103" s="283"/>
      <c r="L103" s="283"/>
      <c r="M103" s="283"/>
      <c r="N103" s="297"/>
      <c r="O103" s="283"/>
      <c r="P103" s="283"/>
      <c r="Q103" s="297">
        <v>57</v>
      </c>
      <c r="R103" s="319"/>
    </row>
    <row r="104" spans="1:18" s="255" customFormat="1" ht="24" customHeight="1">
      <c r="A104" s="275">
        <v>7</v>
      </c>
      <c r="B104" s="276" t="s">
        <v>287</v>
      </c>
      <c r="C104" s="285">
        <f t="shared" ref="C104:D104" si="31">SUM(C105:C108)</f>
        <v>695</v>
      </c>
      <c r="D104" s="285">
        <f t="shared" si="31"/>
        <v>0</v>
      </c>
      <c r="E104" s="278">
        <f t="shared" ref="E104:M104" si="32">SUM(E105:E112)</f>
        <v>2218</v>
      </c>
      <c r="F104" s="278">
        <f t="shared" si="32"/>
        <v>0</v>
      </c>
      <c r="G104" s="278">
        <f t="shared" si="32"/>
        <v>0</v>
      </c>
      <c r="H104" s="278">
        <f t="shared" si="32"/>
        <v>0</v>
      </c>
      <c r="I104" s="278">
        <f t="shared" si="32"/>
        <v>189</v>
      </c>
      <c r="J104" s="278">
        <f t="shared" si="32"/>
        <v>70</v>
      </c>
      <c r="K104" s="278">
        <f t="shared" si="32"/>
        <v>136</v>
      </c>
      <c r="L104" s="278">
        <f t="shared" si="32"/>
        <v>0</v>
      </c>
      <c r="M104" s="278">
        <f t="shared" si="32"/>
        <v>1486</v>
      </c>
      <c r="N104" s="278">
        <f>SUM(N105:N112)</f>
        <v>300</v>
      </c>
      <c r="O104" s="278">
        <f t="shared" ref="O104:Q104" si="33">SUM(O105:O112)</f>
        <v>0</v>
      </c>
      <c r="P104" s="278">
        <f t="shared" si="33"/>
        <v>0</v>
      </c>
      <c r="Q104" s="278">
        <f t="shared" si="33"/>
        <v>37</v>
      </c>
      <c r="R104" s="319">
        <f>+E104-SUM(F104:Q104)</f>
        <v>0</v>
      </c>
    </row>
    <row r="105" spans="1:18" ht="33.75" customHeight="1">
      <c r="A105" s="460" t="s">
        <v>288</v>
      </c>
      <c r="B105" s="325" t="s">
        <v>159</v>
      </c>
      <c r="C105" s="281">
        <f>+D105+E105</f>
        <v>300</v>
      </c>
      <c r="D105" s="282"/>
      <c r="E105" s="283">
        <f t="shared" ref="E105:E112" si="34">+SUM(F105:Q105)</f>
        <v>300</v>
      </c>
      <c r="F105" s="283"/>
      <c r="G105" s="283"/>
      <c r="H105" s="283"/>
      <c r="I105" s="283"/>
      <c r="J105" s="283"/>
      <c r="K105" s="283"/>
      <c r="L105" s="283"/>
      <c r="M105" s="283"/>
      <c r="N105" s="283">
        <v>300</v>
      </c>
      <c r="O105" s="283"/>
      <c r="P105" s="283"/>
      <c r="Q105" s="283"/>
      <c r="R105" s="319">
        <f>+E105-SUM(F105:Q105)</f>
        <v>0</v>
      </c>
    </row>
    <row r="106" spans="1:18" ht="36" customHeight="1">
      <c r="A106" s="460" t="s">
        <v>289</v>
      </c>
      <c r="B106" s="332" t="s">
        <v>290</v>
      </c>
      <c r="C106" s="281">
        <f>+D106+E106</f>
        <v>189</v>
      </c>
      <c r="D106" s="282"/>
      <c r="E106" s="283">
        <f t="shared" si="34"/>
        <v>189</v>
      </c>
      <c r="F106" s="283"/>
      <c r="G106" s="283"/>
      <c r="H106" s="283"/>
      <c r="I106" s="283">
        <v>189</v>
      </c>
      <c r="J106" s="283"/>
      <c r="K106" s="283"/>
      <c r="L106" s="283"/>
      <c r="M106" s="283"/>
      <c r="N106" s="297"/>
      <c r="O106" s="283"/>
      <c r="P106" s="283"/>
      <c r="Q106" s="283"/>
      <c r="R106" s="319">
        <f>+E106-SUM(F106:Q106)</f>
        <v>0</v>
      </c>
    </row>
    <row r="107" spans="1:18" ht="36" customHeight="1">
      <c r="A107" s="460" t="s">
        <v>291</v>
      </c>
      <c r="B107" s="332" t="s">
        <v>292</v>
      </c>
      <c r="C107" s="281">
        <f>+D107+E107</f>
        <v>70</v>
      </c>
      <c r="D107" s="282"/>
      <c r="E107" s="283">
        <f t="shared" si="34"/>
        <v>70</v>
      </c>
      <c r="F107" s="283"/>
      <c r="G107" s="283"/>
      <c r="H107" s="283"/>
      <c r="I107" s="283"/>
      <c r="J107" s="283">
        <v>70</v>
      </c>
      <c r="K107" s="283"/>
      <c r="L107" s="283"/>
      <c r="M107" s="283"/>
      <c r="N107" s="297"/>
      <c r="O107" s="283"/>
      <c r="P107" s="283"/>
      <c r="Q107" s="283"/>
      <c r="R107" s="319">
        <f>+E107-SUM(F107:Q107)</f>
        <v>0</v>
      </c>
    </row>
    <row r="108" spans="1:18" ht="48.75" customHeight="1">
      <c r="A108" s="460" t="s">
        <v>293</v>
      </c>
      <c r="B108" s="325" t="s">
        <v>294</v>
      </c>
      <c r="C108" s="281">
        <f>+D108+E108</f>
        <v>136</v>
      </c>
      <c r="D108" s="282"/>
      <c r="E108" s="283">
        <f t="shared" si="34"/>
        <v>136</v>
      </c>
      <c r="F108" s="283"/>
      <c r="G108" s="283"/>
      <c r="H108" s="283"/>
      <c r="I108" s="283"/>
      <c r="J108" s="283"/>
      <c r="K108" s="283">
        <v>136</v>
      </c>
      <c r="L108" s="283"/>
      <c r="M108" s="283"/>
      <c r="N108" s="283"/>
      <c r="O108" s="283"/>
      <c r="P108" s="283"/>
      <c r="Q108" s="283"/>
      <c r="R108" s="319">
        <f>+E108-SUM(F108:Q108)</f>
        <v>0</v>
      </c>
    </row>
    <row r="109" spans="1:18" ht="35.25" customHeight="1">
      <c r="A109" s="460" t="s">
        <v>295</v>
      </c>
      <c r="B109" s="325" t="s">
        <v>296</v>
      </c>
      <c r="C109" s="281"/>
      <c r="D109" s="282"/>
      <c r="E109" s="283">
        <f t="shared" si="34"/>
        <v>184</v>
      </c>
      <c r="F109" s="283"/>
      <c r="G109" s="283"/>
      <c r="H109" s="283"/>
      <c r="I109" s="283"/>
      <c r="J109" s="283"/>
      <c r="K109" s="283"/>
      <c r="L109" s="283"/>
      <c r="M109" s="283">
        <v>184</v>
      </c>
      <c r="N109" s="283"/>
      <c r="O109" s="283"/>
      <c r="P109" s="283"/>
      <c r="Q109" s="283"/>
      <c r="R109" s="319"/>
    </row>
    <row r="110" spans="1:18" ht="35.25" customHeight="1">
      <c r="A110" s="460" t="s">
        <v>297</v>
      </c>
      <c r="B110" s="325" t="s">
        <v>298</v>
      </c>
      <c r="C110" s="281"/>
      <c r="D110" s="282"/>
      <c r="E110" s="283">
        <f t="shared" si="34"/>
        <v>302</v>
      </c>
      <c r="F110" s="283"/>
      <c r="G110" s="283"/>
      <c r="H110" s="283"/>
      <c r="I110" s="283"/>
      <c r="J110" s="283"/>
      <c r="K110" s="283"/>
      <c r="L110" s="283"/>
      <c r="M110" s="283">
        <v>302</v>
      </c>
      <c r="N110" s="283"/>
      <c r="O110" s="283"/>
      <c r="P110" s="283"/>
      <c r="Q110" s="283"/>
      <c r="R110" s="319"/>
    </row>
    <row r="111" spans="1:18" ht="33" customHeight="1">
      <c r="A111" s="460" t="s">
        <v>299</v>
      </c>
      <c r="B111" s="325" t="s">
        <v>300</v>
      </c>
      <c r="C111" s="281"/>
      <c r="D111" s="282"/>
      <c r="E111" s="283">
        <f t="shared" si="34"/>
        <v>1000</v>
      </c>
      <c r="F111" s="283"/>
      <c r="G111" s="283"/>
      <c r="H111" s="283"/>
      <c r="I111" s="283"/>
      <c r="J111" s="283"/>
      <c r="K111" s="283"/>
      <c r="L111" s="283"/>
      <c r="M111" s="283">
        <v>1000</v>
      </c>
      <c r="N111" s="283"/>
      <c r="O111" s="283"/>
      <c r="P111" s="283"/>
      <c r="Q111" s="283"/>
      <c r="R111" s="319"/>
    </row>
    <row r="112" spans="1:18" ht="33" customHeight="1">
      <c r="A112" s="460" t="s">
        <v>301</v>
      </c>
      <c r="B112" s="325" t="s">
        <v>169</v>
      </c>
      <c r="C112" s="281"/>
      <c r="D112" s="282"/>
      <c r="E112" s="283">
        <f t="shared" si="34"/>
        <v>37</v>
      </c>
      <c r="F112" s="283"/>
      <c r="G112" s="283"/>
      <c r="H112" s="283"/>
      <c r="I112" s="283"/>
      <c r="J112" s="283"/>
      <c r="K112" s="283"/>
      <c r="L112" s="283"/>
      <c r="M112" s="283"/>
      <c r="N112" s="283"/>
      <c r="O112" s="283"/>
      <c r="P112" s="283"/>
      <c r="Q112" s="283">
        <v>37</v>
      </c>
      <c r="R112" s="319"/>
    </row>
    <row r="113" spans="1:19" s="255" customFormat="1" ht="29.25" customHeight="1">
      <c r="A113" s="275">
        <v>8</v>
      </c>
      <c r="B113" s="276" t="s">
        <v>302</v>
      </c>
      <c r="C113" s="285">
        <f>+SUM(C114:C119)</f>
        <v>56926</v>
      </c>
      <c r="D113" s="285">
        <f>+SUM(D114:D119)</f>
        <v>0</v>
      </c>
      <c r="E113" s="278">
        <f>SUM(F113:Q113)</f>
        <v>58785</v>
      </c>
      <c r="F113" s="278">
        <f t="shared" ref="F113:Q113" si="35">+SUM(F114:F119)</f>
        <v>57893</v>
      </c>
      <c r="G113" s="278">
        <f t="shared" si="35"/>
        <v>0</v>
      </c>
      <c r="H113" s="278"/>
      <c r="I113" s="278">
        <f t="shared" si="35"/>
        <v>0</v>
      </c>
      <c r="J113" s="278">
        <f t="shared" si="35"/>
        <v>0</v>
      </c>
      <c r="K113" s="278">
        <f t="shared" si="35"/>
        <v>0</v>
      </c>
      <c r="L113" s="278">
        <f t="shared" si="35"/>
        <v>0</v>
      </c>
      <c r="M113" s="278">
        <f t="shared" si="35"/>
        <v>0</v>
      </c>
      <c r="N113" s="278">
        <f t="shared" si="35"/>
        <v>0</v>
      </c>
      <c r="O113" s="278">
        <f t="shared" si="35"/>
        <v>0</v>
      </c>
      <c r="P113" s="278">
        <f t="shared" si="35"/>
        <v>0</v>
      </c>
      <c r="Q113" s="278">
        <f t="shared" si="35"/>
        <v>892</v>
      </c>
      <c r="R113" s="319">
        <f>+E113-SUM(F113:Q113)</f>
        <v>0</v>
      </c>
      <c r="S113" s="255">
        <v>57971</v>
      </c>
    </row>
    <row r="114" spans="1:19" ht="33.9" customHeight="1">
      <c r="A114" s="279" t="s">
        <v>303</v>
      </c>
      <c r="B114" s="291" t="s">
        <v>304</v>
      </c>
      <c r="C114" s="281">
        <f t="shared" ref="C114:C124" si="36">+D114+E114</f>
        <v>50610</v>
      </c>
      <c r="D114" s="282"/>
      <c r="E114" s="283">
        <f t="shared" ref="E114:E119" si="37">+SUM(F114:Q114)</f>
        <v>50610</v>
      </c>
      <c r="F114" s="283">
        <v>50610</v>
      </c>
      <c r="G114" s="283"/>
      <c r="H114" s="283"/>
      <c r="I114" s="283"/>
      <c r="J114" s="283"/>
      <c r="K114" s="283"/>
      <c r="L114" s="283"/>
      <c r="M114" s="283"/>
      <c r="N114" s="283"/>
      <c r="O114" s="283"/>
      <c r="P114" s="283"/>
      <c r="Q114" s="283"/>
      <c r="R114" s="319">
        <f>+E114-SUM(F114:Q114)</f>
        <v>0</v>
      </c>
      <c r="S114" s="345">
        <f>+S113-F113</f>
        <v>78</v>
      </c>
    </row>
    <row r="115" spans="1:19" ht="33.9" customHeight="1">
      <c r="A115" s="279" t="s">
        <v>305</v>
      </c>
      <c r="B115" s="291" t="s">
        <v>306</v>
      </c>
      <c r="C115" s="281">
        <f t="shared" si="36"/>
        <v>4362</v>
      </c>
      <c r="D115" s="282"/>
      <c r="E115" s="283">
        <f t="shared" si="37"/>
        <v>4362</v>
      </c>
      <c r="F115" s="283">
        <v>4362</v>
      </c>
      <c r="G115" s="283"/>
      <c r="H115" s="283"/>
      <c r="I115" s="283"/>
      <c r="J115" s="283"/>
      <c r="K115" s="283"/>
      <c r="L115" s="283"/>
      <c r="M115" s="283"/>
      <c r="N115" s="283"/>
      <c r="O115" s="283"/>
      <c r="P115" s="283"/>
      <c r="Q115" s="283"/>
      <c r="R115" s="319"/>
    </row>
    <row r="116" spans="1:19" ht="33.9" customHeight="1">
      <c r="A116" s="279" t="s">
        <v>307</v>
      </c>
      <c r="B116" s="291" t="s">
        <v>308</v>
      </c>
      <c r="C116" s="281"/>
      <c r="D116" s="282"/>
      <c r="E116" s="283">
        <f t="shared" si="37"/>
        <v>1784</v>
      </c>
      <c r="F116" s="283">
        <v>892</v>
      </c>
      <c r="G116" s="283"/>
      <c r="H116" s="283"/>
      <c r="I116" s="283"/>
      <c r="J116" s="283"/>
      <c r="K116" s="283"/>
      <c r="L116" s="283"/>
      <c r="M116" s="283"/>
      <c r="N116" s="283"/>
      <c r="O116" s="283"/>
      <c r="P116" s="283"/>
      <c r="Q116" s="283">
        <v>892</v>
      </c>
      <c r="R116" s="319"/>
    </row>
    <row r="117" spans="1:19" ht="27.75" customHeight="1">
      <c r="A117" s="279" t="s">
        <v>309</v>
      </c>
      <c r="B117" s="291" t="s">
        <v>310</v>
      </c>
      <c r="C117" s="281"/>
      <c r="D117" s="282"/>
      <c r="E117" s="283">
        <f t="shared" si="37"/>
        <v>75</v>
      </c>
      <c r="F117" s="283">
        <v>75</v>
      </c>
      <c r="G117" s="283"/>
      <c r="H117" s="283"/>
      <c r="I117" s="283"/>
      <c r="J117" s="283"/>
      <c r="K117" s="283"/>
      <c r="L117" s="283"/>
      <c r="M117" s="283"/>
      <c r="N117" s="283"/>
      <c r="O117" s="283"/>
      <c r="P117" s="283"/>
      <c r="Q117" s="283"/>
      <c r="R117" s="319"/>
    </row>
    <row r="118" spans="1:19" ht="26.4">
      <c r="A118" s="279" t="s">
        <v>311</v>
      </c>
      <c r="B118" s="291" t="s">
        <v>312</v>
      </c>
      <c r="C118" s="281">
        <f t="shared" si="36"/>
        <v>1087</v>
      </c>
      <c r="D118" s="282"/>
      <c r="E118" s="283">
        <f t="shared" si="37"/>
        <v>1087</v>
      </c>
      <c r="F118" s="283">
        <v>1087</v>
      </c>
      <c r="G118" s="283"/>
      <c r="H118" s="283"/>
      <c r="I118" s="283"/>
      <c r="J118" s="283"/>
      <c r="K118" s="283"/>
      <c r="L118" s="283"/>
      <c r="M118" s="283"/>
      <c r="N118" s="283"/>
      <c r="O118" s="283"/>
      <c r="P118" s="283"/>
      <c r="Q118" s="283"/>
      <c r="R118" s="319">
        <f>+E118-SUM(F118:Q118)</f>
        <v>0</v>
      </c>
      <c r="S118" s="345"/>
    </row>
    <row r="119" spans="1:19" ht="29.25" customHeight="1">
      <c r="A119" s="279" t="s">
        <v>313</v>
      </c>
      <c r="B119" s="280" t="s">
        <v>314</v>
      </c>
      <c r="C119" s="281">
        <f t="shared" si="36"/>
        <v>867</v>
      </c>
      <c r="D119" s="282"/>
      <c r="E119" s="283">
        <f t="shared" si="37"/>
        <v>867</v>
      </c>
      <c r="F119" s="283">
        <f>748+197-F61</f>
        <v>867</v>
      </c>
      <c r="G119" s="283"/>
      <c r="H119" s="283"/>
      <c r="I119" s="283"/>
      <c r="J119" s="283"/>
      <c r="K119" s="283"/>
      <c r="L119" s="283"/>
      <c r="M119" s="283"/>
      <c r="N119" s="283"/>
      <c r="O119" s="283"/>
      <c r="P119" s="283"/>
      <c r="Q119" s="283"/>
      <c r="R119" s="319">
        <f>+E119-SUM(F119:Q119)</f>
        <v>0</v>
      </c>
    </row>
    <row r="120" spans="1:19" s="255" customFormat="1" ht="21" customHeight="1">
      <c r="A120" s="275">
        <v>9</v>
      </c>
      <c r="B120" s="333" t="s">
        <v>910</v>
      </c>
      <c r="C120" s="281">
        <f t="shared" si="36"/>
        <v>1342.5</v>
      </c>
      <c r="D120" s="285">
        <f>+D124</f>
        <v>0</v>
      </c>
      <c r="E120" s="278">
        <f>SUM(F120:Q120)</f>
        <v>1342.5</v>
      </c>
      <c r="F120" s="278">
        <f t="shared" ref="F120:Q120" si="38">+SUM(F121:F125)</f>
        <v>0</v>
      </c>
      <c r="G120" s="278">
        <f t="shared" si="38"/>
        <v>0</v>
      </c>
      <c r="H120" s="278"/>
      <c r="I120" s="278">
        <f t="shared" si="38"/>
        <v>0</v>
      </c>
      <c r="J120" s="278">
        <f t="shared" si="38"/>
        <v>0</v>
      </c>
      <c r="K120" s="278">
        <f t="shared" si="38"/>
        <v>0</v>
      </c>
      <c r="L120" s="278">
        <f t="shared" si="38"/>
        <v>0</v>
      </c>
      <c r="M120" s="278">
        <f t="shared" si="38"/>
        <v>464.5</v>
      </c>
      <c r="N120" s="278">
        <f t="shared" si="38"/>
        <v>731</v>
      </c>
      <c r="O120" s="278">
        <f t="shared" si="38"/>
        <v>65</v>
      </c>
      <c r="P120" s="278">
        <f t="shared" si="38"/>
        <v>0</v>
      </c>
      <c r="Q120" s="278">
        <f t="shared" si="38"/>
        <v>82</v>
      </c>
      <c r="R120" s="319">
        <f>+E120-SUM(F120:Q120)</f>
        <v>0</v>
      </c>
    </row>
    <row r="121" spans="1:19" ht="20.25" customHeight="1">
      <c r="A121" s="279"/>
      <c r="B121" s="334" t="s">
        <v>169</v>
      </c>
      <c r="C121" s="281">
        <f t="shared" si="36"/>
        <v>82</v>
      </c>
      <c r="D121" s="280"/>
      <c r="E121" s="283">
        <f>SUM(F121:Q121)</f>
        <v>82</v>
      </c>
      <c r="F121" s="283"/>
      <c r="G121" s="283"/>
      <c r="H121" s="283"/>
      <c r="I121" s="283"/>
      <c r="J121" s="283"/>
      <c r="K121" s="283"/>
      <c r="L121" s="283"/>
      <c r="M121" s="283"/>
      <c r="N121" s="283"/>
      <c r="O121" s="283"/>
      <c r="P121" s="283"/>
      <c r="Q121" s="283">
        <v>82</v>
      </c>
      <c r="R121" s="319">
        <f>+E121-SUM(F121:Q121)</f>
        <v>0</v>
      </c>
    </row>
    <row r="122" spans="1:19" ht="20.25" customHeight="1">
      <c r="A122" s="279"/>
      <c r="B122" s="334" t="s">
        <v>315</v>
      </c>
      <c r="C122" s="281"/>
      <c r="D122" s="280"/>
      <c r="E122" s="283">
        <f>SUM(F122:Q122)</f>
        <v>65</v>
      </c>
      <c r="F122" s="283"/>
      <c r="G122" s="283"/>
      <c r="H122" s="283"/>
      <c r="I122" s="283"/>
      <c r="J122" s="283"/>
      <c r="K122" s="283"/>
      <c r="L122" s="283"/>
      <c r="M122" s="283"/>
      <c r="N122" s="283"/>
      <c r="O122" s="283">
        <v>65</v>
      </c>
      <c r="P122" s="283"/>
      <c r="Q122" s="283"/>
      <c r="R122" s="319"/>
    </row>
    <row r="123" spans="1:19" ht="20.25" customHeight="1">
      <c r="A123" s="279"/>
      <c r="B123" s="334" t="s">
        <v>316</v>
      </c>
      <c r="C123" s="281"/>
      <c r="D123" s="280"/>
      <c r="E123" s="283">
        <f>SUM(F123:Q123)</f>
        <v>247.5</v>
      </c>
      <c r="F123" s="283"/>
      <c r="G123" s="283"/>
      <c r="H123" s="283"/>
      <c r="I123" s="283"/>
      <c r="J123" s="283"/>
      <c r="K123" s="283"/>
      <c r="L123" s="283"/>
      <c r="M123" s="283">
        <v>247.5</v>
      </c>
      <c r="N123" s="283"/>
      <c r="O123" s="283"/>
      <c r="P123" s="283"/>
      <c r="Q123" s="283"/>
      <c r="R123" s="319"/>
    </row>
    <row r="124" spans="1:19" s="260" customFormat="1" ht="20.25" customHeight="1">
      <c r="A124" s="335"/>
      <c r="B124" s="283" t="s">
        <v>317</v>
      </c>
      <c r="C124" s="281">
        <f t="shared" si="36"/>
        <v>731</v>
      </c>
      <c r="D124" s="297"/>
      <c r="E124" s="283">
        <f>SUM(F124:Q124)</f>
        <v>731</v>
      </c>
      <c r="F124" s="283"/>
      <c r="G124" s="283"/>
      <c r="H124" s="283"/>
      <c r="I124" s="283"/>
      <c r="J124" s="283"/>
      <c r="K124" s="283"/>
      <c r="L124" s="283"/>
      <c r="M124" s="283"/>
      <c r="N124" s="283">
        <v>731</v>
      </c>
      <c r="O124" s="283"/>
      <c r="P124" s="283"/>
      <c r="Q124" s="283"/>
      <c r="R124" s="346">
        <f>+E124-SUM(F124:Q124)</f>
        <v>0</v>
      </c>
    </row>
    <row r="125" spans="1:19" s="260" customFormat="1" ht="26.4">
      <c r="A125" s="336"/>
      <c r="B125" s="334" t="s">
        <v>318</v>
      </c>
      <c r="C125" s="337"/>
      <c r="D125" s="338"/>
      <c r="E125" s="283">
        <f t="shared" ref="E125" si="39">SUM(F125:Q125)</f>
        <v>217</v>
      </c>
      <c r="F125" s="339"/>
      <c r="G125" s="339"/>
      <c r="H125" s="339"/>
      <c r="I125" s="339"/>
      <c r="J125" s="339"/>
      <c r="K125" s="339"/>
      <c r="L125" s="339"/>
      <c r="M125" s="339">
        <v>217</v>
      </c>
      <c r="N125" s="339"/>
      <c r="O125" s="339"/>
      <c r="P125" s="339"/>
      <c r="Q125" s="339"/>
      <c r="R125" s="346"/>
    </row>
    <row r="126" spans="1:19" s="255" customFormat="1">
      <c r="A126" s="340"/>
      <c r="B126" s="341"/>
      <c r="C126" s="341"/>
      <c r="D126" s="342"/>
      <c r="E126" s="343"/>
      <c r="F126" s="344"/>
      <c r="G126" s="344"/>
      <c r="H126" s="344"/>
      <c r="I126" s="344"/>
      <c r="J126" s="344"/>
      <c r="K126" s="344"/>
      <c r="L126" s="344"/>
      <c r="M126" s="344"/>
      <c r="N126" s="344"/>
      <c r="O126" s="344"/>
      <c r="P126" s="344"/>
      <c r="Q126" s="344"/>
    </row>
  </sheetData>
  <mergeCells count="9">
    <mergeCell ref="P1:Q1"/>
    <mergeCell ref="A2:Q2"/>
    <mergeCell ref="A3:Q3"/>
    <mergeCell ref="F7:Q7"/>
    <mergeCell ref="A7:A8"/>
    <mergeCell ref="B7:B8"/>
    <mergeCell ref="C7:C8"/>
    <mergeCell ref="D7:D8"/>
    <mergeCell ref="E7:E8"/>
  </mergeCells>
  <pageMargins left="0.23622047244094499" right="0.15748031496063" top="0.43307086614173201" bottom="0.23622047244094499" header="0.23622047244094499" footer="0.196850393700787"/>
  <pageSetup paperSize="9" scale="85" orientation="landscape" r:id="rId1"/>
  <headerFooter differentFirst="1">
    <oddHeader>&amp;C&amp;P</oddHead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874"/>
  <sheetViews>
    <sheetView tabSelected="1" topLeftCell="C1" workbookViewId="0">
      <selection activeCell="Q16" sqref="Q16"/>
    </sheetView>
  </sheetViews>
  <sheetFormatPr defaultColWidth="12.6640625" defaultRowHeight="14.4"/>
  <cols>
    <col min="1" max="1" width="5.88671875" style="228" hidden="1" customWidth="1"/>
    <col min="2" max="2" width="44.44140625" style="228" hidden="1" customWidth="1"/>
    <col min="3" max="3" width="5.6640625" style="228" customWidth="1"/>
    <col min="4" max="4" width="12.44140625" style="228" customWidth="1"/>
    <col min="5" max="5" width="7.77734375" style="228" customWidth="1"/>
    <col min="6" max="6" width="11.109375" style="228" customWidth="1"/>
    <col min="7" max="7" width="9.5546875" style="228" customWidth="1"/>
    <col min="8" max="8" width="10.21875" style="228" customWidth="1"/>
    <col min="9" max="9" width="9.88671875" style="228" customWidth="1"/>
    <col min="10" max="10" width="9.5546875" style="228" customWidth="1"/>
    <col min="11" max="11" width="9.88671875" style="228" customWidth="1"/>
    <col min="12" max="12" width="7.77734375" style="228" customWidth="1"/>
    <col min="13" max="13" width="8.21875" style="228" customWidth="1"/>
    <col min="14" max="14" width="9.109375" style="228" customWidth="1"/>
    <col min="15" max="15" width="8" style="228" customWidth="1"/>
    <col min="16" max="16" width="8.21875" style="228" customWidth="1"/>
    <col min="17" max="17" width="7.44140625" style="228" customWidth="1"/>
    <col min="18" max="18" width="8.21875" style="228" customWidth="1"/>
    <col min="19" max="21" width="7.77734375" style="228" customWidth="1"/>
    <col min="22" max="22" width="9.6640625" style="228" customWidth="1"/>
    <col min="23" max="23" width="9.21875" style="228" customWidth="1"/>
    <col min="24" max="24" width="9.33203125" style="228" customWidth="1"/>
    <col min="25" max="25" width="8.77734375" style="228" customWidth="1"/>
    <col min="26" max="26" width="9.5546875" style="228" customWidth="1"/>
    <col min="27" max="27" width="9.6640625" style="228" customWidth="1"/>
    <col min="28" max="28" width="8.33203125" style="228" customWidth="1"/>
    <col min="29" max="31" width="9" style="228" customWidth="1"/>
    <col min="32" max="16384" width="12.6640625" style="228"/>
  </cols>
  <sheetData>
    <row r="1" spans="1:31" ht="27.75" customHeight="1">
      <c r="C1" s="229"/>
      <c r="D1" s="230"/>
      <c r="E1" s="230"/>
      <c r="F1" s="230"/>
      <c r="G1" s="230"/>
      <c r="H1" s="230"/>
      <c r="I1" s="230"/>
      <c r="J1" s="230"/>
      <c r="K1" s="230"/>
      <c r="L1" s="230"/>
      <c r="M1" s="230"/>
      <c r="N1" s="230"/>
      <c r="O1" s="230"/>
      <c r="P1" s="230"/>
      <c r="Q1" s="230"/>
      <c r="R1" s="230"/>
      <c r="S1" s="230"/>
      <c r="T1" s="230"/>
      <c r="U1" s="230"/>
      <c r="V1" s="230"/>
      <c r="W1" s="230"/>
      <c r="X1" s="230"/>
      <c r="Y1" s="230"/>
      <c r="Z1" s="230"/>
      <c r="AA1" s="230"/>
      <c r="AB1" s="249" t="s">
        <v>319</v>
      </c>
    </row>
    <row r="2" spans="1:31" ht="27.75" customHeight="1">
      <c r="A2" s="560" t="s">
        <v>320</v>
      </c>
      <c r="B2" s="561"/>
      <c r="C2" s="561"/>
      <c r="D2" s="561"/>
      <c r="E2" s="561"/>
      <c r="F2" s="561"/>
      <c r="G2" s="561"/>
      <c r="H2" s="561"/>
      <c r="I2" s="561"/>
      <c r="J2" s="561"/>
      <c r="K2" s="561"/>
      <c r="L2" s="561"/>
      <c r="M2" s="561"/>
      <c r="N2" s="561"/>
      <c r="O2" s="561"/>
      <c r="P2" s="561"/>
      <c r="Q2" s="561"/>
      <c r="R2" s="561"/>
      <c r="S2" s="561"/>
      <c r="T2" s="561"/>
      <c r="U2" s="561"/>
      <c r="V2" s="561"/>
      <c r="W2" s="561"/>
      <c r="X2" s="561"/>
      <c r="Y2" s="561"/>
      <c r="Z2" s="561"/>
      <c r="AA2" s="233"/>
      <c r="AB2" s="233"/>
      <c r="AC2" s="245"/>
      <c r="AD2" s="245"/>
      <c r="AE2" s="245"/>
    </row>
    <row r="3" spans="1:31" ht="17.399999999999999">
      <c r="A3" s="231"/>
      <c r="B3" s="230"/>
      <c r="C3" s="562" t="s">
        <v>915</v>
      </c>
      <c r="D3" s="562"/>
      <c r="E3" s="562"/>
      <c r="F3" s="562"/>
      <c r="G3" s="562"/>
      <c r="H3" s="562"/>
      <c r="I3" s="562"/>
      <c r="J3" s="562"/>
      <c r="K3" s="562"/>
      <c r="L3" s="562"/>
      <c r="M3" s="562"/>
      <c r="N3" s="562"/>
      <c r="O3" s="562"/>
      <c r="P3" s="562"/>
      <c r="Q3" s="562"/>
      <c r="R3" s="562"/>
      <c r="S3" s="562"/>
      <c r="T3" s="562"/>
      <c r="U3" s="562"/>
      <c r="V3" s="562"/>
      <c r="W3" s="562"/>
      <c r="X3" s="562"/>
      <c r="Y3" s="562"/>
      <c r="Z3" s="562"/>
      <c r="AA3" s="562"/>
      <c r="AB3" s="562"/>
      <c r="AC3" s="245"/>
      <c r="AD3" s="245"/>
      <c r="AE3" s="245"/>
    </row>
    <row r="4" spans="1:31" ht="15.75" customHeight="1">
      <c r="A4" s="232"/>
      <c r="B4" s="233"/>
      <c r="C4" s="232"/>
      <c r="D4" s="233"/>
      <c r="E4" s="234"/>
      <c r="F4" s="235"/>
      <c r="G4" s="236"/>
      <c r="H4" s="235"/>
      <c r="I4" s="235"/>
      <c r="J4" s="235"/>
      <c r="K4" s="235"/>
      <c r="L4" s="233"/>
      <c r="M4" s="233"/>
      <c r="N4" s="235"/>
      <c r="O4" s="235"/>
      <c r="P4" s="245"/>
      <c r="Q4" s="247"/>
      <c r="R4" s="247"/>
      <c r="S4" s="247"/>
      <c r="T4" s="247"/>
      <c r="U4" s="247"/>
      <c r="V4" s="248"/>
      <c r="W4" s="248"/>
      <c r="X4" s="248"/>
      <c r="Y4" s="248"/>
      <c r="Z4" s="248"/>
      <c r="AA4" s="247" t="s">
        <v>55</v>
      </c>
      <c r="AB4" s="250"/>
      <c r="AC4" s="245"/>
      <c r="AD4" s="245"/>
      <c r="AE4" s="245"/>
    </row>
    <row r="5" spans="1:31" ht="30.75" customHeight="1">
      <c r="A5" s="548" t="s">
        <v>3</v>
      </c>
      <c r="B5" s="548" t="s">
        <v>321</v>
      </c>
      <c r="C5" s="550" t="s">
        <v>3</v>
      </c>
      <c r="D5" s="550" t="s">
        <v>321</v>
      </c>
      <c r="E5" s="550" t="s">
        <v>322</v>
      </c>
      <c r="F5" s="563" t="s">
        <v>111</v>
      </c>
      <c r="G5" s="547"/>
      <c r="H5" s="545" t="s">
        <v>323</v>
      </c>
      <c r="I5" s="546"/>
      <c r="J5" s="546"/>
      <c r="K5" s="546"/>
      <c r="L5" s="546"/>
      <c r="M5" s="546"/>
      <c r="N5" s="547"/>
      <c r="O5" s="545" t="s">
        <v>324</v>
      </c>
      <c r="P5" s="546"/>
      <c r="Q5" s="546"/>
      <c r="R5" s="546"/>
      <c r="S5" s="546"/>
      <c r="T5" s="546"/>
      <c r="U5" s="547"/>
      <c r="V5" s="545" t="s">
        <v>325</v>
      </c>
      <c r="W5" s="546"/>
      <c r="X5" s="546"/>
      <c r="Y5" s="546"/>
      <c r="Z5" s="546"/>
      <c r="AA5" s="546"/>
      <c r="AB5" s="547"/>
      <c r="AC5" s="245"/>
      <c r="AD5" s="245"/>
      <c r="AE5" s="245"/>
    </row>
    <row r="6" spans="1:31" ht="26.25" customHeight="1">
      <c r="A6" s="549"/>
      <c r="B6" s="549"/>
      <c r="C6" s="551"/>
      <c r="D6" s="551"/>
      <c r="E6" s="551"/>
      <c r="F6" s="553" t="s">
        <v>130</v>
      </c>
      <c r="G6" s="554" t="s">
        <v>131</v>
      </c>
      <c r="H6" s="554" t="s">
        <v>322</v>
      </c>
      <c r="I6" s="555" t="s">
        <v>130</v>
      </c>
      <c r="J6" s="546"/>
      <c r="K6" s="547"/>
      <c r="L6" s="545" t="s">
        <v>131</v>
      </c>
      <c r="M6" s="546"/>
      <c r="N6" s="547"/>
      <c r="O6" s="553" t="s">
        <v>322</v>
      </c>
      <c r="P6" s="556" t="s">
        <v>130</v>
      </c>
      <c r="Q6" s="557"/>
      <c r="R6" s="558"/>
      <c r="S6" s="559" t="s">
        <v>131</v>
      </c>
      <c r="T6" s="557"/>
      <c r="U6" s="558"/>
      <c r="V6" s="554" t="s">
        <v>322</v>
      </c>
      <c r="W6" s="555" t="s">
        <v>130</v>
      </c>
      <c r="X6" s="546"/>
      <c r="Y6" s="547"/>
      <c r="Z6" s="545" t="s">
        <v>131</v>
      </c>
      <c r="AA6" s="546"/>
      <c r="AB6" s="547"/>
      <c r="AC6" s="245"/>
      <c r="AD6" s="245"/>
      <c r="AE6" s="245"/>
    </row>
    <row r="7" spans="1:31" ht="44.25" customHeight="1">
      <c r="A7" s="549"/>
      <c r="B7" s="549"/>
      <c r="C7" s="552"/>
      <c r="D7" s="552"/>
      <c r="E7" s="552"/>
      <c r="F7" s="552"/>
      <c r="G7" s="552"/>
      <c r="H7" s="552"/>
      <c r="I7" s="246" t="s">
        <v>322</v>
      </c>
      <c r="J7" s="246" t="s">
        <v>326</v>
      </c>
      <c r="K7" s="246" t="s">
        <v>327</v>
      </c>
      <c r="L7" s="246" t="s">
        <v>322</v>
      </c>
      <c r="M7" s="246" t="s">
        <v>326</v>
      </c>
      <c r="N7" s="246" t="s">
        <v>327</v>
      </c>
      <c r="O7" s="552"/>
      <c r="P7" s="246" t="s">
        <v>322</v>
      </c>
      <c r="Q7" s="246" t="s">
        <v>326</v>
      </c>
      <c r="R7" s="246" t="s">
        <v>327</v>
      </c>
      <c r="S7" s="246" t="s">
        <v>322</v>
      </c>
      <c r="T7" s="246" t="s">
        <v>326</v>
      </c>
      <c r="U7" s="246" t="s">
        <v>327</v>
      </c>
      <c r="V7" s="552"/>
      <c r="W7" s="246" t="s">
        <v>322</v>
      </c>
      <c r="X7" s="246" t="s">
        <v>326</v>
      </c>
      <c r="Y7" s="246" t="s">
        <v>327</v>
      </c>
      <c r="Z7" s="246" t="s">
        <v>322</v>
      </c>
      <c r="AA7" s="246" t="s">
        <v>326</v>
      </c>
      <c r="AB7" s="246" t="s">
        <v>327</v>
      </c>
      <c r="AC7" s="245"/>
      <c r="AD7" s="245"/>
      <c r="AE7" s="245"/>
    </row>
    <row r="8" spans="1:31" ht="15.75" customHeight="1">
      <c r="A8" s="237"/>
      <c r="B8" s="237"/>
      <c r="C8" s="238" t="s">
        <v>7</v>
      </c>
      <c r="D8" s="238" t="s">
        <v>22</v>
      </c>
      <c r="E8" s="238">
        <v>1</v>
      </c>
      <c r="F8" s="238">
        <v>2</v>
      </c>
      <c r="G8" s="238">
        <v>3</v>
      </c>
      <c r="H8" s="238">
        <v>4</v>
      </c>
      <c r="I8" s="238">
        <v>5</v>
      </c>
      <c r="J8" s="238">
        <v>6</v>
      </c>
      <c r="K8" s="238">
        <v>7</v>
      </c>
      <c r="L8" s="238">
        <v>8</v>
      </c>
      <c r="M8" s="238">
        <v>9</v>
      </c>
      <c r="N8" s="238">
        <v>10</v>
      </c>
      <c r="O8" s="238">
        <v>11</v>
      </c>
      <c r="P8" s="238">
        <v>12</v>
      </c>
      <c r="Q8" s="238">
        <v>13</v>
      </c>
      <c r="R8" s="238">
        <v>14</v>
      </c>
      <c r="S8" s="238">
        <v>15</v>
      </c>
      <c r="T8" s="238">
        <v>16</v>
      </c>
      <c r="U8" s="238">
        <v>17</v>
      </c>
      <c r="V8" s="238">
        <v>18</v>
      </c>
      <c r="W8" s="238">
        <v>19</v>
      </c>
      <c r="X8" s="238">
        <v>20</v>
      </c>
      <c r="Y8" s="238">
        <v>21</v>
      </c>
      <c r="Z8" s="238">
        <v>22</v>
      </c>
      <c r="AA8" s="238">
        <v>23</v>
      </c>
      <c r="AB8" s="238">
        <v>24</v>
      </c>
      <c r="AC8" s="245"/>
      <c r="AD8" s="245"/>
      <c r="AE8" s="245"/>
    </row>
    <row r="9" spans="1:31" ht="15.75" hidden="1" customHeight="1">
      <c r="A9" s="237"/>
      <c r="B9" s="237"/>
      <c r="C9" s="238"/>
      <c r="D9" s="239" t="e">
        <f>#REF!+#REF!+#REF!+#REF!+#REF!+#REF!+#REF!+#REF!+#REF!+#REF!+#REF!+#REF!</f>
        <v>#REF!</v>
      </c>
      <c r="E9" s="239" t="e">
        <f>E10-#REF!</f>
        <v>#REF!</v>
      </c>
      <c r="F9" s="239" t="e">
        <f>F10-#REF!</f>
        <v>#REF!</v>
      </c>
      <c r="G9" s="239" t="e">
        <f>G10-#REF!</f>
        <v>#REF!</v>
      </c>
      <c r="H9" s="239" t="e">
        <f>H10-#REF!</f>
        <v>#REF!</v>
      </c>
      <c r="I9" s="239" t="e">
        <f>I10-#REF!</f>
        <v>#REF!</v>
      </c>
      <c r="J9" s="239" t="e">
        <f>J10-#REF!</f>
        <v>#REF!</v>
      </c>
      <c r="K9" s="239" t="e">
        <f>K10-#REF!</f>
        <v>#REF!</v>
      </c>
      <c r="L9" s="239" t="e">
        <f>L10-#REF!</f>
        <v>#REF!</v>
      </c>
      <c r="M9" s="239" t="e">
        <f>M10-#REF!</f>
        <v>#REF!</v>
      </c>
      <c r="N9" s="239" t="e">
        <f>N10-#REF!</f>
        <v>#REF!</v>
      </c>
      <c r="O9" s="239" t="e">
        <f>O10-#REF!</f>
        <v>#REF!</v>
      </c>
      <c r="P9" s="239" t="e">
        <f>P10-#REF!</f>
        <v>#REF!</v>
      </c>
      <c r="Q9" s="239" t="e">
        <f>Q10-#REF!</f>
        <v>#REF!</v>
      </c>
      <c r="R9" s="239" t="e">
        <f>R10-#REF!</f>
        <v>#REF!</v>
      </c>
      <c r="S9" s="239" t="e">
        <f>S10-#REF!</f>
        <v>#REF!</v>
      </c>
      <c r="T9" s="239" t="e">
        <f>T10-#REF!</f>
        <v>#REF!</v>
      </c>
      <c r="U9" s="239" t="e">
        <f>U10-#REF!</f>
        <v>#REF!</v>
      </c>
      <c r="V9" s="239" t="e">
        <f>V10-#REF!</f>
        <v>#REF!</v>
      </c>
      <c r="W9" s="239" t="e">
        <f>W10-#REF!</f>
        <v>#REF!</v>
      </c>
      <c r="X9" s="239" t="e">
        <f>X10-#REF!</f>
        <v>#REF!</v>
      </c>
      <c r="Y9" s="239" t="e">
        <f>Y10-#REF!</f>
        <v>#REF!</v>
      </c>
      <c r="Z9" s="239" t="e">
        <f>Z10-#REF!</f>
        <v>#REF!</v>
      </c>
      <c r="AA9" s="239" t="e">
        <f>AA10-#REF!</f>
        <v>#REF!</v>
      </c>
      <c r="AB9" s="239" t="e">
        <f>AB10-#REF!</f>
        <v>#REF!</v>
      </c>
      <c r="AC9" s="245"/>
      <c r="AD9" s="245"/>
      <c r="AE9" s="245"/>
    </row>
    <row r="10" spans="1:31" ht="15.75" hidden="1" customHeight="1">
      <c r="A10" s="237"/>
      <c r="B10" s="237" t="s">
        <v>328</v>
      </c>
      <c r="C10" s="238"/>
      <c r="D10" s="238" t="s">
        <v>329</v>
      </c>
      <c r="E10" s="239" t="e">
        <f>#REF!+#REF!+#REF!+#REF!+#REF!+#REF!+#REF!+#REF!+#REF!+#REF!+#REF!+#REF!+#REF!+#REF!+#REF!+#REF!+#REF!+#REF!+#REF!+#REF!+#REF!+#REF!+#REF!+#REF!+#REF!+#REF!+#REF!+SUM(E11:E11)</f>
        <v>#REF!</v>
      </c>
      <c r="F10" s="239" t="e">
        <f>#REF!+#REF!+#REF!+#REF!+#REF!+#REF!+#REF!+#REF!+#REF!+#REF!+#REF!+#REF!+#REF!+#REF!+#REF!+#REF!+#REF!+#REF!+#REF!+#REF!+#REF!+#REF!+#REF!+#REF!+#REF!+#REF!+#REF!+SUM(F11:F11)</f>
        <v>#REF!</v>
      </c>
      <c r="G10" s="239" t="e">
        <f>#REF!+#REF!+#REF!+#REF!+#REF!+#REF!+#REF!+#REF!+#REF!+#REF!+#REF!+#REF!+#REF!+#REF!+#REF!+#REF!+#REF!+#REF!+#REF!+#REF!+#REF!+#REF!+#REF!+#REF!+#REF!+#REF!+#REF!+SUM(G11:G11)</f>
        <v>#REF!</v>
      </c>
      <c r="H10" s="239" t="e">
        <f>#REF!+#REF!+#REF!+#REF!+#REF!+#REF!+#REF!+#REF!+#REF!+#REF!+#REF!+#REF!+#REF!+#REF!+#REF!+#REF!+#REF!+#REF!+#REF!+#REF!+#REF!+#REF!+#REF!+#REF!+#REF!+#REF!+#REF!+SUM(H11:H11)</f>
        <v>#REF!</v>
      </c>
      <c r="I10" s="239" t="e">
        <f>#REF!+#REF!+#REF!+#REF!+#REF!+#REF!+#REF!+#REF!+#REF!+#REF!+#REF!+#REF!+#REF!+#REF!+#REF!+#REF!+#REF!+#REF!+#REF!+#REF!+#REF!+#REF!+#REF!+#REF!+#REF!+#REF!+#REF!+SUM(I11:I11)</f>
        <v>#REF!</v>
      </c>
      <c r="J10" s="239" t="e">
        <f>#REF!+#REF!+#REF!+#REF!+#REF!+#REF!+#REF!+#REF!+#REF!+#REF!+#REF!+#REF!+#REF!+#REF!+#REF!+#REF!+#REF!+#REF!+#REF!+#REF!+#REF!+#REF!+#REF!+#REF!+#REF!+#REF!+#REF!+SUM(J11:J11)</f>
        <v>#REF!</v>
      </c>
      <c r="K10" s="239" t="e">
        <f>#REF!+#REF!+#REF!+#REF!+#REF!+#REF!+#REF!+#REF!+#REF!+#REF!+#REF!+#REF!+#REF!+#REF!+#REF!+#REF!+#REF!+#REF!+#REF!+#REF!+#REF!+#REF!+#REF!+#REF!+#REF!+#REF!+#REF!+SUM(K11:K11)</f>
        <v>#REF!</v>
      </c>
      <c r="L10" s="239" t="e">
        <f>#REF!+#REF!+#REF!+#REF!+#REF!+#REF!+#REF!+#REF!+#REF!+#REF!+#REF!+#REF!+#REF!+#REF!+#REF!+#REF!+#REF!+#REF!+#REF!+#REF!+#REF!+#REF!+#REF!+#REF!+#REF!+#REF!+#REF!+SUM(L11:L11)</f>
        <v>#REF!</v>
      </c>
      <c r="M10" s="239" t="e">
        <f>#REF!+#REF!+#REF!+#REF!+#REF!+#REF!+#REF!+#REF!+#REF!+#REF!+#REF!+#REF!+#REF!+#REF!+#REF!+#REF!+#REF!+#REF!+#REF!+#REF!+#REF!+#REF!+#REF!+#REF!+#REF!+#REF!+#REF!+SUM(M11:M11)</f>
        <v>#REF!</v>
      </c>
      <c r="N10" s="239" t="e">
        <f>#REF!+#REF!+#REF!+#REF!+#REF!+#REF!+#REF!+#REF!+#REF!+#REF!+#REF!+#REF!+#REF!+#REF!+#REF!+#REF!+#REF!+#REF!+#REF!+#REF!+#REF!+#REF!+#REF!+#REF!+#REF!+#REF!+#REF!+SUM(N11:N11)</f>
        <v>#REF!</v>
      </c>
      <c r="O10" s="239" t="e">
        <f>#REF!+#REF!+#REF!+#REF!+#REF!+#REF!+#REF!+#REF!+#REF!+#REF!+#REF!+#REF!+#REF!+#REF!+#REF!+#REF!+#REF!+#REF!+#REF!+#REF!+#REF!+#REF!+#REF!+#REF!+#REF!+#REF!+#REF!+SUM(O11:O11)</f>
        <v>#REF!</v>
      </c>
      <c r="P10" s="239" t="e">
        <f>#REF!+#REF!+#REF!+#REF!+#REF!+#REF!+#REF!+#REF!+#REF!+#REF!+#REF!+#REF!+#REF!+#REF!+#REF!+#REF!+#REF!+#REF!+#REF!+#REF!+#REF!+#REF!+#REF!+#REF!+#REF!+#REF!+#REF!+SUM(P11:P11)</f>
        <v>#REF!</v>
      </c>
      <c r="Q10" s="239" t="e">
        <f>#REF!+#REF!+#REF!+#REF!+#REF!+#REF!+#REF!+#REF!+#REF!+#REF!+#REF!+#REF!+#REF!+#REF!+#REF!+#REF!+#REF!+#REF!+#REF!+#REF!+#REF!+#REF!+#REF!+#REF!+#REF!+#REF!+#REF!+SUM(Q11:Q11)</f>
        <v>#REF!</v>
      </c>
      <c r="R10" s="239" t="e">
        <f>#REF!+#REF!+#REF!+#REF!+#REF!+#REF!+#REF!+#REF!+#REF!+#REF!+#REF!+#REF!+#REF!+#REF!+#REF!+#REF!+#REF!+#REF!+#REF!+#REF!+#REF!+#REF!+#REF!+#REF!+#REF!+#REF!+#REF!+SUM(R11:R11)</f>
        <v>#REF!</v>
      </c>
      <c r="S10" s="239" t="e">
        <f>#REF!+#REF!+#REF!+#REF!+#REF!+#REF!+#REF!+#REF!+#REF!+#REF!+#REF!+#REF!+#REF!+#REF!+#REF!+#REF!+#REF!+#REF!+#REF!+#REF!+#REF!+#REF!+#REF!+#REF!+#REF!+#REF!+#REF!+SUM(S11:S11)</f>
        <v>#REF!</v>
      </c>
      <c r="T10" s="239" t="e">
        <f>#REF!+#REF!+#REF!+#REF!+#REF!+#REF!+#REF!+#REF!+#REF!+#REF!+#REF!+#REF!+#REF!+#REF!+#REF!+#REF!+#REF!+#REF!+#REF!+#REF!+#REF!+#REF!+#REF!+#REF!+#REF!+#REF!+#REF!+SUM(T11:T11)</f>
        <v>#REF!</v>
      </c>
      <c r="U10" s="239" t="e">
        <f>#REF!+#REF!+#REF!+#REF!+#REF!+#REF!+#REF!+#REF!+#REF!+#REF!+#REF!+#REF!+#REF!+#REF!+#REF!+#REF!+#REF!+#REF!+#REF!+#REF!+#REF!+#REF!+#REF!+#REF!+#REF!+#REF!+#REF!+SUM(U11:U11)</f>
        <v>#REF!</v>
      </c>
      <c r="V10" s="239" t="e">
        <f>#REF!+#REF!+#REF!+#REF!+#REF!+#REF!+#REF!+#REF!+#REF!+#REF!+#REF!+#REF!+#REF!+#REF!+#REF!+#REF!+#REF!+#REF!+#REF!+#REF!+#REF!+#REF!+#REF!+#REF!+#REF!+#REF!+#REF!+SUM(V11:V11)</f>
        <v>#REF!</v>
      </c>
      <c r="W10" s="239" t="e">
        <f>#REF!+#REF!+#REF!+#REF!+#REF!+#REF!+#REF!+#REF!+#REF!+#REF!+#REF!+#REF!+#REF!+#REF!+#REF!+#REF!+#REF!+#REF!+#REF!+#REF!+#REF!+#REF!+#REF!+#REF!+#REF!+#REF!+#REF!+SUM(W11:W11)</f>
        <v>#REF!</v>
      </c>
      <c r="X10" s="239" t="e">
        <f>#REF!+#REF!+#REF!+#REF!+#REF!+#REF!+#REF!+#REF!+#REF!+#REF!+#REF!+#REF!+#REF!+#REF!+#REF!+#REF!+#REF!+#REF!+#REF!+#REF!+#REF!+#REF!+#REF!+#REF!+#REF!+#REF!+#REF!+SUM(X11:X11)</f>
        <v>#REF!</v>
      </c>
      <c r="Y10" s="239" t="e">
        <f>#REF!+#REF!+#REF!+#REF!+#REF!+#REF!+#REF!+#REF!+#REF!+#REF!+#REF!+#REF!+#REF!+#REF!+#REF!+#REF!+#REF!+#REF!+#REF!+#REF!+#REF!+#REF!+#REF!+#REF!+#REF!+#REF!+#REF!+SUM(Y11:Y11)</f>
        <v>#REF!</v>
      </c>
      <c r="Z10" s="239" t="e">
        <f>#REF!+#REF!+#REF!+#REF!+#REF!+#REF!+#REF!+#REF!+#REF!+#REF!+#REF!+#REF!+#REF!+#REF!+#REF!+#REF!+#REF!+#REF!+#REF!+#REF!+#REF!+#REF!+#REF!+#REF!+#REF!+#REF!+#REF!+SUM(Z11:Z11)</f>
        <v>#REF!</v>
      </c>
      <c r="AA10" s="239" t="e">
        <f>#REF!+#REF!+#REF!+#REF!+#REF!+#REF!+#REF!+#REF!+#REF!+#REF!+#REF!+#REF!+#REF!+#REF!+#REF!+#REF!+#REF!+#REF!+#REF!+#REF!+#REF!+#REF!+#REF!+#REF!+#REF!+#REF!+#REF!+SUM(AA11:AA11)</f>
        <v>#REF!</v>
      </c>
      <c r="AB10" s="239" t="e">
        <f>#REF!+#REF!+#REF!+#REF!+#REF!+#REF!+#REF!+#REF!+#REF!+#REF!+#REF!+#REF!+#REF!+#REF!+#REF!+#REF!+#REF!+#REF!+#REF!+#REF!+#REF!+#REF!+#REF!+#REF!+#REF!+#REF!+#REF!+SUM(AB11:AB11)</f>
        <v>#REF!</v>
      </c>
      <c r="AC10" s="245"/>
      <c r="AD10" s="245"/>
      <c r="AE10" s="245"/>
    </row>
    <row r="11" spans="1:31" ht="22.5" customHeight="1">
      <c r="A11" s="240"/>
      <c r="B11" s="241"/>
      <c r="C11" s="242">
        <v>1</v>
      </c>
      <c r="D11" s="243" t="s">
        <v>330</v>
      </c>
      <c r="E11" s="244">
        <f t="shared" ref="E11" si="0">F11+G11</f>
        <v>17303.059999999998</v>
      </c>
      <c r="F11" s="519">
        <f t="shared" ref="F11" si="1">I11+P11+W11</f>
        <v>12296.3</v>
      </c>
      <c r="G11" s="519">
        <f t="shared" ref="G11" si="2">L11+S11+Z11</f>
        <v>5006.76</v>
      </c>
      <c r="H11" s="519">
        <f t="shared" ref="H11" si="3">I11+L11</f>
        <v>6741.76</v>
      </c>
      <c r="I11" s="519">
        <f t="shared" ref="I11" si="4">J11+K11</f>
        <v>6588</v>
      </c>
      <c r="J11" s="519">
        <v>5897</v>
      </c>
      <c r="K11" s="519">
        <v>691</v>
      </c>
      <c r="L11" s="519">
        <f t="shared" ref="L11" si="5">M11+N11</f>
        <v>153.76</v>
      </c>
      <c r="M11" s="519">
        <v>153.76</v>
      </c>
      <c r="N11" s="244"/>
      <c r="O11" s="244">
        <f t="shared" ref="O11" si="6">P11+S11</f>
        <v>1040</v>
      </c>
      <c r="P11" s="244">
        <f t="shared" ref="P11" si="7">Q11+R11</f>
        <v>0</v>
      </c>
      <c r="Q11" s="244">
        <v>0</v>
      </c>
      <c r="R11" s="244">
        <v>0</v>
      </c>
      <c r="S11" s="244">
        <f t="shared" ref="S11" si="8">T11+U11</f>
        <v>1040</v>
      </c>
      <c r="T11" s="244">
        <v>955</v>
      </c>
      <c r="U11" s="244">
        <v>85</v>
      </c>
      <c r="V11" s="519">
        <f t="shared" ref="V11" si="9">W11+Z11</f>
        <v>9521.2999999999993</v>
      </c>
      <c r="W11" s="519">
        <f t="shared" ref="W11" si="10">X11+Y11</f>
        <v>5708.3</v>
      </c>
      <c r="X11" s="519">
        <v>5380.8</v>
      </c>
      <c r="Y11" s="519">
        <v>327.5</v>
      </c>
      <c r="Z11" s="519">
        <f t="shared" ref="Z11" si="11">AA11+AB11</f>
        <v>3813</v>
      </c>
      <c r="AA11" s="519">
        <v>3467</v>
      </c>
      <c r="AB11" s="519">
        <v>346</v>
      </c>
      <c r="AC11" s="245"/>
      <c r="AD11" s="245"/>
      <c r="AE11" s="245"/>
    </row>
    <row r="12" spans="1:31" ht="15.75" customHeight="1">
      <c r="A12" s="232"/>
      <c r="B12" s="233"/>
      <c r="C12" s="232"/>
      <c r="D12" s="233"/>
      <c r="E12" s="233"/>
      <c r="F12" s="235"/>
      <c r="G12" s="233"/>
      <c r="H12" s="233"/>
      <c r="I12" s="235"/>
      <c r="J12" s="235"/>
      <c r="K12" s="235"/>
      <c r="L12" s="233"/>
      <c r="M12" s="233"/>
      <c r="N12" s="233"/>
      <c r="O12" s="235"/>
      <c r="P12" s="235"/>
      <c r="Q12" s="235"/>
      <c r="R12" s="235"/>
      <c r="S12" s="233"/>
      <c r="T12" s="235"/>
      <c r="U12" s="235"/>
      <c r="V12" s="233"/>
      <c r="W12" s="235"/>
      <c r="X12" s="235"/>
      <c r="Y12" s="235"/>
      <c r="Z12" s="233"/>
      <c r="AA12" s="233"/>
      <c r="AB12" s="233"/>
      <c r="AC12" s="245"/>
      <c r="AD12" s="245"/>
      <c r="AE12" s="245"/>
    </row>
    <row r="13" spans="1:31" ht="15.75" customHeight="1">
      <c r="A13" s="232"/>
      <c r="B13" s="233"/>
      <c r="C13" s="232"/>
      <c r="D13" s="233"/>
      <c r="E13" s="233"/>
      <c r="F13" s="235"/>
      <c r="G13" s="233"/>
      <c r="H13" s="233"/>
      <c r="I13" s="235"/>
      <c r="J13" s="235"/>
      <c r="K13" s="235"/>
      <c r="L13" s="233"/>
      <c r="M13" s="233"/>
      <c r="N13" s="233"/>
      <c r="O13" s="235"/>
      <c r="P13" s="235"/>
      <c r="Q13" s="235"/>
      <c r="R13" s="235"/>
      <c r="S13" s="233"/>
      <c r="T13" s="235"/>
      <c r="U13" s="235"/>
      <c r="V13" s="233"/>
      <c r="W13" s="235"/>
      <c r="X13" s="235"/>
      <c r="Y13" s="235"/>
      <c r="Z13" s="233"/>
      <c r="AA13" s="233"/>
      <c r="AB13" s="233"/>
      <c r="AC13" s="245"/>
      <c r="AD13" s="245"/>
      <c r="AE13" s="245"/>
    </row>
    <row r="14" spans="1:31" ht="15.75" customHeight="1">
      <c r="A14" s="232"/>
      <c r="B14" s="233"/>
      <c r="C14" s="232"/>
      <c r="D14" s="233"/>
      <c r="E14" s="233"/>
      <c r="F14" s="235"/>
      <c r="G14" s="233"/>
      <c r="H14" s="233"/>
      <c r="I14" s="235"/>
      <c r="J14" s="235"/>
      <c r="K14" s="235"/>
      <c r="L14" s="233"/>
      <c r="M14" s="233"/>
      <c r="N14" s="233"/>
      <c r="O14" s="235"/>
      <c r="P14" s="235"/>
      <c r="Q14" s="235"/>
      <c r="R14" s="235"/>
      <c r="S14" s="233"/>
      <c r="T14" s="235"/>
      <c r="U14" s="235"/>
      <c r="V14" s="233"/>
      <c r="W14" s="235"/>
      <c r="X14" s="235"/>
      <c r="Y14" s="235"/>
      <c r="Z14" s="233"/>
      <c r="AA14" s="233"/>
      <c r="AB14" s="233"/>
      <c r="AC14" s="245"/>
      <c r="AD14" s="245"/>
      <c r="AE14" s="245"/>
    </row>
    <row r="15" spans="1:31" ht="15.75" customHeight="1">
      <c r="A15" s="232"/>
      <c r="B15" s="233"/>
      <c r="C15" s="232"/>
      <c r="D15" s="233"/>
      <c r="E15" s="233"/>
      <c r="F15" s="235"/>
      <c r="G15" s="233"/>
      <c r="H15" s="233"/>
      <c r="I15" s="235"/>
      <c r="J15" s="235"/>
      <c r="K15" s="235"/>
      <c r="L15" s="233"/>
      <c r="M15" s="233"/>
      <c r="N15" s="233"/>
      <c r="O15" s="235"/>
      <c r="P15" s="235"/>
      <c r="Q15" s="235"/>
      <c r="R15" s="235"/>
      <c r="S15" s="233"/>
      <c r="T15" s="235"/>
      <c r="U15" s="235"/>
      <c r="V15" s="233"/>
      <c r="W15" s="235"/>
      <c r="X15" s="235"/>
      <c r="Y15" s="235"/>
      <c r="Z15" s="233"/>
      <c r="AA15" s="233"/>
      <c r="AB15" s="233"/>
      <c r="AC15" s="245"/>
      <c r="AD15" s="245"/>
      <c r="AE15" s="245"/>
    </row>
    <row r="16" spans="1:31" ht="15.75" customHeight="1">
      <c r="A16" s="232"/>
      <c r="B16" s="233"/>
      <c r="C16" s="232"/>
      <c r="D16" s="233"/>
      <c r="E16" s="233"/>
      <c r="F16" s="235"/>
      <c r="G16" s="233"/>
      <c r="H16" s="233"/>
      <c r="I16" s="235"/>
      <c r="J16" s="235"/>
      <c r="K16" s="235"/>
      <c r="L16" s="233"/>
      <c r="M16" s="233"/>
      <c r="N16" s="233"/>
      <c r="O16" s="235"/>
      <c r="P16" s="235"/>
      <c r="Q16" s="235"/>
      <c r="R16" s="235"/>
      <c r="S16" s="233"/>
      <c r="T16" s="235"/>
      <c r="U16" s="235"/>
      <c r="V16" s="233"/>
      <c r="W16" s="235"/>
      <c r="X16" s="235"/>
      <c r="Y16" s="235"/>
      <c r="Z16" s="233"/>
      <c r="AA16" s="233"/>
      <c r="AB16" s="233"/>
      <c r="AC16" s="245"/>
      <c r="AD16" s="245"/>
      <c r="AE16" s="245"/>
    </row>
    <row r="17" spans="1:31" ht="15.75" customHeight="1">
      <c r="A17" s="232"/>
      <c r="B17" s="233"/>
      <c r="C17" s="232"/>
      <c r="D17" s="233"/>
      <c r="E17" s="233"/>
      <c r="F17" s="235"/>
      <c r="G17" s="233"/>
      <c r="H17" s="233"/>
      <c r="I17" s="235"/>
      <c r="J17" s="235"/>
      <c r="K17" s="235"/>
      <c r="L17" s="233"/>
      <c r="M17" s="233"/>
      <c r="N17" s="233"/>
      <c r="O17" s="235"/>
      <c r="P17" s="235"/>
      <c r="Q17" s="235"/>
      <c r="R17" s="235"/>
      <c r="S17" s="233"/>
      <c r="T17" s="235"/>
      <c r="U17" s="235"/>
      <c r="V17" s="233"/>
      <c r="W17" s="235"/>
      <c r="X17" s="235"/>
      <c r="Y17" s="235"/>
      <c r="Z17" s="233"/>
      <c r="AA17" s="233"/>
      <c r="AB17" s="233"/>
      <c r="AC17" s="245"/>
      <c r="AD17" s="245"/>
      <c r="AE17" s="245"/>
    </row>
    <row r="18" spans="1:31" ht="15.75" customHeight="1">
      <c r="A18" s="232"/>
      <c r="B18" s="233"/>
      <c r="C18" s="232"/>
      <c r="D18" s="233"/>
      <c r="E18" s="233"/>
      <c r="F18" s="235"/>
      <c r="G18" s="233"/>
      <c r="H18" s="233"/>
      <c r="I18" s="235"/>
      <c r="J18" s="235"/>
      <c r="K18" s="235"/>
      <c r="L18" s="233"/>
      <c r="M18" s="233"/>
      <c r="N18" s="233"/>
      <c r="O18" s="235"/>
      <c r="P18" s="235"/>
      <c r="Q18" s="235"/>
      <c r="R18" s="235"/>
      <c r="S18" s="233"/>
      <c r="T18" s="235"/>
      <c r="U18" s="235"/>
      <c r="V18" s="233"/>
      <c r="W18" s="235"/>
      <c r="X18" s="235"/>
      <c r="Y18" s="235"/>
      <c r="Z18" s="233"/>
      <c r="AA18" s="233"/>
      <c r="AB18" s="233"/>
      <c r="AC18" s="245"/>
      <c r="AD18" s="245"/>
      <c r="AE18" s="245"/>
    </row>
    <row r="19" spans="1:31" ht="15.75" customHeight="1">
      <c r="A19" s="232"/>
      <c r="B19" s="233"/>
      <c r="C19" s="232"/>
      <c r="D19" s="233"/>
      <c r="E19" s="233"/>
      <c r="F19" s="235"/>
      <c r="G19" s="233"/>
      <c r="H19" s="233"/>
      <c r="I19" s="235"/>
      <c r="J19" s="235"/>
      <c r="K19" s="235"/>
      <c r="L19" s="233"/>
      <c r="M19" s="233"/>
      <c r="N19" s="233"/>
      <c r="O19" s="235"/>
      <c r="P19" s="235"/>
      <c r="Q19" s="235"/>
      <c r="R19" s="235"/>
      <c r="S19" s="233"/>
      <c r="T19" s="235"/>
      <c r="U19" s="235"/>
      <c r="V19" s="233"/>
      <c r="W19" s="235"/>
      <c r="X19" s="235"/>
      <c r="Y19" s="235"/>
      <c r="Z19" s="233"/>
      <c r="AA19" s="233"/>
      <c r="AB19" s="233"/>
      <c r="AC19" s="245"/>
      <c r="AD19" s="245"/>
      <c r="AE19" s="245"/>
    </row>
    <row r="20" spans="1:31" ht="15.75" customHeight="1">
      <c r="A20" s="232"/>
      <c r="B20" s="233"/>
      <c r="C20" s="232"/>
      <c r="D20" s="233"/>
      <c r="E20" s="233"/>
      <c r="F20" s="235"/>
      <c r="G20" s="233"/>
      <c r="H20" s="233"/>
      <c r="I20" s="235"/>
      <c r="J20" s="235"/>
      <c r="K20" s="235"/>
      <c r="L20" s="233"/>
      <c r="M20" s="233"/>
      <c r="N20" s="233"/>
      <c r="O20" s="235"/>
      <c r="P20" s="235"/>
      <c r="Q20" s="235"/>
      <c r="R20" s="235"/>
      <c r="S20" s="233"/>
      <c r="T20" s="235"/>
      <c r="U20" s="235"/>
      <c r="V20" s="233"/>
      <c r="W20" s="235"/>
      <c r="X20" s="235"/>
      <c r="Y20" s="235"/>
      <c r="Z20" s="233"/>
      <c r="AA20" s="233"/>
      <c r="AB20" s="233"/>
      <c r="AC20" s="245"/>
      <c r="AD20" s="245"/>
      <c r="AE20" s="245"/>
    </row>
    <row r="21" spans="1:31" ht="15.75" customHeight="1">
      <c r="A21" s="232"/>
      <c r="B21" s="233"/>
      <c r="C21" s="232"/>
      <c r="D21" s="233"/>
      <c r="E21" s="233"/>
      <c r="F21" s="235"/>
      <c r="G21" s="233"/>
      <c r="H21" s="233"/>
      <c r="I21" s="235"/>
      <c r="J21" s="235"/>
      <c r="K21" s="235"/>
      <c r="L21" s="233"/>
      <c r="M21" s="233"/>
      <c r="N21" s="233"/>
      <c r="O21" s="235"/>
      <c r="P21" s="235"/>
      <c r="Q21" s="235"/>
      <c r="R21" s="235"/>
      <c r="S21" s="233"/>
      <c r="T21" s="235"/>
      <c r="U21" s="235"/>
      <c r="V21" s="233"/>
      <c r="W21" s="235"/>
      <c r="X21" s="235"/>
      <c r="Y21" s="235"/>
      <c r="Z21" s="233"/>
      <c r="AA21" s="233"/>
      <c r="AB21" s="233"/>
      <c r="AC21" s="245"/>
      <c r="AD21" s="245"/>
      <c r="AE21" s="245"/>
    </row>
    <row r="22" spans="1:31" ht="15.75" customHeight="1">
      <c r="A22" s="232"/>
      <c r="B22" s="233"/>
      <c r="C22" s="232"/>
      <c r="D22" s="233"/>
      <c r="E22" s="233"/>
      <c r="F22" s="235"/>
      <c r="G22" s="233"/>
      <c r="H22" s="233"/>
      <c r="I22" s="235"/>
      <c r="J22" s="235"/>
      <c r="K22" s="235"/>
      <c r="L22" s="233"/>
      <c r="M22" s="233"/>
      <c r="N22" s="233"/>
      <c r="O22" s="235"/>
      <c r="P22" s="235"/>
      <c r="Q22" s="235"/>
      <c r="R22" s="235"/>
      <c r="S22" s="233"/>
      <c r="T22" s="235"/>
      <c r="U22" s="235"/>
      <c r="V22" s="233"/>
      <c r="W22" s="235"/>
      <c r="X22" s="235"/>
      <c r="Y22" s="235"/>
      <c r="Z22" s="233"/>
      <c r="AA22" s="233"/>
      <c r="AB22" s="233"/>
      <c r="AC22" s="245"/>
      <c r="AD22" s="245"/>
      <c r="AE22" s="245"/>
    </row>
    <row r="23" spans="1:31" ht="15.75" customHeight="1">
      <c r="A23" s="232"/>
      <c r="B23" s="233"/>
      <c r="C23" s="232"/>
      <c r="D23" s="233"/>
      <c r="E23" s="233"/>
      <c r="F23" s="235"/>
      <c r="G23" s="233"/>
      <c r="H23" s="233"/>
      <c r="I23" s="235"/>
      <c r="J23" s="235"/>
      <c r="K23" s="235"/>
      <c r="L23" s="233"/>
      <c r="M23" s="233"/>
      <c r="N23" s="233"/>
      <c r="O23" s="235"/>
      <c r="P23" s="235"/>
      <c r="Q23" s="235"/>
      <c r="R23" s="235"/>
      <c r="S23" s="233"/>
      <c r="T23" s="235"/>
      <c r="U23" s="235"/>
      <c r="V23" s="233"/>
      <c r="W23" s="235"/>
      <c r="X23" s="235"/>
      <c r="Y23" s="235"/>
      <c r="Z23" s="233"/>
      <c r="AA23" s="233"/>
      <c r="AB23" s="233"/>
      <c r="AC23" s="245"/>
      <c r="AD23" s="245"/>
      <c r="AE23" s="245"/>
    </row>
    <row r="24" spans="1:31" ht="15.75" customHeight="1">
      <c r="A24" s="232"/>
      <c r="B24" s="233"/>
      <c r="C24" s="232"/>
      <c r="D24" s="233"/>
      <c r="E24" s="233"/>
      <c r="F24" s="235"/>
      <c r="G24" s="233"/>
      <c r="H24" s="233"/>
      <c r="I24" s="235"/>
      <c r="J24" s="235"/>
      <c r="K24" s="235"/>
      <c r="L24" s="233"/>
      <c r="M24" s="233"/>
      <c r="N24" s="233"/>
      <c r="O24" s="235"/>
      <c r="P24" s="235"/>
      <c r="Q24" s="235"/>
      <c r="R24" s="235"/>
      <c r="S24" s="233"/>
      <c r="T24" s="235"/>
      <c r="U24" s="235"/>
      <c r="V24" s="233"/>
      <c r="W24" s="235"/>
      <c r="X24" s="235"/>
      <c r="Y24" s="235"/>
      <c r="Z24" s="233"/>
      <c r="AA24" s="233"/>
      <c r="AB24" s="233"/>
      <c r="AC24" s="245"/>
      <c r="AD24" s="245"/>
      <c r="AE24" s="245"/>
    </row>
    <row r="25" spans="1:31" ht="15.75" customHeight="1">
      <c r="A25" s="232"/>
      <c r="B25" s="233"/>
      <c r="C25" s="232"/>
      <c r="D25" s="233"/>
      <c r="E25" s="233"/>
      <c r="F25" s="235"/>
      <c r="G25" s="233"/>
      <c r="H25" s="233"/>
      <c r="I25" s="235"/>
      <c r="J25" s="235"/>
      <c r="K25" s="235"/>
      <c r="L25" s="233"/>
      <c r="M25" s="233"/>
      <c r="N25" s="233"/>
      <c r="O25" s="235"/>
      <c r="P25" s="235"/>
      <c r="Q25" s="235"/>
      <c r="R25" s="235"/>
      <c r="S25" s="233"/>
      <c r="T25" s="235"/>
      <c r="U25" s="235"/>
      <c r="V25" s="233"/>
      <c r="W25" s="235"/>
      <c r="X25" s="235"/>
      <c r="Y25" s="235"/>
      <c r="Z25" s="233"/>
      <c r="AA25" s="233"/>
      <c r="AB25" s="233"/>
      <c r="AC25" s="245"/>
      <c r="AD25" s="245"/>
      <c r="AE25" s="245"/>
    </row>
    <row r="26" spans="1:31" ht="15.75" customHeight="1">
      <c r="A26" s="232"/>
      <c r="B26" s="233"/>
      <c r="C26" s="232"/>
      <c r="D26" s="233"/>
      <c r="E26" s="233"/>
      <c r="F26" s="235"/>
      <c r="G26" s="233"/>
      <c r="H26" s="233"/>
      <c r="I26" s="235"/>
      <c r="J26" s="235"/>
      <c r="K26" s="235"/>
      <c r="L26" s="233"/>
      <c r="M26" s="233"/>
      <c r="N26" s="233"/>
      <c r="O26" s="235"/>
      <c r="P26" s="235"/>
      <c r="Q26" s="235"/>
      <c r="R26" s="235"/>
      <c r="S26" s="233"/>
      <c r="T26" s="235"/>
      <c r="U26" s="235"/>
      <c r="V26" s="233"/>
      <c r="W26" s="235"/>
      <c r="X26" s="235"/>
      <c r="Y26" s="235"/>
      <c r="Z26" s="233"/>
      <c r="AA26" s="233"/>
      <c r="AB26" s="233"/>
      <c r="AC26" s="245"/>
      <c r="AD26" s="245"/>
      <c r="AE26" s="245"/>
    </row>
    <row r="27" spans="1:31" ht="15.75" customHeight="1">
      <c r="A27" s="232"/>
      <c r="B27" s="233"/>
      <c r="C27" s="232"/>
      <c r="D27" s="233"/>
      <c r="E27" s="233"/>
      <c r="F27" s="235"/>
      <c r="G27" s="233"/>
      <c r="H27" s="233"/>
      <c r="I27" s="235"/>
      <c r="J27" s="235"/>
      <c r="K27" s="235"/>
      <c r="L27" s="233"/>
      <c r="M27" s="233"/>
      <c r="N27" s="233"/>
      <c r="O27" s="235"/>
      <c r="P27" s="235"/>
      <c r="Q27" s="235"/>
      <c r="R27" s="235"/>
      <c r="S27" s="233"/>
      <c r="T27" s="235"/>
      <c r="U27" s="235"/>
      <c r="V27" s="233"/>
      <c r="W27" s="235"/>
      <c r="X27" s="235"/>
      <c r="Y27" s="235"/>
      <c r="Z27" s="233"/>
      <c r="AA27" s="233"/>
      <c r="AB27" s="233"/>
      <c r="AC27" s="245"/>
      <c r="AD27" s="245"/>
      <c r="AE27" s="245"/>
    </row>
    <row r="28" spans="1:31" ht="15.75" customHeight="1">
      <c r="A28" s="232"/>
      <c r="B28" s="233"/>
      <c r="C28" s="232"/>
      <c r="D28" s="233"/>
      <c r="E28" s="233"/>
      <c r="F28" s="235"/>
      <c r="G28" s="233"/>
      <c r="H28" s="233"/>
      <c r="I28" s="235"/>
      <c r="J28" s="235"/>
      <c r="K28" s="235"/>
      <c r="L28" s="233"/>
      <c r="M28" s="233"/>
      <c r="N28" s="233"/>
      <c r="O28" s="235"/>
      <c r="P28" s="235"/>
      <c r="Q28" s="235"/>
      <c r="R28" s="235"/>
      <c r="S28" s="233"/>
      <c r="T28" s="235"/>
      <c r="U28" s="235"/>
      <c r="V28" s="233"/>
      <c r="W28" s="235"/>
      <c r="X28" s="235"/>
      <c r="Y28" s="235"/>
      <c r="Z28" s="233"/>
      <c r="AA28" s="233"/>
      <c r="AB28" s="233"/>
      <c r="AC28" s="245"/>
      <c r="AD28" s="245"/>
      <c r="AE28" s="245"/>
    </row>
    <row r="29" spans="1:31" ht="15.75" customHeight="1">
      <c r="A29" s="232"/>
      <c r="B29" s="233"/>
      <c r="C29" s="232"/>
      <c r="D29" s="233"/>
      <c r="E29" s="233"/>
      <c r="F29" s="235"/>
      <c r="G29" s="233"/>
      <c r="H29" s="233"/>
      <c r="I29" s="235"/>
      <c r="J29" s="235"/>
      <c r="K29" s="235"/>
      <c r="L29" s="233"/>
      <c r="M29" s="233"/>
      <c r="N29" s="233"/>
      <c r="O29" s="235"/>
      <c r="P29" s="235"/>
      <c r="Q29" s="235"/>
      <c r="R29" s="235"/>
      <c r="S29" s="233"/>
      <c r="T29" s="235"/>
      <c r="U29" s="235"/>
      <c r="V29" s="233"/>
      <c r="W29" s="235"/>
      <c r="X29" s="235"/>
      <c r="Y29" s="235"/>
      <c r="Z29" s="233"/>
      <c r="AA29" s="233"/>
      <c r="AB29" s="233"/>
      <c r="AC29" s="245"/>
      <c r="AD29" s="245"/>
      <c r="AE29" s="245"/>
    </row>
    <row r="30" spans="1:31" ht="15.75" customHeight="1">
      <c r="A30" s="232"/>
      <c r="B30" s="233"/>
      <c r="C30" s="232"/>
      <c r="D30" s="233"/>
      <c r="E30" s="233"/>
      <c r="F30" s="235"/>
      <c r="G30" s="233"/>
      <c r="H30" s="233"/>
      <c r="I30" s="235"/>
      <c r="J30" s="235"/>
      <c r="K30" s="235"/>
      <c r="L30" s="233"/>
      <c r="M30" s="233"/>
      <c r="N30" s="233"/>
      <c r="O30" s="235"/>
      <c r="P30" s="235"/>
      <c r="Q30" s="235"/>
      <c r="R30" s="235"/>
      <c r="S30" s="233"/>
      <c r="T30" s="235"/>
      <c r="U30" s="235"/>
      <c r="V30" s="233"/>
      <c r="W30" s="235"/>
      <c r="X30" s="235"/>
      <c r="Y30" s="235"/>
      <c r="Z30" s="233"/>
      <c r="AA30" s="233"/>
      <c r="AB30" s="233"/>
      <c r="AC30" s="245"/>
      <c r="AD30" s="245"/>
      <c r="AE30" s="245"/>
    </row>
    <row r="31" spans="1:31" ht="15.75" customHeight="1">
      <c r="A31" s="232"/>
      <c r="B31" s="233"/>
      <c r="C31" s="232"/>
      <c r="D31" s="233"/>
      <c r="E31" s="233"/>
      <c r="F31" s="235"/>
      <c r="G31" s="233"/>
      <c r="H31" s="233"/>
      <c r="I31" s="235"/>
      <c r="J31" s="235"/>
      <c r="K31" s="235"/>
      <c r="L31" s="233"/>
      <c r="M31" s="233"/>
      <c r="N31" s="233"/>
      <c r="O31" s="235"/>
      <c r="P31" s="235"/>
      <c r="Q31" s="235"/>
      <c r="R31" s="235"/>
      <c r="S31" s="233"/>
      <c r="T31" s="235"/>
      <c r="U31" s="235"/>
      <c r="V31" s="233"/>
      <c r="W31" s="235"/>
      <c r="X31" s="235"/>
      <c r="Y31" s="235"/>
      <c r="Z31" s="233"/>
      <c r="AA31" s="233"/>
      <c r="AB31" s="233"/>
      <c r="AC31" s="245"/>
      <c r="AD31" s="245"/>
      <c r="AE31" s="245"/>
    </row>
    <row r="32" spans="1:31" ht="15.75" customHeight="1">
      <c r="A32" s="232"/>
      <c r="B32" s="233"/>
      <c r="C32" s="232"/>
      <c r="D32" s="233"/>
      <c r="E32" s="233"/>
      <c r="F32" s="235"/>
      <c r="G32" s="233"/>
      <c r="H32" s="233"/>
      <c r="I32" s="235"/>
      <c r="J32" s="235"/>
      <c r="K32" s="235"/>
      <c r="L32" s="233"/>
      <c r="M32" s="233"/>
      <c r="N32" s="233"/>
      <c r="O32" s="235"/>
      <c r="P32" s="235"/>
      <c r="Q32" s="235"/>
      <c r="R32" s="235"/>
      <c r="S32" s="233"/>
      <c r="T32" s="235"/>
      <c r="U32" s="235"/>
      <c r="V32" s="233"/>
      <c r="W32" s="235"/>
      <c r="X32" s="235"/>
      <c r="Y32" s="235"/>
      <c r="Z32" s="233"/>
      <c r="AA32" s="233"/>
      <c r="AB32" s="233"/>
      <c r="AC32" s="245"/>
      <c r="AD32" s="245"/>
      <c r="AE32" s="245"/>
    </row>
    <row r="33" spans="1:31" ht="15.75" customHeight="1">
      <c r="A33" s="232"/>
      <c r="B33" s="233"/>
      <c r="C33" s="232"/>
      <c r="D33" s="233"/>
      <c r="E33" s="233"/>
      <c r="F33" s="235"/>
      <c r="G33" s="233"/>
      <c r="H33" s="233"/>
      <c r="I33" s="235"/>
      <c r="J33" s="235"/>
      <c r="K33" s="235"/>
      <c r="L33" s="233"/>
      <c r="M33" s="233"/>
      <c r="N33" s="233"/>
      <c r="O33" s="235"/>
      <c r="P33" s="235"/>
      <c r="Q33" s="235"/>
      <c r="R33" s="235"/>
      <c r="S33" s="233"/>
      <c r="T33" s="235"/>
      <c r="U33" s="235"/>
      <c r="V33" s="233"/>
      <c r="W33" s="235"/>
      <c r="X33" s="235"/>
      <c r="Y33" s="235"/>
      <c r="Z33" s="233"/>
      <c r="AA33" s="233"/>
      <c r="AB33" s="233"/>
      <c r="AC33" s="245"/>
      <c r="AD33" s="245"/>
      <c r="AE33" s="245"/>
    </row>
    <row r="34" spans="1:31" ht="15.75" customHeight="1">
      <c r="A34" s="232"/>
      <c r="B34" s="233"/>
      <c r="C34" s="232"/>
      <c r="D34" s="233"/>
      <c r="E34" s="233"/>
      <c r="F34" s="235"/>
      <c r="G34" s="233"/>
      <c r="H34" s="233"/>
      <c r="I34" s="235"/>
      <c r="J34" s="235"/>
      <c r="K34" s="235"/>
      <c r="L34" s="233"/>
      <c r="M34" s="233"/>
      <c r="N34" s="233"/>
      <c r="O34" s="235"/>
      <c r="P34" s="235"/>
      <c r="Q34" s="235"/>
      <c r="R34" s="235"/>
      <c r="S34" s="233"/>
      <c r="T34" s="235"/>
      <c r="U34" s="235"/>
      <c r="V34" s="233"/>
      <c r="W34" s="235"/>
      <c r="X34" s="235"/>
      <c r="Y34" s="235"/>
      <c r="Z34" s="233"/>
      <c r="AA34" s="233"/>
      <c r="AB34" s="233"/>
      <c r="AC34" s="245"/>
      <c r="AD34" s="245"/>
      <c r="AE34" s="245"/>
    </row>
    <row r="35" spans="1:31" ht="15.75" customHeight="1">
      <c r="A35" s="232"/>
      <c r="B35" s="233"/>
      <c r="C35" s="232"/>
      <c r="D35" s="233"/>
      <c r="E35" s="233"/>
      <c r="F35" s="235"/>
      <c r="G35" s="233"/>
      <c r="H35" s="233"/>
      <c r="I35" s="235"/>
      <c r="J35" s="235"/>
      <c r="K35" s="235"/>
      <c r="L35" s="233"/>
      <c r="M35" s="233"/>
      <c r="N35" s="233"/>
      <c r="O35" s="235"/>
      <c r="P35" s="235"/>
      <c r="Q35" s="235"/>
      <c r="R35" s="235"/>
      <c r="S35" s="233"/>
      <c r="T35" s="235"/>
      <c r="U35" s="235"/>
      <c r="V35" s="233"/>
      <c r="W35" s="235"/>
      <c r="X35" s="235"/>
      <c r="Y35" s="235"/>
      <c r="Z35" s="233"/>
      <c r="AA35" s="233"/>
      <c r="AB35" s="233"/>
      <c r="AC35" s="245"/>
      <c r="AD35" s="245"/>
      <c r="AE35" s="245"/>
    </row>
    <row r="36" spans="1:31" ht="15.75" customHeight="1">
      <c r="A36" s="232"/>
      <c r="B36" s="233"/>
      <c r="C36" s="232"/>
      <c r="D36" s="233"/>
      <c r="E36" s="233"/>
      <c r="F36" s="235"/>
      <c r="G36" s="233"/>
      <c r="H36" s="233"/>
      <c r="I36" s="235"/>
      <c r="J36" s="235"/>
      <c r="K36" s="235"/>
      <c r="L36" s="233"/>
      <c r="M36" s="233"/>
      <c r="N36" s="233"/>
      <c r="O36" s="235"/>
      <c r="P36" s="235"/>
      <c r="Q36" s="235"/>
      <c r="R36" s="235"/>
      <c r="S36" s="233"/>
      <c r="T36" s="235"/>
      <c r="U36" s="235"/>
      <c r="V36" s="233"/>
      <c r="W36" s="235"/>
      <c r="X36" s="235"/>
      <c r="Y36" s="235"/>
      <c r="Z36" s="233"/>
      <c r="AA36" s="233"/>
      <c r="AB36" s="233"/>
      <c r="AC36" s="245"/>
      <c r="AD36" s="245"/>
      <c r="AE36" s="245"/>
    </row>
    <row r="37" spans="1:31" ht="15.75" customHeight="1">
      <c r="A37" s="232"/>
      <c r="B37" s="233"/>
      <c r="C37" s="232"/>
      <c r="D37" s="233"/>
      <c r="E37" s="233"/>
      <c r="F37" s="235"/>
      <c r="G37" s="233"/>
      <c r="H37" s="233"/>
      <c r="I37" s="235"/>
      <c r="J37" s="235"/>
      <c r="K37" s="235"/>
      <c r="L37" s="233"/>
      <c r="M37" s="233"/>
      <c r="N37" s="233"/>
      <c r="O37" s="235"/>
      <c r="P37" s="235"/>
      <c r="Q37" s="235"/>
      <c r="R37" s="235"/>
      <c r="S37" s="233"/>
      <c r="T37" s="235"/>
      <c r="U37" s="235"/>
      <c r="V37" s="233"/>
      <c r="W37" s="235"/>
      <c r="X37" s="235"/>
      <c r="Y37" s="235"/>
      <c r="Z37" s="233"/>
      <c r="AA37" s="233"/>
      <c r="AB37" s="233"/>
      <c r="AC37" s="245"/>
      <c r="AD37" s="245"/>
      <c r="AE37" s="245"/>
    </row>
    <row r="38" spans="1:31" ht="15.75" customHeight="1">
      <c r="A38" s="232"/>
      <c r="B38" s="233"/>
      <c r="C38" s="232"/>
      <c r="D38" s="233"/>
      <c r="E38" s="233"/>
      <c r="F38" s="235"/>
      <c r="G38" s="233"/>
      <c r="H38" s="233"/>
      <c r="I38" s="235"/>
      <c r="J38" s="235"/>
      <c r="K38" s="235"/>
      <c r="L38" s="233"/>
      <c r="M38" s="233"/>
      <c r="N38" s="233"/>
      <c r="O38" s="235"/>
      <c r="P38" s="235"/>
      <c r="Q38" s="235"/>
      <c r="R38" s="235"/>
      <c r="S38" s="233"/>
      <c r="T38" s="235"/>
      <c r="U38" s="235"/>
      <c r="V38" s="233"/>
      <c r="W38" s="235"/>
      <c r="X38" s="235"/>
      <c r="Y38" s="235"/>
      <c r="Z38" s="233"/>
      <c r="AA38" s="233"/>
      <c r="AB38" s="233"/>
      <c r="AC38" s="245"/>
      <c r="AD38" s="245"/>
      <c r="AE38" s="245"/>
    </row>
    <row r="39" spans="1:31" ht="15.75" customHeight="1">
      <c r="A39" s="232"/>
      <c r="B39" s="233"/>
      <c r="C39" s="232"/>
      <c r="D39" s="233"/>
      <c r="E39" s="233"/>
      <c r="F39" s="235"/>
      <c r="G39" s="233"/>
      <c r="H39" s="233"/>
      <c r="I39" s="235"/>
      <c r="J39" s="235"/>
      <c r="K39" s="235"/>
      <c r="L39" s="233"/>
      <c r="M39" s="233"/>
      <c r="N39" s="233"/>
      <c r="O39" s="235"/>
      <c r="P39" s="235"/>
      <c r="Q39" s="235"/>
      <c r="R39" s="235"/>
      <c r="S39" s="233"/>
      <c r="T39" s="235"/>
      <c r="U39" s="235"/>
      <c r="V39" s="233"/>
      <c r="W39" s="235"/>
      <c r="X39" s="235"/>
      <c r="Y39" s="235"/>
      <c r="Z39" s="233"/>
      <c r="AA39" s="233"/>
      <c r="AB39" s="233"/>
      <c r="AC39" s="245"/>
      <c r="AD39" s="245"/>
      <c r="AE39" s="245"/>
    </row>
    <row r="40" spans="1:31" ht="15.75" customHeight="1">
      <c r="A40" s="232"/>
      <c r="B40" s="233"/>
      <c r="C40" s="232"/>
      <c r="D40" s="233"/>
      <c r="E40" s="233"/>
      <c r="F40" s="235"/>
      <c r="G40" s="233"/>
      <c r="H40" s="233"/>
      <c r="I40" s="235"/>
      <c r="J40" s="235"/>
      <c r="K40" s="235"/>
      <c r="L40" s="233"/>
      <c r="M40" s="233"/>
      <c r="N40" s="233"/>
      <c r="O40" s="235"/>
      <c r="P40" s="235"/>
      <c r="Q40" s="235"/>
      <c r="R40" s="235"/>
      <c r="S40" s="233"/>
      <c r="T40" s="235"/>
      <c r="U40" s="235"/>
      <c r="V40" s="233"/>
      <c r="W40" s="235"/>
      <c r="X40" s="235"/>
      <c r="Y40" s="235"/>
      <c r="Z40" s="233"/>
      <c r="AA40" s="233"/>
      <c r="AB40" s="233"/>
      <c r="AC40" s="245"/>
      <c r="AD40" s="245"/>
      <c r="AE40" s="245"/>
    </row>
    <row r="41" spans="1:31" ht="15.75" customHeight="1">
      <c r="A41" s="232"/>
      <c r="B41" s="233"/>
      <c r="C41" s="232"/>
      <c r="D41" s="233"/>
      <c r="E41" s="233"/>
      <c r="F41" s="235"/>
      <c r="G41" s="233"/>
      <c r="H41" s="233"/>
      <c r="I41" s="235"/>
      <c r="J41" s="235"/>
      <c r="K41" s="235"/>
      <c r="L41" s="233"/>
      <c r="M41" s="233"/>
      <c r="N41" s="233"/>
      <c r="O41" s="235"/>
      <c r="P41" s="235"/>
      <c r="Q41" s="235"/>
      <c r="R41" s="235"/>
      <c r="S41" s="233"/>
      <c r="T41" s="235"/>
      <c r="U41" s="235"/>
      <c r="V41" s="233"/>
      <c r="W41" s="235"/>
      <c r="X41" s="235"/>
      <c r="Y41" s="235"/>
      <c r="Z41" s="233"/>
      <c r="AA41" s="233"/>
      <c r="AB41" s="233"/>
      <c r="AC41" s="245"/>
      <c r="AD41" s="245"/>
      <c r="AE41" s="245"/>
    </row>
    <row r="42" spans="1:31" ht="15.75" customHeight="1">
      <c r="A42" s="232"/>
      <c r="B42" s="233"/>
      <c r="C42" s="232"/>
      <c r="D42" s="233"/>
      <c r="E42" s="233"/>
      <c r="F42" s="235"/>
      <c r="G42" s="233"/>
      <c r="H42" s="233"/>
      <c r="I42" s="235"/>
      <c r="J42" s="235"/>
      <c r="K42" s="235"/>
      <c r="L42" s="233"/>
      <c r="M42" s="233"/>
      <c r="N42" s="233"/>
      <c r="O42" s="235"/>
      <c r="P42" s="235"/>
      <c r="Q42" s="235"/>
      <c r="R42" s="235"/>
      <c r="S42" s="233"/>
      <c r="T42" s="235"/>
      <c r="U42" s="235"/>
      <c r="V42" s="233"/>
      <c r="W42" s="235"/>
      <c r="X42" s="235"/>
      <c r="Y42" s="235"/>
      <c r="Z42" s="233"/>
      <c r="AA42" s="233"/>
      <c r="AB42" s="233"/>
      <c r="AC42" s="245"/>
      <c r="AD42" s="245"/>
      <c r="AE42" s="245"/>
    </row>
    <row r="43" spans="1:31" ht="15.75" customHeight="1">
      <c r="A43" s="232"/>
      <c r="B43" s="233"/>
      <c r="C43" s="232"/>
      <c r="D43" s="233"/>
      <c r="E43" s="233"/>
      <c r="F43" s="235"/>
      <c r="G43" s="233"/>
      <c r="H43" s="233"/>
      <c r="I43" s="235"/>
      <c r="J43" s="235"/>
      <c r="K43" s="235"/>
      <c r="L43" s="233"/>
      <c r="M43" s="233"/>
      <c r="N43" s="233"/>
      <c r="O43" s="235"/>
      <c r="P43" s="235"/>
      <c r="Q43" s="235"/>
      <c r="R43" s="235"/>
      <c r="S43" s="233"/>
      <c r="T43" s="235"/>
      <c r="U43" s="235"/>
      <c r="V43" s="233"/>
      <c r="W43" s="235"/>
      <c r="X43" s="235"/>
      <c r="Y43" s="235"/>
      <c r="Z43" s="233"/>
      <c r="AA43" s="233"/>
      <c r="AB43" s="233"/>
      <c r="AC43" s="245"/>
      <c r="AD43" s="245"/>
      <c r="AE43" s="245"/>
    </row>
    <row r="44" spans="1:31" ht="15.75" customHeight="1">
      <c r="A44" s="232"/>
      <c r="B44" s="233"/>
      <c r="C44" s="232"/>
      <c r="D44" s="233"/>
      <c r="E44" s="233"/>
      <c r="F44" s="235"/>
      <c r="G44" s="233"/>
      <c r="H44" s="233"/>
      <c r="I44" s="235"/>
      <c r="J44" s="235"/>
      <c r="K44" s="235"/>
      <c r="L44" s="233"/>
      <c r="M44" s="233"/>
      <c r="N44" s="233"/>
      <c r="O44" s="235"/>
      <c r="P44" s="235"/>
      <c r="Q44" s="235"/>
      <c r="R44" s="235"/>
      <c r="S44" s="233"/>
      <c r="T44" s="235"/>
      <c r="U44" s="235"/>
      <c r="V44" s="233"/>
      <c r="W44" s="235"/>
      <c r="X44" s="235"/>
      <c r="Y44" s="235"/>
      <c r="Z44" s="233"/>
      <c r="AA44" s="233"/>
      <c r="AB44" s="233"/>
      <c r="AC44" s="245"/>
      <c r="AD44" s="245"/>
      <c r="AE44" s="245"/>
    </row>
    <row r="45" spans="1:31" ht="15.75" customHeight="1">
      <c r="A45" s="232"/>
      <c r="B45" s="233"/>
      <c r="C45" s="232"/>
      <c r="D45" s="233"/>
      <c r="E45" s="233"/>
      <c r="F45" s="235"/>
      <c r="G45" s="233"/>
      <c r="H45" s="233"/>
      <c r="I45" s="235"/>
      <c r="J45" s="235"/>
      <c r="K45" s="235"/>
      <c r="L45" s="233"/>
      <c r="M45" s="233"/>
      <c r="N45" s="233"/>
      <c r="O45" s="235"/>
      <c r="P45" s="235"/>
      <c r="Q45" s="235"/>
      <c r="R45" s="235"/>
      <c r="S45" s="233"/>
      <c r="T45" s="235"/>
      <c r="U45" s="235"/>
      <c r="V45" s="233"/>
      <c r="W45" s="235"/>
      <c r="X45" s="235"/>
      <c r="Y45" s="235"/>
      <c r="Z45" s="233"/>
      <c r="AA45" s="233"/>
      <c r="AB45" s="233"/>
      <c r="AC45" s="245"/>
      <c r="AD45" s="245"/>
      <c r="AE45" s="245"/>
    </row>
    <row r="46" spans="1:31" ht="15.75" customHeight="1">
      <c r="A46" s="232"/>
      <c r="B46" s="233"/>
      <c r="C46" s="232"/>
      <c r="D46" s="233"/>
      <c r="E46" s="233"/>
      <c r="F46" s="235"/>
      <c r="G46" s="233"/>
      <c r="H46" s="233"/>
      <c r="I46" s="235"/>
      <c r="J46" s="235"/>
      <c r="K46" s="235"/>
      <c r="L46" s="233"/>
      <c r="M46" s="233"/>
      <c r="N46" s="233"/>
      <c r="O46" s="235"/>
      <c r="P46" s="235"/>
      <c r="Q46" s="235"/>
      <c r="R46" s="235"/>
      <c r="S46" s="233"/>
      <c r="T46" s="235"/>
      <c r="U46" s="235"/>
      <c r="V46" s="233"/>
      <c r="W46" s="235"/>
      <c r="X46" s="235"/>
      <c r="Y46" s="235"/>
      <c r="Z46" s="233"/>
      <c r="AA46" s="233"/>
      <c r="AB46" s="233"/>
      <c r="AC46" s="245"/>
      <c r="AD46" s="245"/>
      <c r="AE46" s="245"/>
    </row>
    <row r="47" spans="1:31" ht="15.75" customHeight="1">
      <c r="A47" s="232"/>
      <c r="B47" s="233"/>
      <c r="C47" s="232"/>
      <c r="D47" s="233"/>
      <c r="E47" s="233"/>
      <c r="F47" s="235"/>
      <c r="G47" s="233"/>
      <c r="H47" s="233"/>
      <c r="I47" s="235"/>
      <c r="J47" s="235"/>
      <c r="K47" s="235"/>
      <c r="L47" s="233"/>
      <c r="M47" s="233"/>
      <c r="N47" s="233"/>
      <c r="O47" s="235"/>
      <c r="P47" s="235"/>
      <c r="Q47" s="235"/>
      <c r="R47" s="235"/>
      <c r="S47" s="233"/>
      <c r="T47" s="235"/>
      <c r="U47" s="235"/>
      <c r="V47" s="233"/>
      <c r="W47" s="235"/>
      <c r="X47" s="235"/>
      <c r="Y47" s="235"/>
      <c r="Z47" s="233"/>
      <c r="AA47" s="233"/>
      <c r="AB47" s="233"/>
      <c r="AC47" s="245"/>
      <c r="AD47" s="245"/>
      <c r="AE47" s="245"/>
    </row>
    <row r="48" spans="1:31" ht="15.75" customHeight="1">
      <c r="A48" s="232"/>
      <c r="B48" s="233"/>
      <c r="C48" s="232"/>
      <c r="D48" s="233"/>
      <c r="E48" s="233"/>
      <c r="F48" s="235"/>
      <c r="G48" s="233"/>
      <c r="H48" s="233"/>
      <c r="I48" s="235"/>
      <c r="J48" s="235"/>
      <c r="K48" s="235"/>
      <c r="L48" s="233"/>
      <c r="M48" s="233"/>
      <c r="N48" s="233"/>
      <c r="O48" s="235"/>
      <c r="P48" s="235"/>
      <c r="Q48" s="235"/>
      <c r="R48" s="235"/>
      <c r="S48" s="233"/>
      <c r="T48" s="235"/>
      <c r="U48" s="235"/>
      <c r="V48" s="233"/>
      <c r="W48" s="235"/>
      <c r="X48" s="235"/>
      <c r="Y48" s="235"/>
      <c r="Z48" s="233"/>
      <c r="AA48" s="233"/>
      <c r="AB48" s="233"/>
      <c r="AC48" s="245"/>
      <c r="AD48" s="245"/>
      <c r="AE48" s="245"/>
    </row>
    <row r="49" spans="1:31" ht="15.75" customHeight="1">
      <c r="A49" s="232"/>
      <c r="B49" s="233"/>
      <c r="C49" s="232"/>
      <c r="D49" s="233"/>
      <c r="E49" s="233"/>
      <c r="F49" s="235"/>
      <c r="G49" s="233"/>
      <c r="H49" s="233"/>
      <c r="I49" s="235"/>
      <c r="J49" s="235"/>
      <c r="K49" s="235"/>
      <c r="L49" s="233"/>
      <c r="M49" s="233"/>
      <c r="N49" s="233"/>
      <c r="O49" s="235"/>
      <c r="P49" s="235"/>
      <c r="Q49" s="235"/>
      <c r="R49" s="235"/>
      <c r="S49" s="233"/>
      <c r="T49" s="235"/>
      <c r="U49" s="235"/>
      <c r="V49" s="233"/>
      <c r="W49" s="235"/>
      <c r="X49" s="235"/>
      <c r="Y49" s="235"/>
      <c r="Z49" s="233"/>
      <c r="AA49" s="233"/>
      <c r="AB49" s="233"/>
      <c r="AC49" s="245"/>
      <c r="AD49" s="245"/>
      <c r="AE49" s="245"/>
    </row>
    <row r="50" spans="1:31" ht="15.75" customHeight="1">
      <c r="A50" s="232"/>
      <c r="B50" s="233"/>
      <c r="C50" s="232"/>
      <c r="D50" s="233"/>
      <c r="E50" s="233"/>
      <c r="F50" s="235"/>
      <c r="G50" s="233"/>
      <c r="H50" s="233"/>
      <c r="I50" s="235"/>
      <c r="J50" s="235"/>
      <c r="K50" s="235"/>
      <c r="L50" s="233"/>
      <c r="M50" s="233"/>
      <c r="N50" s="233"/>
      <c r="O50" s="235"/>
      <c r="P50" s="235"/>
      <c r="Q50" s="235"/>
      <c r="R50" s="235"/>
      <c r="S50" s="233"/>
      <c r="T50" s="235"/>
      <c r="U50" s="235"/>
      <c r="V50" s="233"/>
      <c r="W50" s="235"/>
      <c r="X50" s="235"/>
      <c r="Y50" s="235"/>
      <c r="Z50" s="233"/>
      <c r="AA50" s="233"/>
      <c r="AB50" s="233"/>
      <c r="AC50" s="245"/>
      <c r="AD50" s="245"/>
      <c r="AE50" s="245"/>
    </row>
    <row r="51" spans="1:31" ht="15.75" customHeight="1">
      <c r="A51" s="232"/>
      <c r="B51" s="233"/>
      <c r="C51" s="232"/>
      <c r="D51" s="233"/>
      <c r="E51" s="233"/>
      <c r="F51" s="235"/>
      <c r="G51" s="233"/>
      <c r="H51" s="233"/>
      <c r="I51" s="235"/>
      <c r="J51" s="235"/>
      <c r="K51" s="235"/>
      <c r="L51" s="233"/>
      <c r="M51" s="233"/>
      <c r="N51" s="233"/>
      <c r="O51" s="235"/>
      <c r="P51" s="235"/>
      <c r="Q51" s="235"/>
      <c r="R51" s="235"/>
      <c r="S51" s="233"/>
      <c r="T51" s="235"/>
      <c r="U51" s="235"/>
      <c r="V51" s="233"/>
      <c r="W51" s="235"/>
      <c r="X51" s="235"/>
      <c r="Y51" s="235"/>
      <c r="Z51" s="233"/>
      <c r="AA51" s="233"/>
      <c r="AB51" s="233"/>
      <c r="AC51" s="245"/>
      <c r="AD51" s="245"/>
      <c r="AE51" s="245"/>
    </row>
    <row r="52" spans="1:31" ht="15.75" customHeight="1">
      <c r="A52" s="232"/>
      <c r="B52" s="233"/>
      <c r="C52" s="232"/>
      <c r="D52" s="233"/>
      <c r="E52" s="233"/>
      <c r="F52" s="235"/>
      <c r="G52" s="233"/>
      <c r="H52" s="233"/>
      <c r="I52" s="235"/>
      <c r="J52" s="235"/>
      <c r="K52" s="235"/>
      <c r="L52" s="233"/>
      <c r="M52" s="233"/>
      <c r="N52" s="233"/>
      <c r="O52" s="235"/>
      <c r="P52" s="235"/>
      <c r="Q52" s="235"/>
      <c r="R52" s="235"/>
      <c r="S52" s="233"/>
      <c r="T52" s="235"/>
      <c r="U52" s="235"/>
      <c r="V52" s="233"/>
      <c r="W52" s="235"/>
      <c r="X52" s="235"/>
      <c r="Y52" s="235"/>
      <c r="Z52" s="233"/>
      <c r="AA52" s="233"/>
      <c r="AB52" s="233"/>
      <c r="AC52" s="245"/>
      <c r="AD52" s="245"/>
      <c r="AE52" s="245"/>
    </row>
    <row r="53" spans="1:31" ht="15.75" customHeight="1">
      <c r="A53" s="232"/>
      <c r="B53" s="233"/>
      <c r="C53" s="232"/>
      <c r="D53" s="233"/>
      <c r="E53" s="233"/>
      <c r="F53" s="235"/>
      <c r="G53" s="233"/>
      <c r="H53" s="233"/>
      <c r="I53" s="235"/>
      <c r="J53" s="235"/>
      <c r="K53" s="235"/>
      <c r="L53" s="233"/>
      <c r="M53" s="233"/>
      <c r="N53" s="233"/>
      <c r="O53" s="235"/>
      <c r="P53" s="235"/>
      <c r="Q53" s="235"/>
      <c r="R53" s="235"/>
      <c r="S53" s="233"/>
      <c r="T53" s="235"/>
      <c r="U53" s="235"/>
      <c r="V53" s="233"/>
      <c r="W53" s="235"/>
      <c r="X53" s="235"/>
      <c r="Y53" s="235"/>
      <c r="Z53" s="233"/>
      <c r="AA53" s="233"/>
      <c r="AB53" s="233"/>
      <c r="AC53" s="245"/>
      <c r="AD53" s="245"/>
      <c r="AE53" s="245"/>
    </row>
    <row r="54" spans="1:31" ht="15.75" customHeight="1">
      <c r="A54" s="232"/>
      <c r="B54" s="233"/>
      <c r="C54" s="232"/>
      <c r="D54" s="233"/>
      <c r="E54" s="233"/>
      <c r="F54" s="235"/>
      <c r="G54" s="233"/>
      <c r="H54" s="233"/>
      <c r="I54" s="235"/>
      <c r="J54" s="235"/>
      <c r="K54" s="235"/>
      <c r="L54" s="233"/>
      <c r="M54" s="233"/>
      <c r="N54" s="233"/>
      <c r="O54" s="235"/>
      <c r="P54" s="235"/>
      <c r="Q54" s="235"/>
      <c r="R54" s="235"/>
      <c r="S54" s="233"/>
      <c r="T54" s="235"/>
      <c r="U54" s="235"/>
      <c r="V54" s="233"/>
      <c r="W54" s="235"/>
      <c r="X54" s="235"/>
      <c r="Y54" s="235"/>
      <c r="Z54" s="233"/>
      <c r="AA54" s="233"/>
      <c r="AB54" s="233"/>
      <c r="AC54" s="245"/>
      <c r="AD54" s="245"/>
      <c r="AE54" s="245"/>
    </row>
    <row r="55" spans="1:31" ht="15.75" customHeight="1">
      <c r="A55" s="232"/>
      <c r="B55" s="233"/>
      <c r="C55" s="232"/>
      <c r="D55" s="233"/>
      <c r="E55" s="233"/>
      <c r="F55" s="235"/>
      <c r="G55" s="233"/>
      <c r="H55" s="233"/>
      <c r="I55" s="235"/>
      <c r="J55" s="235"/>
      <c r="K55" s="235"/>
      <c r="L55" s="233"/>
      <c r="M55" s="233"/>
      <c r="N55" s="233"/>
      <c r="O55" s="235"/>
      <c r="P55" s="235"/>
      <c r="Q55" s="235"/>
      <c r="R55" s="235"/>
      <c r="S55" s="233"/>
      <c r="T55" s="235"/>
      <c r="U55" s="235"/>
      <c r="V55" s="233"/>
      <c r="W55" s="235"/>
      <c r="X55" s="235"/>
      <c r="Y55" s="235"/>
      <c r="Z55" s="233"/>
      <c r="AA55" s="233"/>
      <c r="AB55" s="233"/>
      <c r="AC55" s="245"/>
      <c r="AD55" s="245"/>
      <c r="AE55" s="245"/>
    </row>
    <row r="56" spans="1:31" ht="15.75" customHeight="1">
      <c r="A56" s="232"/>
      <c r="B56" s="233"/>
      <c r="C56" s="232"/>
      <c r="D56" s="233"/>
      <c r="E56" s="233"/>
      <c r="F56" s="235"/>
      <c r="G56" s="233"/>
      <c r="H56" s="233"/>
      <c r="I56" s="235"/>
      <c r="J56" s="235"/>
      <c r="K56" s="235"/>
      <c r="L56" s="233"/>
      <c r="M56" s="233"/>
      <c r="N56" s="233"/>
      <c r="O56" s="235"/>
      <c r="P56" s="235"/>
      <c r="Q56" s="235"/>
      <c r="R56" s="235"/>
      <c r="S56" s="233"/>
      <c r="T56" s="235"/>
      <c r="U56" s="235"/>
      <c r="V56" s="233"/>
      <c r="W56" s="235"/>
      <c r="X56" s="235"/>
      <c r="Y56" s="235"/>
      <c r="Z56" s="233"/>
      <c r="AA56" s="233"/>
      <c r="AB56" s="233"/>
      <c r="AC56" s="245"/>
      <c r="AD56" s="245"/>
      <c r="AE56" s="245"/>
    </row>
    <row r="57" spans="1:31" ht="15.75" customHeight="1">
      <c r="A57" s="232"/>
      <c r="B57" s="233"/>
      <c r="C57" s="232"/>
      <c r="D57" s="233"/>
      <c r="E57" s="233"/>
      <c r="F57" s="235"/>
      <c r="G57" s="233"/>
      <c r="H57" s="233"/>
      <c r="I57" s="235"/>
      <c r="J57" s="235"/>
      <c r="K57" s="235"/>
      <c r="L57" s="233"/>
      <c r="M57" s="233"/>
      <c r="N57" s="233"/>
      <c r="O57" s="235"/>
      <c r="P57" s="235"/>
      <c r="Q57" s="235"/>
      <c r="R57" s="235"/>
      <c r="S57" s="233"/>
      <c r="T57" s="235"/>
      <c r="U57" s="235"/>
      <c r="V57" s="233"/>
      <c r="W57" s="235"/>
      <c r="X57" s="235"/>
      <c r="Y57" s="235"/>
      <c r="Z57" s="233"/>
      <c r="AA57" s="233"/>
      <c r="AB57" s="233"/>
      <c r="AC57" s="245"/>
      <c r="AD57" s="245"/>
      <c r="AE57" s="245"/>
    </row>
    <row r="58" spans="1:31" ht="15.75" customHeight="1">
      <c r="A58" s="232"/>
      <c r="B58" s="233"/>
      <c r="C58" s="232"/>
      <c r="D58" s="233"/>
      <c r="E58" s="233"/>
      <c r="F58" s="235"/>
      <c r="G58" s="233"/>
      <c r="H58" s="233"/>
      <c r="I58" s="235"/>
      <c r="J58" s="235"/>
      <c r="K58" s="235"/>
      <c r="L58" s="233"/>
      <c r="M58" s="233"/>
      <c r="N58" s="233"/>
      <c r="O58" s="235"/>
      <c r="P58" s="235"/>
      <c r="Q58" s="235"/>
      <c r="R58" s="235"/>
      <c r="S58" s="233"/>
      <c r="T58" s="235"/>
      <c r="U58" s="235"/>
      <c r="V58" s="233"/>
      <c r="W58" s="235"/>
      <c r="X58" s="235"/>
      <c r="Y58" s="235"/>
      <c r="Z58" s="233"/>
      <c r="AA58" s="233"/>
      <c r="AB58" s="233"/>
      <c r="AC58" s="245"/>
      <c r="AD58" s="245"/>
      <c r="AE58" s="245"/>
    </row>
    <row r="59" spans="1:31" ht="15.75" customHeight="1">
      <c r="A59" s="232"/>
      <c r="B59" s="233"/>
      <c r="C59" s="232"/>
      <c r="D59" s="233"/>
      <c r="E59" s="233"/>
      <c r="F59" s="235"/>
      <c r="G59" s="233"/>
      <c r="H59" s="233"/>
      <c r="I59" s="235"/>
      <c r="J59" s="235"/>
      <c r="K59" s="235"/>
      <c r="L59" s="233"/>
      <c r="M59" s="233"/>
      <c r="N59" s="233"/>
      <c r="O59" s="235"/>
      <c r="P59" s="235"/>
      <c r="Q59" s="235"/>
      <c r="R59" s="235"/>
      <c r="S59" s="233"/>
      <c r="T59" s="235"/>
      <c r="U59" s="235"/>
      <c r="V59" s="233"/>
      <c r="W59" s="235"/>
      <c r="X59" s="235"/>
      <c r="Y59" s="235"/>
      <c r="Z59" s="233"/>
      <c r="AA59" s="233"/>
      <c r="AB59" s="233"/>
      <c r="AC59" s="245"/>
      <c r="AD59" s="245"/>
      <c r="AE59" s="245"/>
    </row>
    <row r="60" spans="1:31" ht="15.75" customHeight="1">
      <c r="A60" s="232"/>
      <c r="B60" s="233"/>
      <c r="C60" s="232"/>
      <c r="D60" s="233"/>
      <c r="E60" s="233"/>
      <c r="F60" s="235"/>
      <c r="G60" s="233"/>
      <c r="H60" s="233"/>
      <c r="I60" s="235"/>
      <c r="J60" s="235"/>
      <c r="K60" s="235"/>
      <c r="L60" s="233"/>
      <c r="M60" s="233"/>
      <c r="N60" s="233"/>
      <c r="O60" s="235"/>
      <c r="P60" s="235"/>
      <c r="Q60" s="235"/>
      <c r="R60" s="235"/>
      <c r="S60" s="233"/>
      <c r="T60" s="235"/>
      <c r="U60" s="235"/>
      <c r="V60" s="233"/>
      <c r="W60" s="235"/>
      <c r="X60" s="235"/>
      <c r="Y60" s="235"/>
      <c r="Z60" s="233"/>
      <c r="AA60" s="233"/>
      <c r="AB60" s="233"/>
      <c r="AC60" s="245"/>
      <c r="AD60" s="245"/>
      <c r="AE60" s="245"/>
    </row>
    <row r="61" spans="1:31" ht="15.75" customHeight="1">
      <c r="A61" s="232"/>
      <c r="B61" s="233"/>
      <c r="C61" s="232"/>
      <c r="D61" s="233"/>
      <c r="E61" s="233"/>
      <c r="F61" s="235"/>
      <c r="G61" s="233"/>
      <c r="H61" s="233"/>
      <c r="I61" s="235"/>
      <c r="J61" s="235"/>
      <c r="K61" s="235"/>
      <c r="L61" s="233"/>
      <c r="M61" s="233"/>
      <c r="N61" s="233"/>
      <c r="O61" s="235"/>
      <c r="P61" s="235"/>
      <c r="Q61" s="235"/>
      <c r="R61" s="235"/>
      <c r="S61" s="233"/>
      <c r="T61" s="235"/>
      <c r="U61" s="235"/>
      <c r="V61" s="233"/>
      <c r="W61" s="235"/>
      <c r="X61" s="235"/>
      <c r="Y61" s="235"/>
      <c r="Z61" s="233"/>
      <c r="AA61" s="233"/>
      <c r="AB61" s="233"/>
      <c r="AC61" s="245"/>
      <c r="AD61" s="245"/>
      <c r="AE61" s="245"/>
    </row>
    <row r="62" spans="1:31" ht="15.75" customHeight="1">
      <c r="A62" s="232"/>
      <c r="B62" s="233"/>
      <c r="C62" s="232"/>
      <c r="D62" s="233"/>
      <c r="E62" s="233"/>
      <c r="F62" s="235"/>
      <c r="G62" s="233"/>
      <c r="H62" s="233"/>
      <c r="I62" s="235"/>
      <c r="J62" s="235"/>
      <c r="K62" s="235"/>
      <c r="L62" s="233"/>
      <c r="M62" s="233"/>
      <c r="N62" s="233"/>
      <c r="O62" s="235"/>
      <c r="P62" s="235"/>
      <c r="Q62" s="235"/>
      <c r="R62" s="235"/>
      <c r="S62" s="233"/>
      <c r="T62" s="235"/>
      <c r="U62" s="235"/>
      <c r="V62" s="233"/>
      <c r="W62" s="235"/>
      <c r="X62" s="235"/>
      <c r="Y62" s="235"/>
      <c r="Z62" s="233"/>
      <c r="AA62" s="233"/>
      <c r="AB62" s="233"/>
      <c r="AC62" s="245"/>
      <c r="AD62" s="245"/>
      <c r="AE62" s="245"/>
    </row>
    <row r="63" spans="1:31" ht="15.75" customHeight="1">
      <c r="A63" s="232"/>
      <c r="B63" s="233"/>
      <c r="C63" s="232"/>
      <c r="D63" s="233"/>
      <c r="E63" s="233"/>
      <c r="F63" s="235"/>
      <c r="G63" s="233"/>
      <c r="H63" s="233"/>
      <c r="I63" s="235"/>
      <c r="J63" s="235"/>
      <c r="K63" s="235"/>
      <c r="L63" s="233"/>
      <c r="M63" s="233"/>
      <c r="N63" s="233"/>
      <c r="O63" s="235"/>
      <c r="P63" s="235"/>
      <c r="Q63" s="235"/>
      <c r="R63" s="235"/>
      <c r="S63" s="233"/>
      <c r="T63" s="235"/>
      <c r="U63" s="235"/>
      <c r="V63" s="233"/>
      <c r="W63" s="235"/>
      <c r="X63" s="235"/>
      <c r="Y63" s="235"/>
      <c r="Z63" s="233"/>
      <c r="AA63" s="233"/>
      <c r="AB63" s="233"/>
      <c r="AC63" s="245"/>
      <c r="AD63" s="245"/>
      <c r="AE63" s="245"/>
    </row>
    <row r="64" spans="1:31" ht="15.75" customHeight="1">
      <c r="A64" s="232"/>
      <c r="B64" s="233"/>
      <c r="C64" s="232"/>
      <c r="D64" s="233"/>
      <c r="E64" s="233"/>
      <c r="F64" s="235"/>
      <c r="G64" s="233"/>
      <c r="H64" s="233"/>
      <c r="I64" s="235"/>
      <c r="J64" s="235"/>
      <c r="K64" s="235"/>
      <c r="L64" s="233"/>
      <c r="M64" s="233"/>
      <c r="N64" s="233"/>
      <c r="O64" s="235"/>
      <c r="P64" s="235"/>
      <c r="Q64" s="235"/>
      <c r="R64" s="235"/>
      <c r="S64" s="233"/>
      <c r="T64" s="235"/>
      <c r="U64" s="235"/>
      <c r="V64" s="233"/>
      <c r="W64" s="235"/>
      <c r="X64" s="235"/>
      <c r="Y64" s="235"/>
      <c r="Z64" s="233"/>
      <c r="AA64" s="233"/>
      <c r="AB64" s="233"/>
      <c r="AC64" s="245"/>
      <c r="AD64" s="245"/>
      <c r="AE64" s="245"/>
    </row>
    <row r="65" spans="1:31" ht="15.75" customHeight="1">
      <c r="A65" s="232"/>
      <c r="B65" s="233"/>
      <c r="C65" s="232"/>
      <c r="D65" s="233"/>
      <c r="E65" s="233"/>
      <c r="F65" s="235"/>
      <c r="G65" s="233"/>
      <c r="H65" s="233"/>
      <c r="I65" s="235"/>
      <c r="J65" s="235"/>
      <c r="K65" s="235"/>
      <c r="L65" s="233"/>
      <c r="M65" s="233"/>
      <c r="N65" s="233"/>
      <c r="O65" s="235"/>
      <c r="P65" s="235"/>
      <c r="Q65" s="235"/>
      <c r="R65" s="235"/>
      <c r="S65" s="233"/>
      <c r="T65" s="235"/>
      <c r="U65" s="235"/>
      <c r="V65" s="233"/>
      <c r="W65" s="235"/>
      <c r="X65" s="235"/>
      <c r="Y65" s="235"/>
      <c r="Z65" s="233"/>
      <c r="AA65" s="233"/>
      <c r="AB65" s="233"/>
      <c r="AC65" s="245"/>
      <c r="AD65" s="245"/>
      <c r="AE65" s="245"/>
    </row>
    <row r="66" spans="1:31" ht="15.75" customHeight="1">
      <c r="A66" s="232"/>
      <c r="B66" s="233"/>
      <c r="C66" s="232"/>
      <c r="D66" s="233"/>
      <c r="E66" s="233"/>
      <c r="F66" s="235"/>
      <c r="G66" s="233"/>
      <c r="H66" s="233"/>
      <c r="I66" s="235"/>
      <c r="J66" s="235"/>
      <c r="K66" s="235"/>
      <c r="L66" s="233"/>
      <c r="M66" s="233"/>
      <c r="N66" s="233"/>
      <c r="O66" s="235"/>
      <c r="P66" s="235"/>
      <c r="Q66" s="235"/>
      <c r="R66" s="235"/>
      <c r="S66" s="233"/>
      <c r="T66" s="235"/>
      <c r="U66" s="235"/>
      <c r="V66" s="233"/>
      <c r="W66" s="235"/>
      <c r="X66" s="235"/>
      <c r="Y66" s="235"/>
      <c r="Z66" s="233"/>
      <c r="AA66" s="233"/>
      <c r="AB66" s="233"/>
      <c r="AC66" s="245"/>
      <c r="AD66" s="245"/>
      <c r="AE66" s="245"/>
    </row>
    <row r="67" spans="1:31" ht="15.75" customHeight="1">
      <c r="A67" s="232"/>
      <c r="B67" s="233"/>
      <c r="C67" s="232"/>
      <c r="D67" s="233"/>
      <c r="E67" s="233"/>
      <c r="F67" s="235"/>
      <c r="G67" s="233"/>
      <c r="H67" s="233"/>
      <c r="I67" s="235"/>
      <c r="J67" s="235"/>
      <c r="K67" s="235"/>
      <c r="L67" s="233"/>
      <c r="M67" s="233"/>
      <c r="N67" s="233"/>
      <c r="O67" s="235"/>
      <c r="P67" s="235"/>
      <c r="Q67" s="235"/>
      <c r="R67" s="235"/>
      <c r="S67" s="233"/>
      <c r="T67" s="235"/>
      <c r="U67" s="235"/>
      <c r="V67" s="233"/>
      <c r="W67" s="235"/>
      <c r="X67" s="235"/>
      <c r="Y67" s="235"/>
      <c r="Z67" s="233"/>
      <c r="AA67" s="233"/>
      <c r="AB67" s="233"/>
      <c r="AC67" s="245"/>
      <c r="AD67" s="245"/>
      <c r="AE67" s="245"/>
    </row>
    <row r="68" spans="1:31" ht="15.75" customHeight="1">
      <c r="A68" s="232"/>
      <c r="B68" s="233"/>
      <c r="C68" s="232"/>
      <c r="D68" s="233"/>
      <c r="E68" s="233"/>
      <c r="F68" s="235"/>
      <c r="G68" s="233"/>
      <c r="H68" s="233"/>
      <c r="I68" s="235"/>
      <c r="J68" s="235"/>
      <c r="K68" s="235"/>
      <c r="L68" s="233"/>
      <c r="M68" s="233"/>
      <c r="N68" s="233"/>
      <c r="O68" s="235"/>
      <c r="P68" s="235"/>
      <c r="Q68" s="235"/>
      <c r="R68" s="235"/>
      <c r="S68" s="233"/>
      <c r="T68" s="235"/>
      <c r="U68" s="235"/>
      <c r="V68" s="233"/>
      <c r="W68" s="235"/>
      <c r="X68" s="235"/>
      <c r="Y68" s="235"/>
      <c r="Z68" s="233"/>
      <c r="AA68" s="233"/>
      <c r="AB68" s="233"/>
      <c r="AC68" s="245"/>
      <c r="AD68" s="245"/>
      <c r="AE68" s="245"/>
    </row>
    <row r="69" spans="1:31" ht="15.75" customHeight="1">
      <c r="A69" s="232"/>
      <c r="B69" s="233"/>
      <c r="C69" s="232"/>
      <c r="D69" s="233"/>
      <c r="E69" s="233"/>
      <c r="F69" s="235"/>
      <c r="G69" s="233"/>
      <c r="H69" s="233"/>
      <c r="I69" s="235"/>
      <c r="J69" s="235"/>
      <c r="K69" s="235"/>
      <c r="L69" s="233"/>
      <c r="M69" s="233"/>
      <c r="N69" s="233"/>
      <c r="O69" s="235"/>
      <c r="P69" s="235"/>
      <c r="Q69" s="235"/>
      <c r="R69" s="235"/>
      <c r="S69" s="233"/>
      <c r="T69" s="235"/>
      <c r="U69" s="235"/>
      <c r="V69" s="233"/>
      <c r="W69" s="235"/>
      <c r="X69" s="235"/>
      <c r="Y69" s="235"/>
      <c r="Z69" s="233"/>
      <c r="AA69" s="233"/>
      <c r="AB69" s="233"/>
      <c r="AC69" s="245"/>
      <c r="AD69" s="245"/>
      <c r="AE69" s="245"/>
    </row>
    <row r="70" spans="1:31" ht="15.75" customHeight="1">
      <c r="A70" s="232"/>
      <c r="B70" s="233"/>
      <c r="C70" s="232"/>
      <c r="D70" s="233"/>
      <c r="E70" s="233"/>
      <c r="F70" s="235"/>
      <c r="G70" s="233"/>
      <c r="H70" s="233"/>
      <c r="I70" s="235"/>
      <c r="J70" s="235"/>
      <c r="K70" s="235"/>
      <c r="L70" s="233"/>
      <c r="M70" s="233"/>
      <c r="N70" s="233"/>
      <c r="O70" s="235"/>
      <c r="P70" s="235"/>
      <c r="Q70" s="235"/>
      <c r="R70" s="235"/>
      <c r="S70" s="233"/>
      <c r="T70" s="235"/>
      <c r="U70" s="235"/>
      <c r="V70" s="233"/>
      <c r="W70" s="235"/>
      <c r="X70" s="235"/>
      <c r="Y70" s="235"/>
      <c r="Z70" s="233"/>
      <c r="AA70" s="233"/>
      <c r="AB70" s="233"/>
      <c r="AC70" s="245"/>
      <c r="AD70" s="245"/>
      <c r="AE70" s="245"/>
    </row>
    <row r="71" spans="1:31" ht="15.75" customHeight="1">
      <c r="A71" s="232"/>
      <c r="B71" s="233"/>
      <c r="C71" s="232"/>
      <c r="D71" s="233"/>
      <c r="E71" s="233"/>
      <c r="F71" s="235"/>
      <c r="G71" s="233"/>
      <c r="H71" s="233"/>
      <c r="I71" s="235"/>
      <c r="J71" s="235"/>
      <c r="K71" s="235"/>
      <c r="L71" s="233"/>
      <c r="M71" s="233"/>
      <c r="N71" s="233"/>
      <c r="O71" s="235"/>
      <c r="P71" s="235"/>
      <c r="Q71" s="235"/>
      <c r="R71" s="235"/>
      <c r="S71" s="233"/>
      <c r="T71" s="235"/>
      <c r="U71" s="235"/>
      <c r="V71" s="233"/>
      <c r="W71" s="235"/>
      <c r="X71" s="235"/>
      <c r="Y71" s="235"/>
      <c r="Z71" s="233"/>
      <c r="AA71" s="233"/>
      <c r="AB71" s="233"/>
      <c r="AC71" s="245"/>
      <c r="AD71" s="245"/>
      <c r="AE71" s="245"/>
    </row>
    <row r="72" spans="1:31" ht="15.75" customHeight="1">
      <c r="A72" s="232"/>
      <c r="B72" s="233"/>
      <c r="C72" s="232"/>
      <c r="D72" s="233"/>
      <c r="E72" s="233"/>
      <c r="F72" s="235"/>
      <c r="G72" s="233"/>
      <c r="H72" s="233"/>
      <c r="I72" s="235"/>
      <c r="J72" s="235"/>
      <c r="K72" s="235"/>
      <c r="L72" s="233"/>
      <c r="M72" s="233"/>
      <c r="N72" s="233"/>
      <c r="O72" s="235"/>
      <c r="P72" s="235"/>
      <c r="Q72" s="235"/>
      <c r="R72" s="235"/>
      <c r="S72" s="233"/>
      <c r="T72" s="235"/>
      <c r="U72" s="235"/>
      <c r="V72" s="233"/>
      <c r="W72" s="235"/>
      <c r="X72" s="235"/>
      <c r="Y72" s="235"/>
      <c r="Z72" s="233"/>
      <c r="AA72" s="233"/>
      <c r="AB72" s="233"/>
      <c r="AC72" s="245"/>
      <c r="AD72" s="245"/>
      <c r="AE72" s="245"/>
    </row>
    <row r="73" spans="1:31" ht="15.75" customHeight="1">
      <c r="A73" s="232"/>
      <c r="B73" s="233"/>
      <c r="C73" s="232"/>
      <c r="D73" s="233"/>
      <c r="E73" s="233"/>
      <c r="F73" s="235"/>
      <c r="G73" s="233"/>
      <c r="H73" s="233"/>
      <c r="I73" s="235"/>
      <c r="J73" s="235"/>
      <c r="K73" s="235"/>
      <c r="L73" s="233"/>
      <c r="M73" s="233"/>
      <c r="N73" s="233"/>
      <c r="O73" s="235"/>
      <c r="P73" s="235"/>
      <c r="Q73" s="235"/>
      <c r="R73" s="235"/>
      <c r="S73" s="233"/>
      <c r="T73" s="235"/>
      <c r="U73" s="235"/>
      <c r="V73" s="233"/>
      <c r="W73" s="235"/>
      <c r="X73" s="235"/>
      <c r="Y73" s="235"/>
      <c r="Z73" s="233"/>
      <c r="AA73" s="233"/>
      <c r="AB73" s="233"/>
      <c r="AC73" s="245"/>
      <c r="AD73" s="245"/>
      <c r="AE73" s="245"/>
    </row>
    <row r="74" spans="1:31" ht="15.75" customHeight="1">
      <c r="A74" s="232"/>
      <c r="B74" s="233"/>
      <c r="C74" s="232"/>
      <c r="D74" s="233"/>
      <c r="E74" s="233"/>
      <c r="F74" s="235"/>
      <c r="G74" s="233"/>
      <c r="H74" s="233"/>
      <c r="I74" s="235"/>
      <c r="J74" s="235"/>
      <c r="K74" s="235"/>
      <c r="L74" s="233"/>
      <c r="M74" s="233"/>
      <c r="N74" s="233"/>
      <c r="O74" s="235"/>
      <c r="P74" s="235"/>
      <c r="Q74" s="235"/>
      <c r="R74" s="235"/>
      <c r="S74" s="233"/>
      <c r="T74" s="235"/>
      <c r="U74" s="235"/>
      <c r="V74" s="233"/>
      <c r="W74" s="235"/>
      <c r="X74" s="235"/>
      <c r="Y74" s="235"/>
      <c r="Z74" s="233"/>
      <c r="AA74" s="233"/>
      <c r="AB74" s="233"/>
      <c r="AC74" s="245"/>
      <c r="AD74" s="245"/>
      <c r="AE74" s="245"/>
    </row>
    <row r="75" spans="1:31" ht="15.75" customHeight="1">
      <c r="A75" s="232"/>
      <c r="B75" s="233"/>
      <c r="C75" s="232"/>
      <c r="D75" s="233"/>
      <c r="E75" s="233"/>
      <c r="F75" s="235"/>
      <c r="G75" s="233"/>
      <c r="H75" s="233"/>
      <c r="I75" s="235"/>
      <c r="J75" s="235"/>
      <c r="K75" s="235"/>
      <c r="L75" s="233"/>
      <c r="M75" s="233"/>
      <c r="N75" s="233"/>
      <c r="O75" s="235"/>
      <c r="P75" s="235"/>
      <c r="Q75" s="235"/>
      <c r="R75" s="235"/>
      <c r="S75" s="233"/>
      <c r="T75" s="235"/>
      <c r="U75" s="235"/>
      <c r="V75" s="233"/>
      <c r="W75" s="235"/>
      <c r="X75" s="235"/>
      <c r="Y75" s="235"/>
      <c r="Z75" s="233"/>
      <c r="AA75" s="233"/>
      <c r="AB75" s="233"/>
      <c r="AC75" s="245"/>
      <c r="AD75" s="245"/>
      <c r="AE75" s="245"/>
    </row>
    <row r="76" spans="1:31" ht="15.75" customHeight="1">
      <c r="A76" s="232"/>
      <c r="B76" s="233"/>
      <c r="C76" s="232"/>
      <c r="D76" s="233"/>
      <c r="E76" s="233"/>
      <c r="F76" s="235"/>
      <c r="G76" s="233"/>
      <c r="H76" s="233"/>
      <c r="I76" s="235"/>
      <c r="J76" s="235"/>
      <c r="K76" s="235"/>
      <c r="L76" s="233"/>
      <c r="M76" s="233"/>
      <c r="N76" s="233"/>
      <c r="O76" s="235"/>
      <c r="P76" s="235"/>
      <c r="Q76" s="235"/>
      <c r="R76" s="235"/>
      <c r="S76" s="233"/>
      <c r="T76" s="235"/>
      <c r="U76" s="235"/>
      <c r="V76" s="233"/>
      <c r="W76" s="235"/>
      <c r="X76" s="235"/>
      <c r="Y76" s="235"/>
      <c r="Z76" s="233"/>
      <c r="AA76" s="233"/>
      <c r="AB76" s="233"/>
      <c r="AC76" s="245"/>
      <c r="AD76" s="245"/>
      <c r="AE76" s="245"/>
    </row>
    <row r="77" spans="1:31" ht="15.75" customHeight="1">
      <c r="A77" s="232"/>
      <c r="B77" s="233"/>
      <c r="C77" s="232"/>
      <c r="D77" s="233"/>
      <c r="E77" s="233"/>
      <c r="F77" s="235"/>
      <c r="G77" s="233"/>
      <c r="H77" s="233"/>
      <c r="I77" s="235"/>
      <c r="J77" s="235"/>
      <c r="K77" s="235"/>
      <c r="L77" s="233"/>
      <c r="M77" s="233"/>
      <c r="N77" s="233"/>
      <c r="O77" s="235"/>
      <c r="P77" s="235"/>
      <c r="Q77" s="235"/>
      <c r="R77" s="235"/>
      <c r="S77" s="233"/>
      <c r="T77" s="235"/>
      <c r="U77" s="235"/>
      <c r="V77" s="233"/>
      <c r="W77" s="235"/>
      <c r="X77" s="235"/>
      <c r="Y77" s="235"/>
      <c r="Z77" s="233"/>
      <c r="AA77" s="233"/>
      <c r="AB77" s="233"/>
      <c r="AC77" s="245"/>
      <c r="AD77" s="245"/>
      <c r="AE77" s="245"/>
    </row>
    <row r="78" spans="1:31" ht="15.75" customHeight="1">
      <c r="A78" s="232"/>
      <c r="B78" s="233"/>
      <c r="C78" s="232"/>
      <c r="D78" s="233"/>
      <c r="E78" s="233"/>
      <c r="F78" s="235"/>
      <c r="G78" s="233"/>
      <c r="H78" s="233"/>
      <c r="I78" s="235"/>
      <c r="J78" s="235"/>
      <c r="K78" s="235"/>
      <c r="L78" s="233"/>
      <c r="M78" s="233"/>
      <c r="N78" s="233"/>
      <c r="O78" s="235"/>
      <c r="P78" s="235"/>
      <c r="Q78" s="235"/>
      <c r="R78" s="235"/>
      <c r="S78" s="233"/>
      <c r="T78" s="235"/>
      <c r="U78" s="235"/>
      <c r="V78" s="233"/>
      <c r="W78" s="235"/>
      <c r="X78" s="235"/>
      <c r="Y78" s="235"/>
      <c r="Z78" s="233"/>
      <c r="AA78" s="233"/>
      <c r="AB78" s="233"/>
      <c r="AC78" s="245"/>
      <c r="AD78" s="245"/>
      <c r="AE78" s="245"/>
    </row>
    <row r="79" spans="1:31" ht="15.75" customHeight="1">
      <c r="A79" s="232"/>
      <c r="B79" s="233"/>
      <c r="C79" s="232"/>
      <c r="D79" s="233"/>
      <c r="E79" s="233"/>
      <c r="F79" s="235"/>
      <c r="G79" s="233"/>
      <c r="H79" s="233"/>
      <c r="I79" s="235"/>
      <c r="J79" s="235"/>
      <c r="K79" s="235"/>
      <c r="L79" s="233"/>
      <c r="M79" s="233"/>
      <c r="N79" s="233"/>
      <c r="O79" s="235"/>
      <c r="P79" s="235"/>
      <c r="Q79" s="235"/>
      <c r="R79" s="235"/>
      <c r="S79" s="233"/>
      <c r="T79" s="235"/>
      <c r="U79" s="235"/>
      <c r="V79" s="233"/>
      <c r="W79" s="235"/>
      <c r="X79" s="235"/>
      <c r="Y79" s="235"/>
      <c r="Z79" s="233"/>
      <c r="AA79" s="233"/>
      <c r="AB79" s="233"/>
      <c r="AC79" s="245"/>
      <c r="AD79" s="245"/>
      <c r="AE79" s="245"/>
    </row>
    <row r="80" spans="1:31" ht="15.75" customHeight="1">
      <c r="A80" s="232"/>
      <c r="B80" s="233"/>
      <c r="C80" s="232"/>
      <c r="D80" s="233"/>
      <c r="E80" s="233"/>
      <c r="F80" s="235"/>
      <c r="G80" s="233"/>
      <c r="H80" s="233"/>
      <c r="I80" s="235"/>
      <c r="J80" s="235"/>
      <c r="K80" s="235"/>
      <c r="L80" s="233"/>
      <c r="M80" s="233"/>
      <c r="N80" s="233"/>
      <c r="O80" s="235"/>
      <c r="P80" s="235"/>
      <c r="Q80" s="235"/>
      <c r="R80" s="235"/>
      <c r="S80" s="233"/>
      <c r="T80" s="235"/>
      <c r="U80" s="235"/>
      <c r="V80" s="233"/>
      <c r="W80" s="235"/>
      <c r="X80" s="235"/>
      <c r="Y80" s="235"/>
      <c r="Z80" s="233"/>
      <c r="AA80" s="233"/>
      <c r="AB80" s="233"/>
      <c r="AC80" s="245"/>
      <c r="AD80" s="245"/>
      <c r="AE80" s="245"/>
    </row>
    <row r="81" spans="1:31" ht="15.75" customHeight="1">
      <c r="A81" s="232"/>
      <c r="B81" s="233"/>
      <c r="C81" s="232"/>
      <c r="D81" s="233"/>
      <c r="E81" s="233"/>
      <c r="F81" s="235"/>
      <c r="G81" s="233"/>
      <c r="H81" s="233"/>
      <c r="I81" s="235"/>
      <c r="J81" s="235"/>
      <c r="K81" s="235"/>
      <c r="L81" s="233"/>
      <c r="M81" s="233"/>
      <c r="N81" s="233"/>
      <c r="O81" s="235"/>
      <c r="P81" s="235"/>
      <c r="Q81" s="235"/>
      <c r="R81" s="235"/>
      <c r="S81" s="233"/>
      <c r="T81" s="235"/>
      <c r="U81" s="235"/>
      <c r="V81" s="233"/>
      <c r="W81" s="235"/>
      <c r="X81" s="235"/>
      <c r="Y81" s="235"/>
      <c r="Z81" s="233"/>
      <c r="AA81" s="233"/>
      <c r="AB81" s="233"/>
      <c r="AC81" s="245"/>
      <c r="AD81" s="245"/>
      <c r="AE81" s="245"/>
    </row>
    <row r="82" spans="1:31" ht="15.75" customHeight="1">
      <c r="A82" s="232"/>
      <c r="B82" s="233"/>
      <c r="C82" s="232"/>
      <c r="D82" s="233"/>
      <c r="E82" s="233"/>
      <c r="F82" s="235"/>
      <c r="G82" s="233"/>
      <c r="H82" s="233"/>
      <c r="I82" s="235"/>
      <c r="J82" s="235"/>
      <c r="K82" s="235"/>
      <c r="L82" s="233"/>
      <c r="M82" s="233"/>
      <c r="N82" s="233"/>
      <c r="O82" s="235"/>
      <c r="P82" s="235"/>
      <c r="Q82" s="235"/>
      <c r="R82" s="235"/>
      <c r="S82" s="233"/>
      <c r="T82" s="235"/>
      <c r="U82" s="235"/>
      <c r="V82" s="233"/>
      <c r="W82" s="235"/>
      <c r="X82" s="235"/>
      <c r="Y82" s="235"/>
      <c r="Z82" s="233"/>
      <c r="AA82" s="233"/>
      <c r="AB82" s="233"/>
      <c r="AC82" s="245"/>
      <c r="AD82" s="245"/>
      <c r="AE82" s="245"/>
    </row>
    <row r="83" spans="1:31" ht="15.75" customHeight="1">
      <c r="A83" s="232"/>
      <c r="B83" s="233"/>
      <c r="C83" s="232"/>
      <c r="D83" s="233"/>
      <c r="E83" s="233"/>
      <c r="F83" s="235"/>
      <c r="G83" s="233"/>
      <c r="H83" s="233"/>
      <c r="I83" s="235"/>
      <c r="J83" s="235"/>
      <c r="K83" s="235"/>
      <c r="L83" s="233"/>
      <c r="M83" s="233"/>
      <c r="N83" s="233"/>
      <c r="O83" s="235"/>
      <c r="P83" s="235"/>
      <c r="Q83" s="235"/>
      <c r="R83" s="235"/>
      <c r="S83" s="233"/>
      <c r="T83" s="235"/>
      <c r="U83" s="235"/>
      <c r="V83" s="233"/>
      <c r="W83" s="235"/>
      <c r="X83" s="235"/>
      <c r="Y83" s="235"/>
      <c r="Z83" s="233"/>
      <c r="AA83" s="233"/>
      <c r="AB83" s="233"/>
      <c r="AC83" s="245"/>
      <c r="AD83" s="245"/>
      <c r="AE83" s="245"/>
    </row>
    <row r="84" spans="1:31" ht="15.75" customHeight="1">
      <c r="A84" s="232"/>
      <c r="B84" s="233"/>
      <c r="C84" s="232"/>
      <c r="D84" s="233"/>
      <c r="E84" s="233"/>
      <c r="F84" s="235"/>
      <c r="G84" s="233"/>
      <c r="H84" s="233"/>
      <c r="I84" s="235"/>
      <c r="J84" s="235"/>
      <c r="K84" s="235"/>
      <c r="L84" s="233"/>
      <c r="M84" s="233"/>
      <c r="N84" s="233"/>
      <c r="O84" s="235"/>
      <c r="P84" s="235"/>
      <c r="Q84" s="235"/>
      <c r="R84" s="235"/>
      <c r="S84" s="233"/>
      <c r="T84" s="235"/>
      <c r="U84" s="235"/>
      <c r="V84" s="233"/>
      <c r="W84" s="235"/>
      <c r="X84" s="235"/>
      <c r="Y84" s="235"/>
      <c r="Z84" s="233"/>
      <c r="AA84" s="233"/>
      <c r="AB84" s="233"/>
      <c r="AC84" s="245"/>
      <c r="AD84" s="245"/>
      <c r="AE84" s="245"/>
    </row>
    <row r="85" spans="1:31" ht="15.75" customHeight="1">
      <c r="A85" s="232"/>
      <c r="B85" s="233"/>
      <c r="C85" s="232"/>
      <c r="D85" s="233"/>
      <c r="E85" s="233"/>
      <c r="F85" s="235"/>
      <c r="G85" s="233"/>
      <c r="H85" s="233"/>
      <c r="I85" s="235"/>
      <c r="J85" s="235"/>
      <c r="K85" s="235"/>
      <c r="L85" s="233"/>
      <c r="M85" s="233"/>
      <c r="N85" s="233"/>
      <c r="O85" s="235"/>
      <c r="P85" s="235"/>
      <c r="Q85" s="235"/>
      <c r="R85" s="235"/>
      <c r="S85" s="233"/>
      <c r="T85" s="235"/>
      <c r="U85" s="235"/>
      <c r="V85" s="233"/>
      <c r="W85" s="235"/>
      <c r="X85" s="235"/>
      <c r="Y85" s="235"/>
      <c r="Z85" s="233"/>
      <c r="AA85" s="233"/>
      <c r="AB85" s="233"/>
      <c r="AC85" s="245"/>
      <c r="AD85" s="245"/>
      <c r="AE85" s="245"/>
    </row>
    <row r="86" spans="1:31" ht="15.75" customHeight="1">
      <c r="A86" s="232"/>
      <c r="B86" s="233"/>
      <c r="C86" s="232"/>
      <c r="D86" s="233"/>
      <c r="E86" s="233"/>
      <c r="F86" s="235"/>
      <c r="G86" s="233"/>
      <c r="H86" s="233"/>
      <c r="I86" s="235"/>
      <c r="J86" s="235"/>
      <c r="K86" s="235"/>
      <c r="L86" s="233"/>
      <c r="M86" s="233"/>
      <c r="N86" s="233"/>
      <c r="O86" s="235"/>
      <c r="P86" s="235"/>
      <c r="Q86" s="235"/>
      <c r="R86" s="235"/>
      <c r="S86" s="233"/>
      <c r="T86" s="235"/>
      <c r="U86" s="235"/>
      <c r="V86" s="233"/>
      <c r="W86" s="235"/>
      <c r="X86" s="235"/>
      <c r="Y86" s="235"/>
      <c r="Z86" s="233"/>
      <c r="AA86" s="233"/>
      <c r="AB86" s="233"/>
      <c r="AC86" s="245"/>
      <c r="AD86" s="245"/>
      <c r="AE86" s="245"/>
    </row>
    <row r="87" spans="1:31" ht="15.75" customHeight="1">
      <c r="A87" s="232"/>
      <c r="B87" s="233"/>
      <c r="C87" s="232"/>
      <c r="D87" s="233"/>
      <c r="E87" s="233"/>
      <c r="F87" s="235"/>
      <c r="G87" s="233"/>
      <c r="H87" s="233"/>
      <c r="I87" s="235"/>
      <c r="J87" s="235"/>
      <c r="K87" s="235"/>
      <c r="L87" s="233"/>
      <c r="M87" s="233"/>
      <c r="N87" s="233"/>
      <c r="O87" s="235"/>
      <c r="P87" s="235"/>
      <c r="Q87" s="235"/>
      <c r="R87" s="235"/>
      <c r="S87" s="233"/>
      <c r="T87" s="235"/>
      <c r="U87" s="235"/>
      <c r="V87" s="233"/>
      <c r="W87" s="235"/>
      <c r="X87" s="235"/>
      <c r="Y87" s="235"/>
      <c r="Z87" s="233"/>
      <c r="AA87" s="233"/>
      <c r="AB87" s="233"/>
      <c r="AC87" s="245"/>
      <c r="AD87" s="245"/>
      <c r="AE87" s="245"/>
    </row>
    <row r="88" spans="1:31" ht="15.75" customHeight="1">
      <c r="A88" s="232"/>
      <c r="B88" s="233"/>
      <c r="C88" s="232"/>
      <c r="D88" s="233"/>
      <c r="E88" s="233"/>
      <c r="F88" s="235"/>
      <c r="G88" s="233"/>
      <c r="H88" s="233"/>
      <c r="I88" s="235"/>
      <c r="J88" s="235"/>
      <c r="K88" s="235"/>
      <c r="L88" s="233"/>
      <c r="M88" s="233"/>
      <c r="N88" s="233"/>
      <c r="O88" s="235"/>
      <c r="P88" s="235"/>
      <c r="Q88" s="235"/>
      <c r="R88" s="235"/>
      <c r="S88" s="233"/>
      <c r="T88" s="235"/>
      <c r="U88" s="235"/>
      <c r="V88" s="233"/>
      <c r="W88" s="235"/>
      <c r="X88" s="235"/>
      <c r="Y88" s="235"/>
      <c r="Z88" s="233"/>
      <c r="AA88" s="233"/>
      <c r="AB88" s="233"/>
      <c r="AC88" s="245"/>
      <c r="AD88" s="245"/>
      <c r="AE88" s="245"/>
    </row>
    <row r="89" spans="1:31" ht="15.75" customHeight="1">
      <c r="A89" s="232"/>
      <c r="B89" s="233"/>
      <c r="C89" s="232"/>
      <c r="D89" s="233"/>
      <c r="E89" s="233"/>
      <c r="F89" s="235"/>
      <c r="G89" s="233"/>
      <c r="H89" s="233"/>
      <c r="I89" s="235"/>
      <c r="J89" s="235"/>
      <c r="K89" s="235"/>
      <c r="L89" s="233"/>
      <c r="M89" s="233"/>
      <c r="N89" s="233"/>
      <c r="O89" s="235"/>
      <c r="P89" s="235"/>
      <c r="Q89" s="235"/>
      <c r="R89" s="235"/>
      <c r="S89" s="233"/>
      <c r="T89" s="235"/>
      <c r="U89" s="235"/>
      <c r="V89" s="233"/>
      <c r="W89" s="235"/>
      <c r="X89" s="235"/>
      <c r="Y89" s="235"/>
      <c r="Z89" s="233"/>
      <c r="AA89" s="233"/>
      <c r="AB89" s="233"/>
      <c r="AC89" s="245"/>
      <c r="AD89" s="245"/>
      <c r="AE89" s="245"/>
    </row>
    <row r="90" spans="1:31" ht="15.75" customHeight="1">
      <c r="A90" s="232"/>
      <c r="B90" s="233"/>
      <c r="C90" s="232"/>
      <c r="D90" s="233"/>
      <c r="E90" s="233"/>
      <c r="F90" s="235"/>
      <c r="G90" s="233"/>
      <c r="H90" s="233"/>
      <c r="I90" s="235"/>
      <c r="J90" s="235"/>
      <c r="K90" s="235"/>
      <c r="L90" s="233"/>
      <c r="M90" s="233"/>
      <c r="N90" s="233"/>
      <c r="O90" s="235"/>
      <c r="P90" s="235"/>
      <c r="Q90" s="235"/>
      <c r="R90" s="235"/>
      <c r="S90" s="233"/>
      <c r="T90" s="235"/>
      <c r="U90" s="235"/>
      <c r="V90" s="233"/>
      <c r="W90" s="235"/>
      <c r="X90" s="235"/>
      <c r="Y90" s="235"/>
      <c r="Z90" s="233"/>
      <c r="AA90" s="233"/>
      <c r="AB90" s="233"/>
      <c r="AC90" s="245"/>
      <c r="AD90" s="245"/>
      <c r="AE90" s="245"/>
    </row>
    <row r="91" spans="1:31" ht="15.75" customHeight="1">
      <c r="A91" s="232"/>
      <c r="B91" s="233"/>
      <c r="C91" s="232"/>
      <c r="D91" s="233"/>
      <c r="E91" s="233"/>
      <c r="F91" s="235"/>
      <c r="G91" s="233"/>
      <c r="H91" s="233"/>
      <c r="I91" s="235"/>
      <c r="J91" s="235"/>
      <c r="K91" s="235"/>
      <c r="L91" s="233"/>
      <c r="M91" s="233"/>
      <c r="N91" s="233"/>
      <c r="O91" s="235"/>
      <c r="P91" s="235"/>
      <c r="Q91" s="235"/>
      <c r="R91" s="235"/>
      <c r="S91" s="233"/>
      <c r="T91" s="235"/>
      <c r="U91" s="235"/>
      <c r="V91" s="233"/>
      <c r="W91" s="235"/>
      <c r="X91" s="235"/>
      <c r="Y91" s="235"/>
      <c r="Z91" s="233"/>
      <c r="AA91" s="233"/>
      <c r="AB91" s="233"/>
      <c r="AC91" s="245"/>
      <c r="AD91" s="245"/>
      <c r="AE91" s="245"/>
    </row>
    <row r="92" spans="1:31" ht="15.75" customHeight="1">
      <c r="A92" s="232"/>
      <c r="B92" s="233"/>
      <c r="C92" s="232"/>
      <c r="D92" s="233"/>
      <c r="E92" s="233"/>
      <c r="F92" s="235"/>
      <c r="G92" s="233"/>
      <c r="H92" s="233"/>
      <c r="I92" s="235"/>
      <c r="J92" s="235"/>
      <c r="K92" s="235"/>
      <c r="L92" s="233"/>
      <c r="M92" s="233"/>
      <c r="N92" s="233"/>
      <c r="O92" s="235"/>
      <c r="P92" s="235"/>
      <c r="Q92" s="235"/>
      <c r="R92" s="235"/>
      <c r="S92" s="233"/>
      <c r="T92" s="235"/>
      <c r="U92" s="235"/>
      <c r="V92" s="233"/>
      <c r="W92" s="235"/>
      <c r="X92" s="235"/>
      <c r="Y92" s="235"/>
      <c r="Z92" s="233"/>
      <c r="AA92" s="233"/>
      <c r="AB92" s="233"/>
      <c r="AC92" s="245"/>
      <c r="AD92" s="245"/>
      <c r="AE92" s="245"/>
    </row>
    <row r="93" spans="1:31" ht="15.75" customHeight="1">
      <c r="A93" s="232"/>
      <c r="B93" s="233"/>
      <c r="C93" s="232"/>
      <c r="D93" s="233"/>
      <c r="E93" s="233"/>
      <c r="F93" s="235"/>
      <c r="G93" s="233"/>
      <c r="H93" s="233"/>
      <c r="I93" s="235"/>
      <c r="J93" s="235"/>
      <c r="K93" s="235"/>
      <c r="L93" s="233"/>
      <c r="M93" s="233"/>
      <c r="N93" s="233"/>
      <c r="O93" s="235"/>
      <c r="P93" s="235"/>
      <c r="Q93" s="235"/>
      <c r="R93" s="235"/>
      <c r="S93" s="233"/>
      <c r="T93" s="235"/>
      <c r="U93" s="235"/>
      <c r="V93" s="233"/>
      <c r="W93" s="235"/>
      <c r="X93" s="235"/>
      <c r="Y93" s="235"/>
      <c r="Z93" s="233"/>
      <c r="AA93" s="233"/>
      <c r="AB93" s="233"/>
      <c r="AC93" s="245"/>
      <c r="AD93" s="245"/>
      <c r="AE93" s="245"/>
    </row>
    <row r="94" spans="1:31" ht="15.75" customHeight="1">
      <c r="A94" s="232"/>
      <c r="B94" s="233"/>
      <c r="C94" s="232"/>
      <c r="D94" s="233"/>
      <c r="E94" s="233"/>
      <c r="F94" s="235"/>
      <c r="G94" s="233"/>
      <c r="H94" s="233"/>
      <c r="I94" s="235"/>
      <c r="J94" s="235"/>
      <c r="K94" s="235"/>
      <c r="L94" s="233"/>
      <c r="M94" s="233"/>
      <c r="N94" s="233"/>
      <c r="O94" s="235"/>
      <c r="P94" s="235"/>
      <c r="Q94" s="235"/>
      <c r="R94" s="235"/>
      <c r="S94" s="233"/>
      <c r="T94" s="235"/>
      <c r="U94" s="235"/>
      <c r="V94" s="233"/>
      <c r="W94" s="235"/>
      <c r="X94" s="235"/>
      <c r="Y94" s="235"/>
      <c r="Z94" s="233"/>
      <c r="AA94" s="233"/>
      <c r="AB94" s="233"/>
      <c r="AC94" s="245"/>
      <c r="AD94" s="245"/>
      <c r="AE94" s="245"/>
    </row>
    <row r="95" spans="1:31" ht="15.75" customHeight="1">
      <c r="A95" s="232"/>
      <c r="B95" s="233"/>
      <c r="C95" s="232"/>
      <c r="D95" s="233"/>
      <c r="E95" s="233"/>
      <c r="F95" s="235"/>
      <c r="G95" s="233"/>
      <c r="H95" s="233"/>
      <c r="I95" s="235"/>
      <c r="J95" s="235"/>
      <c r="K95" s="235"/>
      <c r="L95" s="233"/>
      <c r="M95" s="233"/>
      <c r="N95" s="233"/>
      <c r="O95" s="235"/>
      <c r="P95" s="235"/>
      <c r="Q95" s="235"/>
      <c r="R95" s="235"/>
      <c r="S95" s="233"/>
      <c r="T95" s="235"/>
      <c r="U95" s="235"/>
      <c r="V95" s="233"/>
      <c r="W95" s="235"/>
      <c r="X95" s="235"/>
      <c r="Y95" s="235"/>
      <c r="Z95" s="233"/>
      <c r="AA95" s="233"/>
      <c r="AB95" s="233"/>
      <c r="AC95" s="245"/>
      <c r="AD95" s="245"/>
      <c r="AE95" s="245"/>
    </row>
    <row r="96" spans="1:31" ht="15.75" customHeight="1">
      <c r="A96" s="232"/>
      <c r="B96" s="233"/>
      <c r="C96" s="232"/>
      <c r="D96" s="233"/>
      <c r="E96" s="233"/>
      <c r="F96" s="235"/>
      <c r="G96" s="233"/>
      <c r="H96" s="233"/>
      <c r="I96" s="235"/>
      <c r="J96" s="235"/>
      <c r="K96" s="235"/>
      <c r="L96" s="233"/>
      <c r="M96" s="233"/>
      <c r="N96" s="233"/>
      <c r="O96" s="235"/>
      <c r="P96" s="235"/>
      <c r="Q96" s="235"/>
      <c r="R96" s="235"/>
      <c r="S96" s="233"/>
      <c r="T96" s="235"/>
      <c r="U96" s="235"/>
      <c r="V96" s="233"/>
      <c r="W96" s="235"/>
      <c r="X96" s="235"/>
      <c r="Y96" s="235"/>
      <c r="Z96" s="233"/>
      <c r="AA96" s="233"/>
      <c r="AB96" s="233"/>
      <c r="AC96" s="245"/>
      <c r="AD96" s="245"/>
      <c r="AE96" s="245"/>
    </row>
    <row r="97" spans="1:31" ht="15.75" customHeight="1">
      <c r="A97" s="232"/>
      <c r="B97" s="233"/>
      <c r="C97" s="232"/>
      <c r="D97" s="233"/>
      <c r="E97" s="233"/>
      <c r="F97" s="235"/>
      <c r="G97" s="233"/>
      <c r="H97" s="233"/>
      <c r="I97" s="235"/>
      <c r="J97" s="235"/>
      <c r="K97" s="235"/>
      <c r="L97" s="233"/>
      <c r="M97" s="233"/>
      <c r="N97" s="233"/>
      <c r="O97" s="235"/>
      <c r="P97" s="235"/>
      <c r="Q97" s="235"/>
      <c r="R97" s="235"/>
      <c r="S97" s="233"/>
      <c r="T97" s="235"/>
      <c r="U97" s="235"/>
      <c r="V97" s="233"/>
      <c r="W97" s="235"/>
      <c r="X97" s="235"/>
      <c r="Y97" s="235"/>
      <c r="Z97" s="233"/>
      <c r="AA97" s="233"/>
      <c r="AB97" s="233"/>
      <c r="AC97" s="245"/>
      <c r="AD97" s="245"/>
      <c r="AE97" s="245"/>
    </row>
    <row r="98" spans="1:31" ht="15.75" customHeight="1">
      <c r="A98" s="232"/>
      <c r="B98" s="233"/>
      <c r="C98" s="232"/>
      <c r="D98" s="233"/>
      <c r="E98" s="233"/>
      <c r="F98" s="235"/>
      <c r="G98" s="233"/>
      <c r="H98" s="233"/>
      <c r="I98" s="235"/>
      <c r="J98" s="235"/>
      <c r="K98" s="235"/>
      <c r="L98" s="233"/>
      <c r="M98" s="233"/>
      <c r="N98" s="233"/>
      <c r="O98" s="235"/>
      <c r="P98" s="235"/>
      <c r="Q98" s="235"/>
      <c r="R98" s="235"/>
      <c r="S98" s="233"/>
      <c r="T98" s="235"/>
      <c r="U98" s="235"/>
      <c r="V98" s="233"/>
      <c r="W98" s="235"/>
      <c r="X98" s="235"/>
      <c r="Y98" s="235"/>
      <c r="Z98" s="233"/>
      <c r="AA98" s="233"/>
      <c r="AB98" s="233"/>
      <c r="AC98" s="245"/>
      <c r="AD98" s="245"/>
      <c r="AE98" s="245"/>
    </row>
    <row r="99" spans="1:31" ht="15.75" customHeight="1">
      <c r="A99" s="232"/>
      <c r="B99" s="233"/>
      <c r="C99" s="232"/>
      <c r="D99" s="233"/>
      <c r="E99" s="233"/>
      <c r="F99" s="235"/>
      <c r="G99" s="233"/>
      <c r="H99" s="233"/>
      <c r="I99" s="235"/>
      <c r="J99" s="235"/>
      <c r="K99" s="235"/>
      <c r="L99" s="233"/>
      <c r="M99" s="233"/>
      <c r="N99" s="233"/>
      <c r="O99" s="235"/>
      <c r="P99" s="235"/>
      <c r="Q99" s="235"/>
      <c r="R99" s="235"/>
      <c r="S99" s="233"/>
      <c r="T99" s="235"/>
      <c r="U99" s="235"/>
      <c r="V99" s="233"/>
      <c r="W99" s="235"/>
      <c r="X99" s="235"/>
      <c r="Y99" s="235"/>
      <c r="Z99" s="233"/>
      <c r="AA99" s="233"/>
      <c r="AB99" s="233"/>
      <c r="AC99" s="245"/>
      <c r="AD99" s="245"/>
      <c r="AE99" s="245"/>
    </row>
    <row r="100" spans="1:31" ht="15.75" customHeight="1">
      <c r="A100" s="232"/>
      <c r="B100" s="233"/>
      <c r="C100" s="232"/>
      <c r="D100" s="233"/>
      <c r="E100" s="233"/>
      <c r="F100" s="235"/>
      <c r="G100" s="233"/>
      <c r="H100" s="233"/>
      <c r="I100" s="235"/>
      <c r="J100" s="235"/>
      <c r="K100" s="235"/>
      <c r="L100" s="233"/>
      <c r="M100" s="233"/>
      <c r="N100" s="233"/>
      <c r="O100" s="235"/>
      <c r="P100" s="235"/>
      <c r="Q100" s="235"/>
      <c r="R100" s="235"/>
      <c r="S100" s="233"/>
      <c r="T100" s="235"/>
      <c r="U100" s="235"/>
      <c r="V100" s="233"/>
      <c r="W100" s="235"/>
      <c r="X100" s="235"/>
      <c r="Y100" s="235"/>
      <c r="Z100" s="233"/>
      <c r="AA100" s="233"/>
      <c r="AB100" s="233"/>
      <c r="AC100" s="245"/>
      <c r="AD100" s="245"/>
      <c r="AE100" s="245"/>
    </row>
    <row r="101" spans="1:31" ht="15.75" customHeight="1">
      <c r="A101" s="232"/>
      <c r="B101" s="233"/>
      <c r="C101" s="232"/>
      <c r="D101" s="233"/>
      <c r="E101" s="233"/>
      <c r="F101" s="235"/>
      <c r="G101" s="233"/>
      <c r="H101" s="233"/>
      <c r="I101" s="235"/>
      <c r="J101" s="235"/>
      <c r="K101" s="235"/>
      <c r="L101" s="233"/>
      <c r="M101" s="233"/>
      <c r="N101" s="233"/>
      <c r="O101" s="235"/>
      <c r="P101" s="235"/>
      <c r="Q101" s="235"/>
      <c r="R101" s="235"/>
      <c r="S101" s="233"/>
      <c r="T101" s="235"/>
      <c r="U101" s="235"/>
      <c r="V101" s="233"/>
      <c r="W101" s="235"/>
      <c r="X101" s="235"/>
      <c r="Y101" s="235"/>
      <c r="Z101" s="233"/>
      <c r="AA101" s="233"/>
      <c r="AB101" s="233"/>
      <c r="AC101" s="245"/>
      <c r="AD101" s="245"/>
      <c r="AE101" s="245"/>
    </row>
    <row r="102" spans="1:31" ht="15.75" customHeight="1">
      <c r="A102" s="232"/>
      <c r="B102" s="233"/>
      <c r="C102" s="232"/>
      <c r="D102" s="233"/>
      <c r="E102" s="233"/>
      <c r="F102" s="235"/>
      <c r="G102" s="233"/>
      <c r="H102" s="233"/>
      <c r="I102" s="235"/>
      <c r="J102" s="235"/>
      <c r="K102" s="235"/>
      <c r="L102" s="233"/>
      <c r="M102" s="233"/>
      <c r="N102" s="233"/>
      <c r="O102" s="235"/>
      <c r="P102" s="235"/>
      <c r="Q102" s="235"/>
      <c r="R102" s="235"/>
      <c r="S102" s="233"/>
      <c r="T102" s="235"/>
      <c r="U102" s="235"/>
      <c r="V102" s="233"/>
      <c r="W102" s="235"/>
      <c r="X102" s="235"/>
      <c r="Y102" s="235"/>
      <c r="Z102" s="233"/>
      <c r="AA102" s="233"/>
      <c r="AB102" s="233"/>
      <c r="AC102" s="245"/>
      <c r="AD102" s="245"/>
      <c r="AE102" s="245"/>
    </row>
    <row r="103" spans="1:31" ht="15.75" customHeight="1">
      <c r="A103" s="232"/>
      <c r="B103" s="233"/>
      <c r="C103" s="232"/>
      <c r="D103" s="233"/>
      <c r="E103" s="233"/>
      <c r="F103" s="235"/>
      <c r="G103" s="233"/>
      <c r="H103" s="233"/>
      <c r="I103" s="235"/>
      <c r="J103" s="235"/>
      <c r="K103" s="235"/>
      <c r="L103" s="233"/>
      <c r="M103" s="233"/>
      <c r="N103" s="233"/>
      <c r="O103" s="235"/>
      <c r="P103" s="235"/>
      <c r="Q103" s="235"/>
      <c r="R103" s="235"/>
      <c r="S103" s="233"/>
      <c r="T103" s="235"/>
      <c r="U103" s="235"/>
      <c r="V103" s="233"/>
      <c r="W103" s="235"/>
      <c r="X103" s="235"/>
      <c r="Y103" s="235"/>
      <c r="Z103" s="233"/>
      <c r="AA103" s="233"/>
      <c r="AB103" s="233"/>
      <c r="AC103" s="245"/>
      <c r="AD103" s="245"/>
      <c r="AE103" s="245"/>
    </row>
    <row r="104" spans="1:31" ht="15.75" customHeight="1">
      <c r="A104" s="232"/>
      <c r="B104" s="233"/>
      <c r="C104" s="232"/>
      <c r="D104" s="233"/>
      <c r="E104" s="233"/>
      <c r="F104" s="235"/>
      <c r="G104" s="233"/>
      <c r="H104" s="233"/>
      <c r="I104" s="235"/>
      <c r="J104" s="235"/>
      <c r="K104" s="235"/>
      <c r="L104" s="233"/>
      <c r="M104" s="233"/>
      <c r="N104" s="233"/>
      <c r="O104" s="235"/>
      <c r="P104" s="235"/>
      <c r="Q104" s="235"/>
      <c r="R104" s="235"/>
      <c r="S104" s="233"/>
      <c r="T104" s="235"/>
      <c r="U104" s="235"/>
      <c r="V104" s="233"/>
      <c r="W104" s="235"/>
      <c r="X104" s="235"/>
      <c r="Y104" s="235"/>
      <c r="Z104" s="233"/>
      <c r="AA104" s="233"/>
      <c r="AB104" s="233"/>
      <c r="AC104" s="245"/>
      <c r="AD104" s="245"/>
      <c r="AE104" s="245"/>
    </row>
    <row r="105" spans="1:31" ht="15.75" customHeight="1">
      <c r="A105" s="232"/>
      <c r="B105" s="233"/>
      <c r="C105" s="232"/>
      <c r="D105" s="233"/>
      <c r="E105" s="233"/>
      <c r="F105" s="235"/>
      <c r="G105" s="233"/>
      <c r="H105" s="233"/>
      <c r="I105" s="235"/>
      <c r="J105" s="235"/>
      <c r="K105" s="235"/>
      <c r="L105" s="233"/>
      <c r="M105" s="233"/>
      <c r="N105" s="233"/>
      <c r="O105" s="235"/>
      <c r="P105" s="235"/>
      <c r="Q105" s="235"/>
      <c r="R105" s="235"/>
      <c r="S105" s="233"/>
      <c r="T105" s="235"/>
      <c r="U105" s="235"/>
      <c r="V105" s="233"/>
      <c r="W105" s="235"/>
      <c r="X105" s="235"/>
      <c r="Y105" s="235"/>
      <c r="Z105" s="233"/>
      <c r="AA105" s="233"/>
      <c r="AB105" s="233"/>
      <c r="AC105" s="245"/>
      <c r="AD105" s="245"/>
      <c r="AE105" s="245"/>
    </row>
    <row r="106" spans="1:31" ht="15.75" customHeight="1">
      <c r="A106" s="232"/>
      <c r="B106" s="233"/>
      <c r="C106" s="232"/>
      <c r="D106" s="233"/>
      <c r="E106" s="233"/>
      <c r="F106" s="235"/>
      <c r="G106" s="233"/>
      <c r="H106" s="233"/>
      <c r="I106" s="235"/>
      <c r="J106" s="235"/>
      <c r="K106" s="235"/>
      <c r="L106" s="233"/>
      <c r="M106" s="233"/>
      <c r="N106" s="233"/>
      <c r="O106" s="235"/>
      <c r="P106" s="235"/>
      <c r="Q106" s="235"/>
      <c r="R106" s="235"/>
      <c r="S106" s="233"/>
      <c r="T106" s="235"/>
      <c r="U106" s="235"/>
      <c r="V106" s="233"/>
      <c r="W106" s="235"/>
      <c r="X106" s="235"/>
      <c r="Y106" s="235"/>
      <c r="Z106" s="233"/>
      <c r="AA106" s="233"/>
      <c r="AB106" s="233"/>
      <c r="AC106" s="245"/>
      <c r="AD106" s="245"/>
      <c r="AE106" s="245"/>
    </row>
    <row r="107" spans="1:31" ht="15.75" customHeight="1">
      <c r="A107" s="232"/>
      <c r="B107" s="233"/>
      <c r="C107" s="232"/>
      <c r="D107" s="233"/>
      <c r="E107" s="233"/>
      <c r="F107" s="235"/>
      <c r="G107" s="233"/>
      <c r="H107" s="233"/>
      <c r="I107" s="235"/>
      <c r="J107" s="235"/>
      <c r="K107" s="235"/>
      <c r="L107" s="233"/>
      <c r="M107" s="233"/>
      <c r="N107" s="233"/>
      <c r="O107" s="235"/>
      <c r="P107" s="235"/>
      <c r="Q107" s="235"/>
      <c r="R107" s="235"/>
      <c r="S107" s="233"/>
      <c r="T107" s="235"/>
      <c r="U107" s="235"/>
      <c r="V107" s="233"/>
      <c r="W107" s="235"/>
      <c r="X107" s="235"/>
      <c r="Y107" s="235"/>
      <c r="Z107" s="233"/>
      <c r="AA107" s="233"/>
      <c r="AB107" s="233"/>
      <c r="AC107" s="245"/>
      <c r="AD107" s="245"/>
      <c r="AE107" s="245"/>
    </row>
    <row r="108" spans="1:31" ht="15.75" customHeight="1">
      <c r="A108" s="232"/>
      <c r="B108" s="233"/>
      <c r="C108" s="232"/>
      <c r="D108" s="233"/>
      <c r="E108" s="233"/>
      <c r="F108" s="235"/>
      <c r="G108" s="233"/>
      <c r="H108" s="233"/>
      <c r="I108" s="235"/>
      <c r="J108" s="235"/>
      <c r="K108" s="235"/>
      <c r="L108" s="233"/>
      <c r="M108" s="233"/>
      <c r="N108" s="233"/>
      <c r="O108" s="235"/>
      <c r="P108" s="235"/>
      <c r="Q108" s="235"/>
      <c r="R108" s="235"/>
      <c r="S108" s="233"/>
      <c r="T108" s="235"/>
      <c r="U108" s="235"/>
      <c r="V108" s="233"/>
      <c r="W108" s="235"/>
      <c r="X108" s="235"/>
      <c r="Y108" s="235"/>
      <c r="Z108" s="233"/>
      <c r="AA108" s="233"/>
      <c r="AB108" s="233"/>
      <c r="AC108" s="245"/>
      <c r="AD108" s="245"/>
      <c r="AE108" s="245"/>
    </row>
    <row r="109" spans="1:31" ht="15.75" customHeight="1">
      <c r="A109" s="232"/>
      <c r="B109" s="233"/>
      <c r="C109" s="232"/>
      <c r="D109" s="233"/>
      <c r="E109" s="233"/>
      <c r="F109" s="235"/>
      <c r="G109" s="233"/>
      <c r="H109" s="233"/>
      <c r="I109" s="235"/>
      <c r="J109" s="235"/>
      <c r="K109" s="235"/>
      <c r="L109" s="233"/>
      <c r="M109" s="233"/>
      <c r="N109" s="233"/>
      <c r="O109" s="235"/>
      <c r="P109" s="235"/>
      <c r="Q109" s="235"/>
      <c r="R109" s="235"/>
      <c r="S109" s="233"/>
      <c r="T109" s="235"/>
      <c r="U109" s="235"/>
      <c r="V109" s="233"/>
      <c r="W109" s="235"/>
      <c r="X109" s="235"/>
      <c r="Y109" s="235"/>
      <c r="Z109" s="233"/>
      <c r="AA109" s="233"/>
      <c r="AB109" s="233"/>
      <c r="AC109" s="245"/>
      <c r="AD109" s="245"/>
      <c r="AE109" s="245"/>
    </row>
    <row r="110" spans="1:31" ht="15.75" customHeight="1">
      <c r="A110" s="232"/>
      <c r="B110" s="233"/>
      <c r="C110" s="232"/>
      <c r="D110" s="233"/>
      <c r="E110" s="233"/>
      <c r="F110" s="235"/>
      <c r="G110" s="233"/>
      <c r="H110" s="233"/>
      <c r="I110" s="235"/>
      <c r="J110" s="235"/>
      <c r="K110" s="235"/>
      <c r="L110" s="233"/>
      <c r="M110" s="233"/>
      <c r="N110" s="233"/>
      <c r="O110" s="235"/>
      <c r="P110" s="235"/>
      <c r="Q110" s="235"/>
      <c r="R110" s="235"/>
      <c r="S110" s="233"/>
      <c r="T110" s="235"/>
      <c r="U110" s="235"/>
      <c r="V110" s="233"/>
      <c r="W110" s="235"/>
      <c r="X110" s="235"/>
      <c r="Y110" s="235"/>
      <c r="Z110" s="233"/>
      <c r="AA110" s="233"/>
      <c r="AB110" s="233"/>
      <c r="AC110" s="245"/>
      <c r="AD110" s="245"/>
      <c r="AE110" s="245"/>
    </row>
    <row r="111" spans="1:31" ht="15.75" customHeight="1">
      <c r="A111" s="232"/>
      <c r="B111" s="233"/>
      <c r="C111" s="232"/>
      <c r="D111" s="233"/>
      <c r="E111" s="233"/>
      <c r="F111" s="235"/>
      <c r="G111" s="233"/>
      <c r="H111" s="233"/>
      <c r="I111" s="235"/>
      <c r="J111" s="235"/>
      <c r="K111" s="235"/>
      <c r="L111" s="233"/>
      <c r="M111" s="233"/>
      <c r="N111" s="233"/>
      <c r="O111" s="235"/>
      <c r="P111" s="235"/>
      <c r="Q111" s="235"/>
      <c r="R111" s="235"/>
      <c r="S111" s="233"/>
      <c r="T111" s="235"/>
      <c r="U111" s="235"/>
      <c r="V111" s="233"/>
      <c r="W111" s="235"/>
      <c r="X111" s="235"/>
      <c r="Y111" s="235"/>
      <c r="Z111" s="233"/>
      <c r="AA111" s="233"/>
      <c r="AB111" s="233"/>
      <c r="AC111" s="245"/>
      <c r="AD111" s="245"/>
      <c r="AE111" s="245"/>
    </row>
    <row r="112" spans="1:31" ht="15.75" customHeight="1">
      <c r="A112" s="232"/>
      <c r="B112" s="233"/>
      <c r="C112" s="232"/>
      <c r="D112" s="233"/>
      <c r="E112" s="233"/>
      <c r="F112" s="235"/>
      <c r="G112" s="233"/>
      <c r="H112" s="233"/>
      <c r="I112" s="235"/>
      <c r="J112" s="235"/>
      <c r="K112" s="235"/>
      <c r="L112" s="233"/>
      <c r="M112" s="233"/>
      <c r="N112" s="233"/>
      <c r="O112" s="235"/>
      <c r="P112" s="235"/>
      <c r="Q112" s="235"/>
      <c r="R112" s="235"/>
      <c r="S112" s="233"/>
      <c r="T112" s="235"/>
      <c r="U112" s="235"/>
      <c r="V112" s="233"/>
      <c r="W112" s="235"/>
      <c r="X112" s="235"/>
      <c r="Y112" s="235"/>
      <c r="Z112" s="233"/>
      <c r="AA112" s="233"/>
      <c r="AB112" s="233"/>
      <c r="AC112" s="245"/>
      <c r="AD112" s="245"/>
      <c r="AE112" s="245"/>
    </row>
    <row r="113" spans="1:31" ht="15.75" customHeight="1">
      <c r="A113" s="232"/>
      <c r="B113" s="233"/>
      <c r="C113" s="232"/>
      <c r="D113" s="233"/>
      <c r="E113" s="233"/>
      <c r="F113" s="235"/>
      <c r="G113" s="233"/>
      <c r="H113" s="233"/>
      <c r="I113" s="235"/>
      <c r="J113" s="235"/>
      <c r="K113" s="235"/>
      <c r="L113" s="233"/>
      <c r="M113" s="233"/>
      <c r="N113" s="233"/>
      <c r="O113" s="235"/>
      <c r="P113" s="235"/>
      <c r="Q113" s="235"/>
      <c r="R113" s="235"/>
      <c r="S113" s="233"/>
      <c r="T113" s="235"/>
      <c r="U113" s="235"/>
      <c r="V113" s="233"/>
      <c r="W113" s="235"/>
      <c r="X113" s="235"/>
      <c r="Y113" s="235"/>
      <c r="Z113" s="233"/>
      <c r="AA113" s="233"/>
      <c r="AB113" s="233"/>
      <c r="AC113" s="245"/>
      <c r="AD113" s="245"/>
      <c r="AE113" s="245"/>
    </row>
    <row r="114" spans="1:31" ht="15.75" customHeight="1">
      <c r="A114" s="232"/>
      <c r="B114" s="233"/>
      <c r="C114" s="232"/>
      <c r="D114" s="233"/>
      <c r="E114" s="233"/>
      <c r="F114" s="235"/>
      <c r="G114" s="233"/>
      <c r="H114" s="233"/>
      <c r="I114" s="235"/>
      <c r="J114" s="235"/>
      <c r="K114" s="235"/>
      <c r="L114" s="233"/>
      <c r="M114" s="233"/>
      <c r="N114" s="233"/>
      <c r="O114" s="235"/>
      <c r="P114" s="235"/>
      <c r="Q114" s="235"/>
      <c r="R114" s="235"/>
      <c r="S114" s="233"/>
      <c r="T114" s="235"/>
      <c r="U114" s="235"/>
      <c r="V114" s="233"/>
      <c r="W114" s="235"/>
      <c r="X114" s="235"/>
      <c r="Y114" s="235"/>
      <c r="Z114" s="233"/>
      <c r="AA114" s="233"/>
      <c r="AB114" s="233"/>
      <c r="AC114" s="245"/>
      <c r="AD114" s="245"/>
      <c r="AE114" s="245"/>
    </row>
    <row r="115" spans="1:31" ht="15.75" customHeight="1">
      <c r="A115" s="232"/>
      <c r="B115" s="233"/>
      <c r="C115" s="232"/>
      <c r="D115" s="233"/>
      <c r="E115" s="233"/>
      <c r="F115" s="235"/>
      <c r="G115" s="233"/>
      <c r="H115" s="233"/>
      <c r="I115" s="235"/>
      <c r="J115" s="235"/>
      <c r="K115" s="235"/>
      <c r="L115" s="233"/>
      <c r="M115" s="233"/>
      <c r="N115" s="233"/>
      <c r="O115" s="235"/>
      <c r="P115" s="235"/>
      <c r="Q115" s="235"/>
      <c r="R115" s="235"/>
      <c r="S115" s="233"/>
      <c r="T115" s="235"/>
      <c r="U115" s="235"/>
      <c r="V115" s="233"/>
      <c r="W115" s="235"/>
      <c r="X115" s="235"/>
      <c r="Y115" s="235"/>
      <c r="Z115" s="233"/>
      <c r="AA115" s="233"/>
      <c r="AB115" s="233"/>
      <c r="AC115" s="245"/>
      <c r="AD115" s="245"/>
      <c r="AE115" s="245"/>
    </row>
    <row r="116" spans="1:31" ht="15.75" customHeight="1">
      <c r="A116" s="232"/>
      <c r="B116" s="233"/>
      <c r="C116" s="232"/>
      <c r="D116" s="233"/>
      <c r="E116" s="233"/>
      <c r="F116" s="235"/>
      <c r="G116" s="233"/>
      <c r="H116" s="233"/>
      <c r="I116" s="235"/>
      <c r="J116" s="235"/>
      <c r="K116" s="235"/>
      <c r="L116" s="233"/>
      <c r="M116" s="233"/>
      <c r="N116" s="233"/>
      <c r="O116" s="235"/>
      <c r="P116" s="235"/>
      <c r="Q116" s="235"/>
      <c r="R116" s="235"/>
      <c r="S116" s="233"/>
      <c r="T116" s="235"/>
      <c r="U116" s="235"/>
      <c r="V116" s="233"/>
      <c r="W116" s="235"/>
      <c r="X116" s="235"/>
      <c r="Y116" s="235"/>
      <c r="Z116" s="233"/>
      <c r="AA116" s="233"/>
      <c r="AB116" s="233"/>
      <c r="AC116" s="245"/>
      <c r="AD116" s="245"/>
      <c r="AE116" s="245"/>
    </row>
    <row r="117" spans="1:31" ht="15.75" customHeight="1">
      <c r="A117" s="232"/>
      <c r="B117" s="233"/>
      <c r="C117" s="232"/>
      <c r="D117" s="233"/>
      <c r="E117" s="233"/>
      <c r="F117" s="235"/>
      <c r="G117" s="233"/>
      <c r="H117" s="233"/>
      <c r="I117" s="235"/>
      <c r="J117" s="235"/>
      <c r="K117" s="235"/>
      <c r="L117" s="233"/>
      <c r="M117" s="233"/>
      <c r="N117" s="233"/>
      <c r="O117" s="235"/>
      <c r="P117" s="235"/>
      <c r="Q117" s="235"/>
      <c r="R117" s="235"/>
      <c r="S117" s="233"/>
      <c r="T117" s="235"/>
      <c r="U117" s="235"/>
      <c r="V117" s="233"/>
      <c r="W117" s="235"/>
      <c r="X117" s="235"/>
      <c r="Y117" s="235"/>
      <c r="Z117" s="233"/>
      <c r="AA117" s="233"/>
      <c r="AB117" s="233"/>
      <c r="AC117" s="245"/>
      <c r="AD117" s="245"/>
      <c r="AE117" s="245"/>
    </row>
    <row r="118" spans="1:31" ht="15.75" customHeight="1">
      <c r="A118" s="232"/>
      <c r="B118" s="233"/>
      <c r="C118" s="232"/>
      <c r="D118" s="233"/>
      <c r="E118" s="233"/>
      <c r="F118" s="235"/>
      <c r="G118" s="233"/>
      <c r="H118" s="233"/>
      <c r="I118" s="235"/>
      <c r="J118" s="235"/>
      <c r="K118" s="235"/>
      <c r="L118" s="233"/>
      <c r="M118" s="233"/>
      <c r="N118" s="233"/>
      <c r="O118" s="235"/>
      <c r="P118" s="235"/>
      <c r="Q118" s="235"/>
      <c r="R118" s="235"/>
      <c r="S118" s="233"/>
      <c r="T118" s="235"/>
      <c r="U118" s="235"/>
      <c r="V118" s="233"/>
      <c r="W118" s="235"/>
      <c r="X118" s="235"/>
      <c r="Y118" s="235"/>
      <c r="Z118" s="233"/>
      <c r="AA118" s="233"/>
      <c r="AB118" s="233"/>
      <c r="AC118" s="245"/>
      <c r="AD118" s="245"/>
      <c r="AE118" s="245"/>
    </row>
    <row r="119" spans="1:31" ht="15.75" customHeight="1">
      <c r="A119" s="232"/>
      <c r="B119" s="233"/>
      <c r="C119" s="232"/>
      <c r="D119" s="233"/>
      <c r="E119" s="233"/>
      <c r="F119" s="235"/>
      <c r="G119" s="233"/>
      <c r="H119" s="233"/>
      <c r="I119" s="235"/>
      <c r="J119" s="235"/>
      <c r="K119" s="235"/>
      <c r="L119" s="233"/>
      <c r="M119" s="233"/>
      <c r="N119" s="233"/>
      <c r="O119" s="235"/>
      <c r="P119" s="235"/>
      <c r="Q119" s="235"/>
      <c r="R119" s="235"/>
      <c r="S119" s="233"/>
      <c r="T119" s="235"/>
      <c r="U119" s="235"/>
      <c r="V119" s="233"/>
      <c r="W119" s="235"/>
      <c r="X119" s="235"/>
      <c r="Y119" s="235"/>
      <c r="Z119" s="233"/>
      <c r="AA119" s="233"/>
      <c r="AB119" s="233"/>
      <c r="AC119" s="245"/>
      <c r="AD119" s="245"/>
      <c r="AE119" s="245"/>
    </row>
    <row r="120" spans="1:31" ht="15.75" customHeight="1">
      <c r="A120" s="232"/>
      <c r="B120" s="233"/>
      <c r="C120" s="232"/>
      <c r="D120" s="233"/>
      <c r="E120" s="233"/>
      <c r="F120" s="235"/>
      <c r="G120" s="233"/>
      <c r="H120" s="233"/>
      <c r="I120" s="235"/>
      <c r="J120" s="235"/>
      <c r="K120" s="235"/>
      <c r="L120" s="233"/>
      <c r="M120" s="233"/>
      <c r="N120" s="233"/>
      <c r="O120" s="235"/>
      <c r="P120" s="235"/>
      <c r="Q120" s="235"/>
      <c r="R120" s="235"/>
      <c r="S120" s="233"/>
      <c r="T120" s="235"/>
      <c r="U120" s="235"/>
      <c r="V120" s="233"/>
      <c r="W120" s="235"/>
      <c r="X120" s="235"/>
      <c r="Y120" s="235"/>
      <c r="Z120" s="233"/>
      <c r="AA120" s="233"/>
      <c r="AB120" s="233"/>
      <c r="AC120" s="245"/>
      <c r="AD120" s="245"/>
      <c r="AE120" s="245"/>
    </row>
    <row r="121" spans="1:31" ht="15.75" customHeight="1">
      <c r="A121" s="232"/>
      <c r="B121" s="233"/>
      <c r="C121" s="232"/>
      <c r="D121" s="233"/>
      <c r="E121" s="233"/>
      <c r="F121" s="235"/>
      <c r="G121" s="233"/>
      <c r="H121" s="233"/>
      <c r="I121" s="235"/>
      <c r="J121" s="235"/>
      <c r="K121" s="235"/>
      <c r="L121" s="233"/>
      <c r="M121" s="233"/>
      <c r="N121" s="233"/>
      <c r="O121" s="235"/>
      <c r="P121" s="235"/>
      <c r="Q121" s="235"/>
      <c r="R121" s="235"/>
      <c r="S121" s="233"/>
      <c r="T121" s="235"/>
      <c r="U121" s="235"/>
      <c r="V121" s="233"/>
      <c r="W121" s="235"/>
      <c r="X121" s="235"/>
      <c r="Y121" s="235"/>
      <c r="Z121" s="233"/>
      <c r="AA121" s="233"/>
      <c r="AB121" s="233"/>
      <c r="AC121" s="245"/>
      <c r="AD121" s="245"/>
      <c r="AE121" s="245"/>
    </row>
    <row r="122" spans="1:31" ht="15.75" customHeight="1">
      <c r="A122" s="232"/>
      <c r="B122" s="233"/>
      <c r="C122" s="232"/>
      <c r="D122" s="233"/>
      <c r="E122" s="233"/>
      <c r="F122" s="235"/>
      <c r="G122" s="233"/>
      <c r="H122" s="233"/>
      <c r="I122" s="235"/>
      <c r="J122" s="235"/>
      <c r="K122" s="235"/>
      <c r="L122" s="233"/>
      <c r="M122" s="233"/>
      <c r="N122" s="233"/>
      <c r="O122" s="235"/>
      <c r="P122" s="235"/>
      <c r="Q122" s="235"/>
      <c r="R122" s="235"/>
      <c r="S122" s="233"/>
      <c r="T122" s="235"/>
      <c r="U122" s="235"/>
      <c r="V122" s="233"/>
      <c r="W122" s="235"/>
      <c r="X122" s="235"/>
      <c r="Y122" s="235"/>
      <c r="Z122" s="233"/>
      <c r="AA122" s="233"/>
      <c r="AB122" s="233"/>
      <c r="AC122" s="245"/>
      <c r="AD122" s="245"/>
      <c r="AE122" s="245"/>
    </row>
    <row r="123" spans="1:31" ht="15.75" customHeight="1">
      <c r="A123" s="232"/>
      <c r="B123" s="233"/>
      <c r="C123" s="232"/>
      <c r="D123" s="233"/>
      <c r="E123" s="233"/>
      <c r="F123" s="235"/>
      <c r="G123" s="233"/>
      <c r="H123" s="233"/>
      <c r="I123" s="235"/>
      <c r="J123" s="235"/>
      <c r="K123" s="235"/>
      <c r="L123" s="233"/>
      <c r="M123" s="233"/>
      <c r="N123" s="233"/>
      <c r="O123" s="235"/>
      <c r="P123" s="235"/>
      <c r="Q123" s="235"/>
      <c r="R123" s="235"/>
      <c r="S123" s="233"/>
      <c r="T123" s="235"/>
      <c r="U123" s="235"/>
      <c r="V123" s="233"/>
      <c r="W123" s="235"/>
      <c r="X123" s="235"/>
      <c r="Y123" s="235"/>
      <c r="Z123" s="233"/>
      <c r="AA123" s="233"/>
      <c r="AB123" s="233"/>
      <c r="AC123" s="245"/>
      <c r="AD123" s="245"/>
      <c r="AE123" s="245"/>
    </row>
    <row r="124" spans="1:31" ht="15.75" customHeight="1">
      <c r="A124" s="232"/>
      <c r="B124" s="233"/>
      <c r="C124" s="232"/>
      <c r="D124" s="233"/>
      <c r="E124" s="233"/>
      <c r="F124" s="235"/>
      <c r="G124" s="233"/>
      <c r="H124" s="233"/>
      <c r="I124" s="235"/>
      <c r="J124" s="235"/>
      <c r="K124" s="235"/>
      <c r="L124" s="233"/>
      <c r="M124" s="233"/>
      <c r="N124" s="233"/>
      <c r="O124" s="235"/>
      <c r="P124" s="235"/>
      <c r="Q124" s="235"/>
      <c r="R124" s="235"/>
      <c r="S124" s="233"/>
      <c r="T124" s="235"/>
      <c r="U124" s="235"/>
      <c r="V124" s="233"/>
      <c r="W124" s="235"/>
      <c r="X124" s="235"/>
      <c r="Y124" s="235"/>
      <c r="Z124" s="233"/>
      <c r="AA124" s="233"/>
      <c r="AB124" s="233"/>
      <c r="AC124" s="245"/>
      <c r="AD124" s="245"/>
      <c r="AE124" s="245"/>
    </row>
    <row r="125" spans="1:31" ht="15.75" customHeight="1">
      <c r="A125" s="232"/>
      <c r="B125" s="233"/>
      <c r="C125" s="232"/>
      <c r="D125" s="233"/>
      <c r="E125" s="233"/>
      <c r="F125" s="235"/>
      <c r="G125" s="233"/>
      <c r="H125" s="233"/>
      <c r="I125" s="235"/>
      <c r="J125" s="235"/>
      <c r="K125" s="235"/>
      <c r="L125" s="233"/>
      <c r="M125" s="233"/>
      <c r="N125" s="233"/>
      <c r="O125" s="235"/>
      <c r="P125" s="235"/>
      <c r="Q125" s="235"/>
      <c r="R125" s="235"/>
      <c r="S125" s="233"/>
      <c r="T125" s="235"/>
      <c r="U125" s="235"/>
      <c r="V125" s="233"/>
      <c r="W125" s="235"/>
      <c r="X125" s="235"/>
      <c r="Y125" s="235"/>
      <c r="Z125" s="233"/>
      <c r="AA125" s="233"/>
      <c r="AB125" s="233"/>
      <c r="AC125" s="245"/>
      <c r="AD125" s="245"/>
      <c r="AE125" s="245"/>
    </row>
    <row r="126" spans="1:31" ht="15.75" customHeight="1">
      <c r="A126" s="232"/>
      <c r="B126" s="233"/>
      <c r="C126" s="232"/>
      <c r="D126" s="233"/>
      <c r="E126" s="233"/>
      <c r="F126" s="235"/>
      <c r="G126" s="233"/>
      <c r="H126" s="233"/>
      <c r="I126" s="235"/>
      <c r="J126" s="235"/>
      <c r="K126" s="235"/>
      <c r="L126" s="233"/>
      <c r="M126" s="233"/>
      <c r="N126" s="233"/>
      <c r="O126" s="235"/>
      <c r="P126" s="235"/>
      <c r="Q126" s="235"/>
      <c r="R126" s="235"/>
      <c r="S126" s="233"/>
      <c r="T126" s="235"/>
      <c r="U126" s="235"/>
      <c r="V126" s="233"/>
      <c r="W126" s="235"/>
      <c r="X126" s="235"/>
      <c r="Y126" s="235"/>
      <c r="Z126" s="233"/>
      <c r="AA126" s="233"/>
      <c r="AB126" s="233"/>
      <c r="AC126" s="245"/>
      <c r="AD126" s="245"/>
      <c r="AE126" s="245"/>
    </row>
    <row r="127" spans="1:31" ht="15.75" customHeight="1">
      <c r="A127" s="232"/>
      <c r="B127" s="233"/>
      <c r="C127" s="232"/>
      <c r="D127" s="233"/>
      <c r="E127" s="233"/>
      <c r="F127" s="235"/>
      <c r="G127" s="233"/>
      <c r="H127" s="233"/>
      <c r="I127" s="235"/>
      <c r="J127" s="235"/>
      <c r="K127" s="235"/>
      <c r="L127" s="233"/>
      <c r="M127" s="233"/>
      <c r="N127" s="233"/>
      <c r="O127" s="235"/>
      <c r="P127" s="235"/>
      <c r="Q127" s="235"/>
      <c r="R127" s="235"/>
      <c r="S127" s="233"/>
      <c r="T127" s="235"/>
      <c r="U127" s="235"/>
      <c r="V127" s="233"/>
      <c r="W127" s="235"/>
      <c r="X127" s="235"/>
      <c r="Y127" s="235"/>
      <c r="Z127" s="233"/>
      <c r="AA127" s="233"/>
      <c r="AB127" s="233"/>
      <c r="AC127" s="245"/>
      <c r="AD127" s="245"/>
      <c r="AE127" s="245"/>
    </row>
    <row r="128" spans="1:31" ht="15.75" customHeight="1">
      <c r="A128" s="232"/>
      <c r="B128" s="233"/>
      <c r="C128" s="232"/>
      <c r="D128" s="233"/>
      <c r="E128" s="233"/>
      <c r="F128" s="235"/>
      <c r="G128" s="233"/>
      <c r="H128" s="233"/>
      <c r="I128" s="235"/>
      <c r="J128" s="235"/>
      <c r="K128" s="235"/>
      <c r="L128" s="233"/>
      <c r="M128" s="233"/>
      <c r="N128" s="233"/>
      <c r="O128" s="235"/>
      <c r="P128" s="235"/>
      <c r="Q128" s="235"/>
      <c r="R128" s="235"/>
      <c r="S128" s="233"/>
      <c r="T128" s="235"/>
      <c r="U128" s="235"/>
      <c r="V128" s="233"/>
      <c r="W128" s="235"/>
      <c r="X128" s="235"/>
      <c r="Y128" s="235"/>
      <c r="Z128" s="233"/>
      <c r="AA128" s="233"/>
      <c r="AB128" s="233"/>
      <c r="AC128" s="245"/>
      <c r="AD128" s="245"/>
      <c r="AE128" s="245"/>
    </row>
    <row r="129" spans="1:31" ht="15.75" customHeight="1">
      <c r="A129" s="232"/>
      <c r="B129" s="233"/>
      <c r="C129" s="232"/>
      <c r="D129" s="233"/>
      <c r="E129" s="233"/>
      <c r="F129" s="235"/>
      <c r="G129" s="233"/>
      <c r="H129" s="233"/>
      <c r="I129" s="235"/>
      <c r="J129" s="235"/>
      <c r="K129" s="235"/>
      <c r="L129" s="233"/>
      <c r="M129" s="233"/>
      <c r="N129" s="233"/>
      <c r="O129" s="235"/>
      <c r="P129" s="235"/>
      <c r="Q129" s="235"/>
      <c r="R129" s="235"/>
      <c r="S129" s="233"/>
      <c r="T129" s="235"/>
      <c r="U129" s="235"/>
      <c r="V129" s="233"/>
      <c r="W129" s="235"/>
      <c r="X129" s="235"/>
      <c r="Y129" s="235"/>
      <c r="Z129" s="233"/>
      <c r="AA129" s="233"/>
      <c r="AB129" s="233"/>
      <c r="AC129" s="245"/>
      <c r="AD129" s="245"/>
      <c r="AE129" s="245"/>
    </row>
    <row r="130" spans="1:31" ht="15.75" customHeight="1">
      <c r="A130" s="232"/>
      <c r="B130" s="233"/>
      <c r="C130" s="232"/>
      <c r="D130" s="233"/>
      <c r="E130" s="233"/>
      <c r="F130" s="235"/>
      <c r="G130" s="233"/>
      <c r="H130" s="233"/>
      <c r="I130" s="235"/>
      <c r="J130" s="235"/>
      <c r="K130" s="235"/>
      <c r="L130" s="233"/>
      <c r="M130" s="233"/>
      <c r="N130" s="233"/>
      <c r="O130" s="235"/>
      <c r="P130" s="235"/>
      <c r="Q130" s="235"/>
      <c r="R130" s="235"/>
      <c r="S130" s="233"/>
      <c r="T130" s="235"/>
      <c r="U130" s="235"/>
      <c r="V130" s="233"/>
      <c r="W130" s="235"/>
      <c r="X130" s="235"/>
      <c r="Y130" s="235"/>
      <c r="Z130" s="233"/>
      <c r="AA130" s="233"/>
      <c r="AB130" s="233"/>
      <c r="AC130" s="245"/>
      <c r="AD130" s="245"/>
      <c r="AE130" s="245"/>
    </row>
    <row r="131" spans="1:31" ht="15.75" customHeight="1">
      <c r="A131" s="232"/>
      <c r="B131" s="233"/>
      <c r="C131" s="232"/>
      <c r="D131" s="233"/>
      <c r="E131" s="233"/>
      <c r="F131" s="235"/>
      <c r="G131" s="233"/>
      <c r="H131" s="233"/>
      <c r="I131" s="235"/>
      <c r="J131" s="235"/>
      <c r="K131" s="235"/>
      <c r="L131" s="233"/>
      <c r="M131" s="233"/>
      <c r="N131" s="233"/>
      <c r="O131" s="235"/>
      <c r="P131" s="235"/>
      <c r="Q131" s="235"/>
      <c r="R131" s="235"/>
      <c r="S131" s="233"/>
      <c r="T131" s="235"/>
      <c r="U131" s="235"/>
      <c r="V131" s="233"/>
      <c r="W131" s="235"/>
      <c r="X131" s="235"/>
      <c r="Y131" s="235"/>
      <c r="Z131" s="233"/>
      <c r="AA131" s="233"/>
      <c r="AB131" s="233"/>
      <c r="AC131" s="245"/>
      <c r="AD131" s="245"/>
      <c r="AE131" s="245"/>
    </row>
    <row r="132" spans="1:31" ht="15.75" customHeight="1">
      <c r="A132" s="232"/>
      <c r="B132" s="233"/>
      <c r="C132" s="232"/>
      <c r="D132" s="233"/>
      <c r="E132" s="233"/>
      <c r="F132" s="235"/>
      <c r="G132" s="233"/>
      <c r="H132" s="233"/>
      <c r="I132" s="235"/>
      <c r="J132" s="235"/>
      <c r="K132" s="235"/>
      <c r="L132" s="233"/>
      <c r="M132" s="233"/>
      <c r="N132" s="233"/>
      <c r="O132" s="235"/>
      <c r="P132" s="235"/>
      <c r="Q132" s="235"/>
      <c r="R132" s="235"/>
      <c r="S132" s="233"/>
      <c r="T132" s="235"/>
      <c r="U132" s="235"/>
      <c r="V132" s="233"/>
      <c r="W132" s="235"/>
      <c r="X132" s="235"/>
      <c r="Y132" s="235"/>
      <c r="Z132" s="233"/>
      <c r="AA132" s="233"/>
      <c r="AB132" s="233"/>
      <c r="AC132" s="245"/>
      <c r="AD132" s="245"/>
      <c r="AE132" s="245"/>
    </row>
    <row r="133" spans="1:31" ht="15.75" customHeight="1">
      <c r="A133" s="232"/>
      <c r="B133" s="233"/>
      <c r="C133" s="232"/>
      <c r="D133" s="233"/>
      <c r="E133" s="233"/>
      <c r="F133" s="235"/>
      <c r="G133" s="233"/>
      <c r="H133" s="233"/>
      <c r="I133" s="235"/>
      <c r="J133" s="235"/>
      <c r="K133" s="235"/>
      <c r="L133" s="233"/>
      <c r="M133" s="233"/>
      <c r="N133" s="233"/>
      <c r="O133" s="235"/>
      <c r="P133" s="235"/>
      <c r="Q133" s="235"/>
      <c r="R133" s="235"/>
      <c r="S133" s="233"/>
      <c r="T133" s="235"/>
      <c r="U133" s="235"/>
      <c r="V133" s="233"/>
      <c r="W133" s="235"/>
      <c r="X133" s="235"/>
      <c r="Y133" s="235"/>
      <c r="Z133" s="233"/>
      <c r="AA133" s="233"/>
      <c r="AB133" s="233"/>
      <c r="AC133" s="245"/>
      <c r="AD133" s="245"/>
      <c r="AE133" s="245"/>
    </row>
    <row r="134" spans="1:31" ht="15.75" customHeight="1">
      <c r="A134" s="232"/>
      <c r="B134" s="233"/>
      <c r="C134" s="232"/>
      <c r="D134" s="233"/>
      <c r="E134" s="233"/>
      <c r="F134" s="235"/>
      <c r="G134" s="233"/>
      <c r="H134" s="233"/>
      <c r="I134" s="235"/>
      <c r="J134" s="235"/>
      <c r="K134" s="235"/>
      <c r="L134" s="233"/>
      <c r="M134" s="233"/>
      <c r="N134" s="233"/>
      <c r="O134" s="235"/>
      <c r="P134" s="235"/>
      <c r="Q134" s="235"/>
      <c r="R134" s="235"/>
      <c r="S134" s="233"/>
      <c r="T134" s="235"/>
      <c r="U134" s="235"/>
      <c r="V134" s="233"/>
      <c r="W134" s="235"/>
      <c r="X134" s="235"/>
      <c r="Y134" s="235"/>
      <c r="Z134" s="233"/>
      <c r="AA134" s="233"/>
      <c r="AB134" s="233"/>
      <c r="AC134" s="245"/>
      <c r="AD134" s="245"/>
      <c r="AE134" s="245"/>
    </row>
    <row r="135" spans="1:31" ht="15.75" customHeight="1">
      <c r="A135" s="232"/>
      <c r="B135" s="233"/>
      <c r="C135" s="232"/>
      <c r="D135" s="233"/>
      <c r="E135" s="233"/>
      <c r="F135" s="235"/>
      <c r="G135" s="233"/>
      <c r="H135" s="233"/>
      <c r="I135" s="235"/>
      <c r="J135" s="235"/>
      <c r="K135" s="235"/>
      <c r="L135" s="233"/>
      <c r="M135" s="233"/>
      <c r="N135" s="233"/>
      <c r="O135" s="235"/>
      <c r="P135" s="235"/>
      <c r="Q135" s="235"/>
      <c r="R135" s="235"/>
      <c r="S135" s="233"/>
      <c r="T135" s="235"/>
      <c r="U135" s="235"/>
      <c r="V135" s="233"/>
      <c r="W135" s="235"/>
      <c r="X135" s="235"/>
      <c r="Y135" s="235"/>
      <c r="Z135" s="233"/>
      <c r="AA135" s="233"/>
      <c r="AB135" s="233"/>
      <c r="AC135" s="245"/>
      <c r="AD135" s="245"/>
      <c r="AE135" s="245"/>
    </row>
    <row r="136" spans="1:31" ht="15.75" customHeight="1">
      <c r="A136" s="232"/>
      <c r="B136" s="233"/>
      <c r="C136" s="232"/>
      <c r="D136" s="233"/>
      <c r="E136" s="233"/>
      <c r="F136" s="235"/>
      <c r="G136" s="233"/>
      <c r="H136" s="233"/>
      <c r="I136" s="235"/>
      <c r="J136" s="235"/>
      <c r="K136" s="235"/>
      <c r="L136" s="233"/>
      <c r="M136" s="233"/>
      <c r="N136" s="233"/>
      <c r="O136" s="235"/>
      <c r="P136" s="235"/>
      <c r="Q136" s="235"/>
      <c r="R136" s="235"/>
      <c r="S136" s="233"/>
      <c r="T136" s="235"/>
      <c r="U136" s="235"/>
      <c r="V136" s="233"/>
      <c r="W136" s="235"/>
      <c r="X136" s="235"/>
      <c r="Y136" s="235"/>
      <c r="Z136" s="233"/>
      <c r="AA136" s="233"/>
      <c r="AB136" s="233"/>
      <c r="AC136" s="245"/>
      <c r="AD136" s="245"/>
      <c r="AE136" s="245"/>
    </row>
    <row r="137" spans="1:31" ht="15.75" customHeight="1">
      <c r="A137" s="232"/>
      <c r="B137" s="233"/>
      <c r="C137" s="232"/>
      <c r="D137" s="233"/>
      <c r="E137" s="233"/>
      <c r="F137" s="235"/>
      <c r="G137" s="233"/>
      <c r="H137" s="233"/>
      <c r="I137" s="235"/>
      <c r="J137" s="235"/>
      <c r="K137" s="235"/>
      <c r="L137" s="233"/>
      <c r="M137" s="233"/>
      <c r="N137" s="233"/>
      <c r="O137" s="235"/>
      <c r="P137" s="235"/>
      <c r="Q137" s="235"/>
      <c r="R137" s="235"/>
      <c r="S137" s="233"/>
      <c r="T137" s="235"/>
      <c r="U137" s="235"/>
      <c r="V137" s="233"/>
      <c r="W137" s="235"/>
      <c r="X137" s="235"/>
      <c r="Y137" s="235"/>
      <c r="Z137" s="233"/>
      <c r="AA137" s="233"/>
      <c r="AB137" s="233"/>
      <c r="AC137" s="245"/>
      <c r="AD137" s="245"/>
      <c r="AE137" s="245"/>
    </row>
    <row r="138" spans="1:31" ht="15.75" customHeight="1">
      <c r="A138" s="232"/>
      <c r="B138" s="233"/>
      <c r="C138" s="232"/>
      <c r="D138" s="233"/>
      <c r="E138" s="233"/>
      <c r="F138" s="235"/>
      <c r="G138" s="233"/>
      <c r="H138" s="233"/>
      <c r="I138" s="235"/>
      <c r="J138" s="235"/>
      <c r="K138" s="235"/>
      <c r="L138" s="233"/>
      <c r="M138" s="233"/>
      <c r="N138" s="233"/>
      <c r="O138" s="235"/>
      <c r="P138" s="235"/>
      <c r="Q138" s="235"/>
      <c r="R138" s="235"/>
      <c r="S138" s="233"/>
      <c r="T138" s="235"/>
      <c r="U138" s="235"/>
      <c r="V138" s="233"/>
      <c r="W138" s="235"/>
      <c r="X138" s="235"/>
      <c r="Y138" s="235"/>
      <c r="Z138" s="233"/>
      <c r="AA138" s="233"/>
      <c r="AB138" s="233"/>
      <c r="AC138" s="245"/>
      <c r="AD138" s="245"/>
      <c r="AE138" s="245"/>
    </row>
    <row r="139" spans="1:31" ht="15.75" customHeight="1">
      <c r="A139" s="232"/>
      <c r="B139" s="233"/>
      <c r="C139" s="232"/>
      <c r="D139" s="233"/>
      <c r="E139" s="233"/>
      <c r="F139" s="235"/>
      <c r="G139" s="233"/>
      <c r="H139" s="233"/>
      <c r="I139" s="235"/>
      <c r="J139" s="235"/>
      <c r="K139" s="235"/>
      <c r="L139" s="233"/>
      <c r="M139" s="233"/>
      <c r="N139" s="233"/>
      <c r="O139" s="235"/>
      <c r="P139" s="235"/>
      <c r="Q139" s="235"/>
      <c r="R139" s="235"/>
      <c r="S139" s="233"/>
      <c r="T139" s="235"/>
      <c r="U139" s="235"/>
      <c r="V139" s="233"/>
      <c r="W139" s="235"/>
      <c r="X139" s="235"/>
      <c r="Y139" s="235"/>
      <c r="Z139" s="233"/>
      <c r="AA139" s="233"/>
      <c r="AB139" s="233"/>
      <c r="AC139" s="245"/>
      <c r="AD139" s="245"/>
      <c r="AE139" s="245"/>
    </row>
    <row r="140" spans="1:31" ht="15.75" customHeight="1">
      <c r="A140" s="232"/>
      <c r="B140" s="233"/>
      <c r="C140" s="232"/>
      <c r="D140" s="233"/>
      <c r="E140" s="233"/>
      <c r="F140" s="235"/>
      <c r="G140" s="233"/>
      <c r="H140" s="233"/>
      <c r="I140" s="235"/>
      <c r="J140" s="235"/>
      <c r="K140" s="235"/>
      <c r="L140" s="233"/>
      <c r="M140" s="233"/>
      <c r="N140" s="233"/>
      <c r="O140" s="235"/>
      <c r="P140" s="235"/>
      <c r="Q140" s="235"/>
      <c r="R140" s="235"/>
      <c r="S140" s="233"/>
      <c r="T140" s="235"/>
      <c r="U140" s="235"/>
      <c r="V140" s="233"/>
      <c r="W140" s="235"/>
      <c r="X140" s="235"/>
      <c r="Y140" s="235"/>
      <c r="Z140" s="233"/>
      <c r="AA140" s="233"/>
      <c r="AB140" s="233"/>
      <c r="AC140" s="245"/>
      <c r="AD140" s="245"/>
      <c r="AE140" s="245"/>
    </row>
    <row r="141" spans="1:31" ht="15.75" customHeight="1">
      <c r="A141" s="232"/>
      <c r="B141" s="233"/>
      <c r="C141" s="232"/>
      <c r="D141" s="233"/>
      <c r="E141" s="233"/>
      <c r="F141" s="235"/>
      <c r="G141" s="233"/>
      <c r="H141" s="233"/>
      <c r="I141" s="235"/>
      <c r="J141" s="235"/>
      <c r="K141" s="235"/>
      <c r="L141" s="233"/>
      <c r="M141" s="233"/>
      <c r="N141" s="233"/>
      <c r="O141" s="235"/>
      <c r="P141" s="235"/>
      <c r="Q141" s="235"/>
      <c r="R141" s="235"/>
      <c r="S141" s="233"/>
      <c r="T141" s="235"/>
      <c r="U141" s="235"/>
      <c r="V141" s="233"/>
      <c r="W141" s="235"/>
      <c r="X141" s="235"/>
      <c r="Y141" s="235"/>
      <c r="Z141" s="233"/>
      <c r="AA141" s="233"/>
      <c r="AB141" s="233"/>
      <c r="AC141" s="245"/>
      <c r="AD141" s="245"/>
      <c r="AE141" s="245"/>
    </row>
    <row r="142" spans="1:31" ht="15.75" customHeight="1">
      <c r="A142" s="232"/>
      <c r="B142" s="233"/>
      <c r="C142" s="232"/>
      <c r="D142" s="233"/>
      <c r="E142" s="233"/>
      <c r="F142" s="235"/>
      <c r="G142" s="233"/>
      <c r="H142" s="233"/>
      <c r="I142" s="235"/>
      <c r="J142" s="235"/>
      <c r="K142" s="235"/>
      <c r="L142" s="233"/>
      <c r="M142" s="233"/>
      <c r="N142" s="233"/>
      <c r="O142" s="235"/>
      <c r="P142" s="235"/>
      <c r="Q142" s="235"/>
      <c r="R142" s="235"/>
      <c r="S142" s="233"/>
      <c r="T142" s="235"/>
      <c r="U142" s="235"/>
      <c r="V142" s="233"/>
      <c r="W142" s="235"/>
      <c r="X142" s="235"/>
      <c r="Y142" s="235"/>
      <c r="Z142" s="233"/>
      <c r="AA142" s="233"/>
      <c r="AB142" s="233"/>
      <c r="AC142" s="245"/>
      <c r="AD142" s="245"/>
      <c r="AE142" s="245"/>
    </row>
    <row r="143" spans="1:31" ht="15.75" customHeight="1">
      <c r="A143" s="232"/>
      <c r="B143" s="233"/>
      <c r="C143" s="232"/>
      <c r="D143" s="233"/>
      <c r="E143" s="233"/>
      <c r="F143" s="235"/>
      <c r="G143" s="233"/>
      <c r="H143" s="233"/>
      <c r="I143" s="235"/>
      <c r="J143" s="235"/>
      <c r="K143" s="235"/>
      <c r="L143" s="233"/>
      <c r="M143" s="233"/>
      <c r="N143" s="233"/>
      <c r="O143" s="235"/>
      <c r="P143" s="235"/>
      <c r="Q143" s="235"/>
      <c r="R143" s="235"/>
      <c r="S143" s="233"/>
      <c r="T143" s="235"/>
      <c r="U143" s="235"/>
      <c r="V143" s="233"/>
      <c r="W143" s="235"/>
      <c r="X143" s="235"/>
      <c r="Y143" s="235"/>
      <c r="Z143" s="233"/>
      <c r="AA143" s="233"/>
      <c r="AB143" s="233"/>
      <c r="AC143" s="245"/>
      <c r="AD143" s="245"/>
      <c r="AE143" s="245"/>
    </row>
    <row r="144" spans="1:31" ht="15.75" customHeight="1">
      <c r="A144" s="232"/>
      <c r="B144" s="233"/>
      <c r="C144" s="232"/>
      <c r="D144" s="233"/>
      <c r="E144" s="233"/>
      <c r="F144" s="235"/>
      <c r="G144" s="233"/>
      <c r="H144" s="233"/>
      <c r="I144" s="235"/>
      <c r="J144" s="235"/>
      <c r="K144" s="235"/>
      <c r="L144" s="233"/>
      <c r="M144" s="233"/>
      <c r="N144" s="233"/>
      <c r="O144" s="235"/>
      <c r="P144" s="235"/>
      <c r="Q144" s="235"/>
      <c r="R144" s="235"/>
      <c r="S144" s="233"/>
      <c r="T144" s="235"/>
      <c r="U144" s="235"/>
      <c r="V144" s="233"/>
      <c r="W144" s="235"/>
      <c r="X144" s="235"/>
      <c r="Y144" s="235"/>
      <c r="Z144" s="233"/>
      <c r="AA144" s="233"/>
      <c r="AB144" s="233"/>
      <c r="AC144" s="245"/>
      <c r="AD144" s="245"/>
      <c r="AE144" s="245"/>
    </row>
    <row r="145" spans="1:31" ht="15.75" customHeight="1">
      <c r="A145" s="232"/>
      <c r="B145" s="233"/>
      <c r="C145" s="232"/>
      <c r="D145" s="233"/>
      <c r="E145" s="233"/>
      <c r="F145" s="235"/>
      <c r="G145" s="233"/>
      <c r="H145" s="233"/>
      <c r="I145" s="235"/>
      <c r="J145" s="235"/>
      <c r="K145" s="235"/>
      <c r="L145" s="233"/>
      <c r="M145" s="233"/>
      <c r="N145" s="233"/>
      <c r="O145" s="235"/>
      <c r="P145" s="235"/>
      <c r="Q145" s="235"/>
      <c r="R145" s="235"/>
      <c r="S145" s="233"/>
      <c r="T145" s="235"/>
      <c r="U145" s="235"/>
      <c r="V145" s="233"/>
      <c r="W145" s="235"/>
      <c r="X145" s="235"/>
      <c r="Y145" s="235"/>
      <c r="Z145" s="233"/>
      <c r="AA145" s="233"/>
      <c r="AB145" s="233"/>
      <c r="AC145" s="245"/>
      <c r="AD145" s="245"/>
      <c r="AE145" s="245"/>
    </row>
    <row r="146" spans="1:31" ht="15.75" customHeight="1">
      <c r="A146" s="232"/>
      <c r="B146" s="233"/>
      <c r="C146" s="232"/>
      <c r="D146" s="233"/>
      <c r="E146" s="233"/>
      <c r="F146" s="235"/>
      <c r="G146" s="233"/>
      <c r="H146" s="233"/>
      <c r="I146" s="235"/>
      <c r="J146" s="235"/>
      <c r="K146" s="235"/>
      <c r="L146" s="233"/>
      <c r="M146" s="233"/>
      <c r="N146" s="233"/>
      <c r="O146" s="235"/>
      <c r="P146" s="235"/>
      <c r="Q146" s="235"/>
      <c r="R146" s="235"/>
      <c r="S146" s="233"/>
      <c r="T146" s="235"/>
      <c r="U146" s="235"/>
      <c r="V146" s="233"/>
      <c r="W146" s="235"/>
      <c r="X146" s="235"/>
      <c r="Y146" s="235"/>
      <c r="Z146" s="233"/>
      <c r="AA146" s="233"/>
      <c r="AB146" s="233"/>
      <c r="AC146" s="245"/>
      <c r="AD146" s="245"/>
      <c r="AE146" s="245"/>
    </row>
    <row r="147" spans="1:31" ht="15.75" customHeight="1">
      <c r="A147" s="232"/>
      <c r="B147" s="233"/>
      <c r="C147" s="232"/>
      <c r="D147" s="233"/>
      <c r="E147" s="233"/>
      <c r="F147" s="235"/>
      <c r="G147" s="233"/>
      <c r="H147" s="233"/>
      <c r="I147" s="235"/>
      <c r="J147" s="235"/>
      <c r="K147" s="235"/>
      <c r="L147" s="233"/>
      <c r="M147" s="233"/>
      <c r="N147" s="233"/>
      <c r="O147" s="235"/>
      <c r="P147" s="235"/>
      <c r="Q147" s="235"/>
      <c r="R147" s="235"/>
      <c r="S147" s="233"/>
      <c r="T147" s="235"/>
      <c r="U147" s="235"/>
      <c r="V147" s="233"/>
      <c r="W147" s="235"/>
      <c r="X147" s="235"/>
      <c r="Y147" s="235"/>
      <c r="Z147" s="233"/>
      <c r="AA147" s="233"/>
      <c r="AB147" s="233"/>
      <c r="AC147" s="245"/>
      <c r="AD147" s="245"/>
      <c r="AE147" s="245"/>
    </row>
    <row r="148" spans="1:31" ht="15.75" customHeight="1">
      <c r="A148" s="232"/>
      <c r="B148" s="233"/>
      <c r="C148" s="232"/>
      <c r="D148" s="233"/>
      <c r="E148" s="233"/>
      <c r="F148" s="235"/>
      <c r="G148" s="233"/>
      <c r="H148" s="233"/>
      <c r="I148" s="235"/>
      <c r="J148" s="235"/>
      <c r="K148" s="235"/>
      <c r="L148" s="233"/>
      <c r="M148" s="233"/>
      <c r="N148" s="233"/>
      <c r="O148" s="235"/>
      <c r="P148" s="235"/>
      <c r="Q148" s="235"/>
      <c r="R148" s="235"/>
      <c r="S148" s="233"/>
      <c r="T148" s="235"/>
      <c r="U148" s="235"/>
      <c r="V148" s="233"/>
      <c r="W148" s="235"/>
      <c r="X148" s="235"/>
      <c r="Y148" s="235"/>
      <c r="Z148" s="233"/>
      <c r="AA148" s="233"/>
      <c r="AB148" s="233"/>
      <c r="AC148" s="245"/>
      <c r="AD148" s="245"/>
      <c r="AE148" s="245"/>
    </row>
    <row r="149" spans="1:31" ht="15.75" customHeight="1">
      <c r="A149" s="232"/>
      <c r="B149" s="233"/>
      <c r="C149" s="232"/>
      <c r="D149" s="233"/>
      <c r="E149" s="233"/>
      <c r="F149" s="235"/>
      <c r="G149" s="233"/>
      <c r="H149" s="233"/>
      <c r="I149" s="235"/>
      <c r="J149" s="235"/>
      <c r="K149" s="235"/>
      <c r="L149" s="233"/>
      <c r="M149" s="233"/>
      <c r="N149" s="233"/>
      <c r="O149" s="235"/>
      <c r="P149" s="235"/>
      <c r="Q149" s="235"/>
      <c r="R149" s="235"/>
      <c r="S149" s="233"/>
      <c r="T149" s="235"/>
      <c r="U149" s="235"/>
      <c r="V149" s="233"/>
      <c r="W149" s="235"/>
      <c r="X149" s="235"/>
      <c r="Y149" s="235"/>
      <c r="Z149" s="233"/>
      <c r="AA149" s="233"/>
      <c r="AB149" s="233"/>
      <c r="AC149" s="245"/>
      <c r="AD149" s="245"/>
      <c r="AE149" s="245"/>
    </row>
    <row r="150" spans="1:31" ht="15.75" customHeight="1">
      <c r="A150" s="232"/>
      <c r="B150" s="233"/>
      <c r="C150" s="232"/>
      <c r="D150" s="233"/>
      <c r="E150" s="233"/>
      <c r="F150" s="235"/>
      <c r="G150" s="233"/>
      <c r="H150" s="233"/>
      <c r="I150" s="235"/>
      <c r="J150" s="235"/>
      <c r="K150" s="235"/>
      <c r="L150" s="233"/>
      <c r="M150" s="233"/>
      <c r="N150" s="233"/>
      <c r="O150" s="235"/>
      <c r="P150" s="235"/>
      <c r="Q150" s="235"/>
      <c r="R150" s="235"/>
      <c r="S150" s="233"/>
      <c r="T150" s="235"/>
      <c r="U150" s="235"/>
      <c r="V150" s="233"/>
      <c r="W150" s="235"/>
      <c r="X150" s="235"/>
      <c r="Y150" s="235"/>
      <c r="Z150" s="233"/>
      <c r="AA150" s="233"/>
      <c r="AB150" s="233"/>
      <c r="AC150" s="245"/>
      <c r="AD150" s="245"/>
      <c r="AE150" s="245"/>
    </row>
    <row r="151" spans="1:31" ht="15.75" customHeight="1">
      <c r="A151" s="232"/>
      <c r="B151" s="233"/>
      <c r="C151" s="232"/>
      <c r="D151" s="233"/>
      <c r="E151" s="233"/>
      <c r="F151" s="235"/>
      <c r="G151" s="233"/>
      <c r="H151" s="233"/>
      <c r="I151" s="235"/>
      <c r="J151" s="235"/>
      <c r="K151" s="235"/>
      <c r="L151" s="233"/>
      <c r="M151" s="233"/>
      <c r="N151" s="233"/>
      <c r="O151" s="235"/>
      <c r="P151" s="235"/>
      <c r="Q151" s="235"/>
      <c r="R151" s="235"/>
      <c r="S151" s="233"/>
      <c r="T151" s="235"/>
      <c r="U151" s="235"/>
      <c r="V151" s="233"/>
      <c r="W151" s="235"/>
      <c r="X151" s="235"/>
      <c r="Y151" s="235"/>
      <c r="Z151" s="233"/>
      <c r="AA151" s="233"/>
      <c r="AB151" s="233"/>
      <c r="AC151" s="245"/>
      <c r="AD151" s="245"/>
      <c r="AE151" s="245"/>
    </row>
    <row r="152" spans="1:31" ht="15.75" customHeight="1">
      <c r="A152" s="232"/>
      <c r="B152" s="233"/>
      <c r="C152" s="232"/>
      <c r="D152" s="233"/>
      <c r="E152" s="233"/>
      <c r="F152" s="235"/>
      <c r="G152" s="233"/>
      <c r="H152" s="233"/>
      <c r="I152" s="235"/>
      <c r="J152" s="235"/>
      <c r="K152" s="235"/>
      <c r="L152" s="233"/>
      <c r="M152" s="233"/>
      <c r="N152" s="233"/>
      <c r="O152" s="235"/>
      <c r="P152" s="235"/>
      <c r="Q152" s="235"/>
      <c r="R152" s="235"/>
      <c r="S152" s="233"/>
      <c r="T152" s="235"/>
      <c r="U152" s="235"/>
      <c r="V152" s="233"/>
      <c r="W152" s="235"/>
      <c r="X152" s="235"/>
      <c r="Y152" s="235"/>
      <c r="Z152" s="233"/>
      <c r="AA152" s="233"/>
      <c r="AB152" s="233"/>
      <c r="AC152" s="245"/>
      <c r="AD152" s="245"/>
      <c r="AE152" s="245"/>
    </row>
    <row r="153" spans="1:31" ht="15.75" customHeight="1">
      <c r="A153" s="232"/>
      <c r="B153" s="233"/>
      <c r="C153" s="232"/>
      <c r="D153" s="233"/>
      <c r="E153" s="233"/>
      <c r="F153" s="235"/>
      <c r="G153" s="233"/>
      <c r="H153" s="233"/>
      <c r="I153" s="235"/>
      <c r="J153" s="235"/>
      <c r="K153" s="235"/>
      <c r="L153" s="233"/>
      <c r="M153" s="233"/>
      <c r="N153" s="233"/>
      <c r="O153" s="235"/>
      <c r="P153" s="235"/>
      <c r="Q153" s="235"/>
      <c r="R153" s="235"/>
      <c r="S153" s="233"/>
      <c r="T153" s="235"/>
      <c r="U153" s="235"/>
      <c r="V153" s="233"/>
      <c r="W153" s="235"/>
      <c r="X153" s="235"/>
      <c r="Y153" s="235"/>
      <c r="Z153" s="233"/>
      <c r="AA153" s="233"/>
      <c r="AB153" s="233"/>
      <c r="AC153" s="245"/>
      <c r="AD153" s="245"/>
      <c r="AE153" s="245"/>
    </row>
    <row r="154" spans="1:31" ht="15.75" customHeight="1">
      <c r="A154" s="232"/>
      <c r="B154" s="233"/>
      <c r="C154" s="232"/>
      <c r="D154" s="233"/>
      <c r="E154" s="233"/>
      <c r="F154" s="235"/>
      <c r="G154" s="233"/>
      <c r="H154" s="233"/>
      <c r="I154" s="235"/>
      <c r="J154" s="235"/>
      <c r="K154" s="235"/>
      <c r="L154" s="233"/>
      <c r="M154" s="233"/>
      <c r="N154" s="233"/>
      <c r="O154" s="235"/>
      <c r="P154" s="235"/>
      <c r="Q154" s="235"/>
      <c r="R154" s="235"/>
      <c r="S154" s="233"/>
      <c r="T154" s="235"/>
      <c r="U154" s="235"/>
      <c r="V154" s="233"/>
      <c r="W154" s="235"/>
      <c r="X154" s="235"/>
      <c r="Y154" s="235"/>
      <c r="Z154" s="233"/>
      <c r="AA154" s="233"/>
      <c r="AB154" s="233"/>
      <c r="AC154" s="245"/>
      <c r="AD154" s="245"/>
      <c r="AE154" s="245"/>
    </row>
    <row r="155" spans="1:31" ht="15.75" customHeight="1">
      <c r="A155" s="232"/>
      <c r="B155" s="233"/>
      <c r="C155" s="232"/>
      <c r="D155" s="233"/>
      <c r="E155" s="233"/>
      <c r="F155" s="235"/>
      <c r="G155" s="233"/>
      <c r="H155" s="233"/>
      <c r="I155" s="235"/>
      <c r="J155" s="235"/>
      <c r="K155" s="235"/>
      <c r="L155" s="233"/>
      <c r="M155" s="233"/>
      <c r="N155" s="233"/>
      <c r="O155" s="235"/>
      <c r="P155" s="235"/>
      <c r="Q155" s="235"/>
      <c r="R155" s="235"/>
      <c r="S155" s="233"/>
      <c r="T155" s="235"/>
      <c r="U155" s="235"/>
      <c r="V155" s="233"/>
      <c r="W155" s="235"/>
      <c r="X155" s="235"/>
      <c r="Y155" s="235"/>
      <c r="Z155" s="233"/>
      <c r="AA155" s="233"/>
      <c r="AB155" s="233"/>
      <c r="AC155" s="245"/>
      <c r="AD155" s="245"/>
      <c r="AE155" s="245"/>
    </row>
    <row r="156" spans="1:31" ht="15.75" customHeight="1">
      <c r="A156" s="232"/>
      <c r="B156" s="233"/>
      <c r="C156" s="232"/>
      <c r="D156" s="233"/>
      <c r="E156" s="233"/>
      <c r="F156" s="235"/>
      <c r="G156" s="233"/>
      <c r="H156" s="233"/>
      <c r="I156" s="235"/>
      <c r="J156" s="235"/>
      <c r="K156" s="235"/>
      <c r="L156" s="233"/>
      <c r="M156" s="233"/>
      <c r="N156" s="233"/>
      <c r="O156" s="235"/>
      <c r="P156" s="235"/>
      <c r="Q156" s="235"/>
      <c r="R156" s="235"/>
      <c r="S156" s="233"/>
      <c r="T156" s="235"/>
      <c r="U156" s="235"/>
      <c r="V156" s="233"/>
      <c r="W156" s="235"/>
      <c r="X156" s="235"/>
      <c r="Y156" s="235"/>
      <c r="Z156" s="233"/>
      <c r="AA156" s="233"/>
      <c r="AB156" s="233"/>
      <c r="AC156" s="245"/>
      <c r="AD156" s="245"/>
      <c r="AE156" s="245"/>
    </row>
    <row r="157" spans="1:31" ht="15.75" customHeight="1">
      <c r="A157" s="232"/>
      <c r="B157" s="233"/>
      <c r="C157" s="232"/>
      <c r="D157" s="233"/>
      <c r="E157" s="233"/>
      <c r="F157" s="235"/>
      <c r="G157" s="233"/>
      <c r="H157" s="233"/>
      <c r="I157" s="235"/>
      <c r="J157" s="235"/>
      <c r="K157" s="235"/>
      <c r="L157" s="233"/>
      <c r="M157" s="233"/>
      <c r="N157" s="233"/>
      <c r="O157" s="235"/>
      <c r="P157" s="235"/>
      <c r="Q157" s="235"/>
      <c r="R157" s="235"/>
      <c r="S157" s="233"/>
      <c r="T157" s="235"/>
      <c r="U157" s="235"/>
      <c r="V157" s="233"/>
      <c r="W157" s="235"/>
      <c r="X157" s="235"/>
      <c r="Y157" s="235"/>
      <c r="Z157" s="233"/>
      <c r="AA157" s="233"/>
      <c r="AB157" s="233"/>
      <c r="AC157" s="245"/>
      <c r="AD157" s="245"/>
      <c r="AE157" s="245"/>
    </row>
    <row r="158" spans="1:31" ht="15.75" customHeight="1">
      <c r="A158" s="232"/>
      <c r="B158" s="233"/>
      <c r="C158" s="232"/>
      <c r="D158" s="233"/>
      <c r="E158" s="233"/>
      <c r="F158" s="235"/>
      <c r="G158" s="233"/>
      <c r="H158" s="233"/>
      <c r="I158" s="235"/>
      <c r="J158" s="235"/>
      <c r="K158" s="235"/>
      <c r="L158" s="233"/>
      <c r="M158" s="233"/>
      <c r="N158" s="233"/>
      <c r="O158" s="235"/>
      <c r="P158" s="235"/>
      <c r="Q158" s="235"/>
      <c r="R158" s="235"/>
      <c r="S158" s="233"/>
      <c r="T158" s="235"/>
      <c r="U158" s="235"/>
      <c r="V158" s="233"/>
      <c r="W158" s="235"/>
      <c r="X158" s="235"/>
      <c r="Y158" s="235"/>
      <c r="Z158" s="233"/>
      <c r="AA158" s="233"/>
      <c r="AB158" s="233"/>
      <c r="AC158" s="245"/>
      <c r="AD158" s="245"/>
      <c r="AE158" s="245"/>
    </row>
    <row r="159" spans="1:31" ht="15.75" customHeight="1">
      <c r="A159" s="232"/>
      <c r="B159" s="233"/>
      <c r="C159" s="232"/>
      <c r="D159" s="233"/>
      <c r="E159" s="233"/>
      <c r="F159" s="235"/>
      <c r="G159" s="233"/>
      <c r="H159" s="233"/>
      <c r="I159" s="235"/>
      <c r="J159" s="235"/>
      <c r="K159" s="235"/>
      <c r="L159" s="233"/>
      <c r="M159" s="233"/>
      <c r="N159" s="233"/>
      <c r="O159" s="235"/>
      <c r="P159" s="235"/>
      <c r="Q159" s="235"/>
      <c r="R159" s="235"/>
      <c r="S159" s="233"/>
      <c r="T159" s="235"/>
      <c r="U159" s="235"/>
      <c r="V159" s="233"/>
      <c r="W159" s="235"/>
      <c r="X159" s="235"/>
      <c r="Y159" s="235"/>
      <c r="Z159" s="233"/>
      <c r="AA159" s="233"/>
      <c r="AB159" s="233"/>
      <c r="AC159" s="245"/>
      <c r="AD159" s="245"/>
      <c r="AE159" s="245"/>
    </row>
    <row r="160" spans="1:31" ht="15.75" customHeight="1">
      <c r="A160" s="232"/>
      <c r="B160" s="233"/>
      <c r="C160" s="232"/>
      <c r="D160" s="233"/>
      <c r="E160" s="233"/>
      <c r="F160" s="235"/>
      <c r="G160" s="233"/>
      <c r="H160" s="233"/>
      <c r="I160" s="235"/>
      <c r="J160" s="235"/>
      <c r="K160" s="235"/>
      <c r="L160" s="233"/>
      <c r="M160" s="233"/>
      <c r="N160" s="233"/>
      <c r="O160" s="235"/>
      <c r="P160" s="235"/>
      <c r="Q160" s="235"/>
      <c r="R160" s="235"/>
      <c r="S160" s="233"/>
      <c r="T160" s="235"/>
      <c r="U160" s="235"/>
      <c r="V160" s="233"/>
      <c r="W160" s="235"/>
      <c r="X160" s="235"/>
      <c r="Y160" s="235"/>
      <c r="Z160" s="233"/>
      <c r="AA160" s="233"/>
      <c r="AB160" s="233"/>
      <c r="AC160" s="245"/>
      <c r="AD160" s="245"/>
      <c r="AE160" s="245"/>
    </row>
    <row r="161" spans="1:31" ht="15.75" customHeight="1">
      <c r="A161" s="232"/>
      <c r="B161" s="233"/>
      <c r="C161" s="232"/>
      <c r="D161" s="233"/>
      <c r="E161" s="233"/>
      <c r="F161" s="235"/>
      <c r="G161" s="233"/>
      <c r="H161" s="233"/>
      <c r="I161" s="235"/>
      <c r="J161" s="235"/>
      <c r="K161" s="235"/>
      <c r="L161" s="233"/>
      <c r="M161" s="233"/>
      <c r="N161" s="233"/>
      <c r="O161" s="235"/>
      <c r="P161" s="235"/>
      <c r="Q161" s="235"/>
      <c r="R161" s="235"/>
      <c r="S161" s="233"/>
      <c r="T161" s="235"/>
      <c r="U161" s="235"/>
      <c r="V161" s="233"/>
      <c r="W161" s="235"/>
      <c r="X161" s="235"/>
      <c r="Y161" s="235"/>
      <c r="Z161" s="233"/>
      <c r="AA161" s="233"/>
      <c r="AB161" s="233"/>
      <c r="AC161" s="245"/>
      <c r="AD161" s="245"/>
      <c r="AE161" s="245"/>
    </row>
    <row r="162" spans="1:31" ht="15.75" customHeight="1">
      <c r="A162" s="232"/>
      <c r="B162" s="233"/>
      <c r="C162" s="232"/>
      <c r="D162" s="233"/>
      <c r="E162" s="233"/>
      <c r="F162" s="235"/>
      <c r="G162" s="233"/>
      <c r="H162" s="233"/>
      <c r="I162" s="235"/>
      <c r="J162" s="235"/>
      <c r="K162" s="235"/>
      <c r="L162" s="233"/>
      <c r="M162" s="233"/>
      <c r="N162" s="233"/>
      <c r="O162" s="235"/>
      <c r="P162" s="235"/>
      <c r="Q162" s="235"/>
      <c r="R162" s="235"/>
      <c r="S162" s="233"/>
      <c r="T162" s="235"/>
      <c r="U162" s="235"/>
      <c r="V162" s="233"/>
      <c r="W162" s="235"/>
      <c r="X162" s="235"/>
      <c r="Y162" s="235"/>
      <c r="Z162" s="233"/>
      <c r="AA162" s="233"/>
      <c r="AB162" s="233"/>
      <c r="AC162" s="245"/>
      <c r="AD162" s="245"/>
      <c r="AE162" s="245"/>
    </row>
    <row r="163" spans="1:31" ht="15.75" customHeight="1">
      <c r="A163" s="232"/>
      <c r="B163" s="233"/>
      <c r="C163" s="232"/>
      <c r="D163" s="233"/>
      <c r="E163" s="233"/>
      <c r="F163" s="235"/>
      <c r="G163" s="233"/>
      <c r="H163" s="233"/>
      <c r="I163" s="235"/>
      <c r="J163" s="235"/>
      <c r="K163" s="235"/>
      <c r="L163" s="233"/>
      <c r="M163" s="233"/>
      <c r="N163" s="233"/>
      <c r="O163" s="235"/>
      <c r="P163" s="235"/>
      <c r="Q163" s="235"/>
      <c r="R163" s="235"/>
      <c r="S163" s="233"/>
      <c r="T163" s="235"/>
      <c r="U163" s="235"/>
      <c r="V163" s="233"/>
      <c r="W163" s="235"/>
      <c r="X163" s="235"/>
      <c r="Y163" s="235"/>
      <c r="Z163" s="233"/>
      <c r="AA163" s="233"/>
      <c r="AB163" s="233"/>
      <c r="AC163" s="245"/>
      <c r="AD163" s="245"/>
      <c r="AE163" s="245"/>
    </row>
    <row r="164" spans="1:31" ht="15.75" customHeight="1">
      <c r="A164" s="232"/>
      <c r="B164" s="233"/>
      <c r="C164" s="232"/>
      <c r="D164" s="233"/>
      <c r="E164" s="233"/>
      <c r="F164" s="235"/>
      <c r="G164" s="233"/>
      <c r="H164" s="233"/>
      <c r="I164" s="235"/>
      <c r="J164" s="235"/>
      <c r="K164" s="235"/>
      <c r="L164" s="233"/>
      <c r="M164" s="233"/>
      <c r="N164" s="233"/>
      <c r="O164" s="235"/>
      <c r="P164" s="235"/>
      <c r="Q164" s="235"/>
      <c r="R164" s="235"/>
      <c r="S164" s="233"/>
      <c r="T164" s="235"/>
      <c r="U164" s="235"/>
      <c r="V164" s="233"/>
      <c r="W164" s="235"/>
      <c r="X164" s="235"/>
      <c r="Y164" s="235"/>
      <c r="Z164" s="233"/>
      <c r="AA164" s="233"/>
      <c r="AB164" s="233"/>
      <c r="AC164" s="245"/>
      <c r="AD164" s="245"/>
      <c r="AE164" s="245"/>
    </row>
    <row r="165" spans="1:31" ht="15.75" customHeight="1">
      <c r="A165" s="232"/>
      <c r="B165" s="233"/>
      <c r="C165" s="232"/>
      <c r="D165" s="233"/>
      <c r="E165" s="233"/>
      <c r="F165" s="235"/>
      <c r="G165" s="233"/>
      <c r="H165" s="233"/>
      <c r="I165" s="235"/>
      <c r="J165" s="235"/>
      <c r="K165" s="235"/>
      <c r="L165" s="233"/>
      <c r="M165" s="233"/>
      <c r="N165" s="233"/>
      <c r="O165" s="235"/>
      <c r="P165" s="235"/>
      <c r="Q165" s="235"/>
      <c r="R165" s="235"/>
      <c r="S165" s="233"/>
      <c r="T165" s="235"/>
      <c r="U165" s="235"/>
      <c r="V165" s="233"/>
      <c r="W165" s="235"/>
      <c r="X165" s="235"/>
      <c r="Y165" s="235"/>
      <c r="Z165" s="233"/>
      <c r="AA165" s="233"/>
      <c r="AB165" s="233"/>
      <c r="AC165" s="245"/>
      <c r="AD165" s="245"/>
      <c r="AE165" s="245"/>
    </row>
    <row r="166" spans="1:31" ht="15.75" customHeight="1">
      <c r="A166" s="232"/>
      <c r="B166" s="233"/>
      <c r="C166" s="232"/>
      <c r="D166" s="233"/>
      <c r="E166" s="233"/>
      <c r="F166" s="235"/>
      <c r="G166" s="233"/>
      <c r="H166" s="233"/>
      <c r="I166" s="235"/>
      <c r="J166" s="235"/>
      <c r="K166" s="235"/>
      <c r="L166" s="233"/>
      <c r="M166" s="233"/>
      <c r="N166" s="233"/>
      <c r="O166" s="235"/>
      <c r="P166" s="235"/>
      <c r="Q166" s="235"/>
      <c r="R166" s="235"/>
      <c r="S166" s="233"/>
      <c r="T166" s="235"/>
      <c r="U166" s="235"/>
      <c r="V166" s="233"/>
      <c r="W166" s="235"/>
      <c r="X166" s="235"/>
      <c r="Y166" s="235"/>
      <c r="Z166" s="233"/>
      <c r="AA166" s="233"/>
      <c r="AB166" s="233"/>
      <c r="AC166" s="245"/>
      <c r="AD166" s="245"/>
      <c r="AE166" s="245"/>
    </row>
    <row r="167" spans="1:31" ht="15.75" customHeight="1">
      <c r="A167" s="232"/>
      <c r="B167" s="233"/>
      <c r="C167" s="232"/>
      <c r="D167" s="233"/>
      <c r="E167" s="233"/>
      <c r="F167" s="235"/>
      <c r="G167" s="233"/>
      <c r="H167" s="233"/>
      <c r="I167" s="235"/>
      <c r="J167" s="235"/>
      <c r="K167" s="235"/>
      <c r="L167" s="233"/>
      <c r="M167" s="233"/>
      <c r="N167" s="233"/>
      <c r="O167" s="235"/>
      <c r="P167" s="235"/>
      <c r="Q167" s="235"/>
      <c r="R167" s="235"/>
      <c r="S167" s="233"/>
      <c r="T167" s="235"/>
      <c r="U167" s="235"/>
      <c r="V167" s="233"/>
      <c r="W167" s="235"/>
      <c r="X167" s="235"/>
      <c r="Y167" s="235"/>
      <c r="Z167" s="233"/>
      <c r="AA167" s="233"/>
      <c r="AB167" s="233"/>
      <c r="AC167" s="245"/>
      <c r="AD167" s="245"/>
      <c r="AE167" s="245"/>
    </row>
    <row r="168" spans="1:31" ht="15.75" customHeight="1">
      <c r="A168" s="232"/>
      <c r="B168" s="233"/>
      <c r="C168" s="232"/>
      <c r="D168" s="233"/>
      <c r="E168" s="233"/>
      <c r="F168" s="235"/>
      <c r="G168" s="233"/>
      <c r="H168" s="233"/>
      <c r="I168" s="235"/>
      <c r="J168" s="235"/>
      <c r="K168" s="235"/>
      <c r="L168" s="233"/>
      <c r="M168" s="233"/>
      <c r="N168" s="233"/>
      <c r="O168" s="235"/>
      <c r="P168" s="235"/>
      <c r="Q168" s="235"/>
      <c r="R168" s="235"/>
      <c r="S168" s="233"/>
      <c r="T168" s="235"/>
      <c r="U168" s="235"/>
      <c r="V168" s="233"/>
      <c r="W168" s="235"/>
      <c r="X168" s="235"/>
      <c r="Y168" s="235"/>
      <c r="Z168" s="233"/>
      <c r="AA168" s="233"/>
      <c r="AB168" s="233"/>
      <c r="AC168" s="245"/>
      <c r="AD168" s="245"/>
      <c r="AE168" s="245"/>
    </row>
    <row r="169" spans="1:31" ht="15.75" customHeight="1">
      <c r="A169" s="232"/>
      <c r="B169" s="233"/>
      <c r="C169" s="232"/>
      <c r="D169" s="233"/>
      <c r="E169" s="233"/>
      <c r="F169" s="235"/>
      <c r="G169" s="233"/>
      <c r="H169" s="233"/>
      <c r="I169" s="235"/>
      <c r="J169" s="235"/>
      <c r="K169" s="235"/>
      <c r="L169" s="233"/>
      <c r="M169" s="233"/>
      <c r="N169" s="233"/>
      <c r="O169" s="235"/>
      <c r="P169" s="235"/>
      <c r="Q169" s="235"/>
      <c r="R169" s="235"/>
      <c r="S169" s="233"/>
      <c r="T169" s="235"/>
      <c r="U169" s="235"/>
      <c r="V169" s="233"/>
      <c r="W169" s="235"/>
      <c r="X169" s="235"/>
      <c r="Y169" s="235"/>
      <c r="Z169" s="233"/>
      <c r="AA169" s="233"/>
      <c r="AB169" s="233"/>
      <c r="AC169" s="245"/>
      <c r="AD169" s="245"/>
      <c r="AE169" s="245"/>
    </row>
    <row r="170" spans="1:31" ht="15.75" customHeight="1">
      <c r="A170" s="232"/>
      <c r="B170" s="233"/>
      <c r="C170" s="232"/>
      <c r="D170" s="233"/>
      <c r="E170" s="233"/>
      <c r="F170" s="235"/>
      <c r="G170" s="233"/>
      <c r="H170" s="233"/>
      <c r="I170" s="235"/>
      <c r="J170" s="235"/>
      <c r="K170" s="235"/>
      <c r="L170" s="233"/>
      <c r="M170" s="233"/>
      <c r="N170" s="233"/>
      <c r="O170" s="235"/>
      <c r="P170" s="235"/>
      <c r="Q170" s="235"/>
      <c r="R170" s="235"/>
      <c r="S170" s="233"/>
      <c r="T170" s="235"/>
      <c r="U170" s="235"/>
      <c r="V170" s="233"/>
      <c r="W170" s="235"/>
      <c r="X170" s="235"/>
      <c r="Y170" s="235"/>
      <c r="Z170" s="233"/>
      <c r="AA170" s="233"/>
      <c r="AB170" s="233"/>
      <c r="AC170" s="245"/>
      <c r="AD170" s="245"/>
      <c r="AE170" s="245"/>
    </row>
    <row r="171" spans="1:31" ht="15.75" customHeight="1">
      <c r="A171" s="232"/>
      <c r="B171" s="233"/>
      <c r="C171" s="232"/>
      <c r="D171" s="233"/>
      <c r="E171" s="233"/>
      <c r="F171" s="235"/>
      <c r="G171" s="233"/>
      <c r="H171" s="233"/>
      <c r="I171" s="235"/>
      <c r="J171" s="235"/>
      <c r="K171" s="235"/>
      <c r="L171" s="233"/>
      <c r="M171" s="233"/>
      <c r="N171" s="233"/>
      <c r="O171" s="235"/>
      <c r="P171" s="235"/>
      <c r="Q171" s="235"/>
      <c r="R171" s="235"/>
      <c r="S171" s="233"/>
      <c r="T171" s="235"/>
      <c r="U171" s="235"/>
      <c r="V171" s="233"/>
      <c r="W171" s="235"/>
      <c r="X171" s="235"/>
      <c r="Y171" s="235"/>
      <c r="Z171" s="233"/>
      <c r="AA171" s="233"/>
      <c r="AB171" s="233"/>
      <c r="AC171" s="245"/>
      <c r="AD171" s="245"/>
      <c r="AE171" s="245"/>
    </row>
    <row r="172" spans="1:31" ht="15.75" customHeight="1">
      <c r="A172" s="232"/>
      <c r="B172" s="233"/>
      <c r="C172" s="232"/>
      <c r="D172" s="233"/>
      <c r="E172" s="233"/>
      <c r="F172" s="235"/>
      <c r="G172" s="233"/>
      <c r="H172" s="233"/>
      <c r="I172" s="235"/>
      <c r="J172" s="235"/>
      <c r="K172" s="235"/>
      <c r="L172" s="233"/>
      <c r="M172" s="233"/>
      <c r="N172" s="233"/>
      <c r="O172" s="235"/>
      <c r="P172" s="235"/>
      <c r="Q172" s="235"/>
      <c r="R172" s="235"/>
      <c r="S172" s="233"/>
      <c r="T172" s="235"/>
      <c r="U172" s="235"/>
      <c r="V172" s="233"/>
      <c r="W172" s="235"/>
      <c r="X172" s="235"/>
      <c r="Y172" s="235"/>
      <c r="Z172" s="233"/>
      <c r="AA172" s="233"/>
      <c r="AB172" s="233"/>
      <c r="AC172" s="245"/>
      <c r="AD172" s="245"/>
      <c r="AE172" s="245"/>
    </row>
    <row r="173" spans="1:31" ht="15.75" customHeight="1">
      <c r="A173" s="232"/>
      <c r="B173" s="233"/>
      <c r="C173" s="232"/>
      <c r="D173" s="233"/>
      <c r="E173" s="233"/>
      <c r="F173" s="235"/>
      <c r="G173" s="233"/>
      <c r="H173" s="233"/>
      <c r="I173" s="235"/>
      <c r="J173" s="235"/>
      <c r="K173" s="235"/>
      <c r="L173" s="233"/>
      <c r="M173" s="233"/>
      <c r="N173" s="233"/>
      <c r="O173" s="235"/>
      <c r="P173" s="235"/>
      <c r="Q173" s="235"/>
      <c r="R173" s="235"/>
      <c r="S173" s="233"/>
      <c r="T173" s="235"/>
      <c r="U173" s="235"/>
      <c r="V173" s="233"/>
      <c r="W173" s="235"/>
      <c r="X173" s="235"/>
      <c r="Y173" s="235"/>
      <c r="Z173" s="233"/>
      <c r="AA173" s="233"/>
      <c r="AB173" s="233"/>
      <c r="AC173" s="245"/>
      <c r="AD173" s="245"/>
      <c r="AE173" s="245"/>
    </row>
    <row r="174" spans="1:31" ht="15.75" customHeight="1">
      <c r="A174" s="232"/>
      <c r="B174" s="233"/>
      <c r="C174" s="232"/>
      <c r="D174" s="233"/>
      <c r="E174" s="233"/>
      <c r="F174" s="235"/>
      <c r="G174" s="233"/>
      <c r="H174" s="233"/>
      <c r="I174" s="235"/>
      <c r="J174" s="235"/>
      <c r="K174" s="235"/>
      <c r="L174" s="233"/>
      <c r="M174" s="233"/>
      <c r="N174" s="233"/>
      <c r="O174" s="235"/>
      <c r="P174" s="235"/>
      <c r="Q174" s="235"/>
      <c r="R174" s="235"/>
      <c r="S174" s="233"/>
      <c r="T174" s="235"/>
      <c r="U174" s="235"/>
      <c r="V174" s="233"/>
      <c r="W174" s="235"/>
      <c r="X174" s="235"/>
      <c r="Y174" s="235"/>
      <c r="Z174" s="233"/>
      <c r="AA174" s="233"/>
      <c r="AB174" s="233"/>
      <c r="AC174" s="245"/>
      <c r="AD174" s="245"/>
      <c r="AE174" s="245"/>
    </row>
    <row r="175" spans="1:31" ht="15.75" customHeight="1">
      <c r="A175" s="232"/>
      <c r="B175" s="233"/>
      <c r="C175" s="232"/>
      <c r="D175" s="233"/>
      <c r="E175" s="233"/>
      <c r="F175" s="235"/>
      <c r="G175" s="233"/>
      <c r="H175" s="233"/>
      <c r="I175" s="235"/>
      <c r="J175" s="235"/>
      <c r="K175" s="235"/>
      <c r="L175" s="233"/>
      <c r="M175" s="233"/>
      <c r="N175" s="233"/>
      <c r="O175" s="235"/>
      <c r="P175" s="235"/>
      <c r="Q175" s="235"/>
      <c r="R175" s="235"/>
      <c r="S175" s="233"/>
      <c r="T175" s="235"/>
      <c r="U175" s="235"/>
      <c r="V175" s="233"/>
      <c r="W175" s="235"/>
      <c r="X175" s="235"/>
      <c r="Y175" s="235"/>
      <c r="Z175" s="233"/>
      <c r="AA175" s="233"/>
      <c r="AB175" s="233"/>
      <c r="AC175" s="245"/>
      <c r="AD175" s="245"/>
      <c r="AE175" s="245"/>
    </row>
    <row r="176" spans="1:31" ht="15.75" customHeight="1">
      <c r="A176" s="232"/>
      <c r="B176" s="233"/>
      <c r="C176" s="232"/>
      <c r="D176" s="233"/>
      <c r="E176" s="233"/>
      <c r="F176" s="235"/>
      <c r="G176" s="233"/>
      <c r="H176" s="233"/>
      <c r="I176" s="235"/>
      <c r="J176" s="235"/>
      <c r="K176" s="235"/>
      <c r="L176" s="233"/>
      <c r="M176" s="233"/>
      <c r="N176" s="233"/>
      <c r="O176" s="235"/>
      <c r="P176" s="235"/>
      <c r="Q176" s="235"/>
      <c r="R176" s="235"/>
      <c r="S176" s="233"/>
      <c r="T176" s="235"/>
      <c r="U176" s="235"/>
      <c r="V176" s="233"/>
      <c r="W176" s="235"/>
      <c r="X176" s="235"/>
      <c r="Y176" s="235"/>
      <c r="Z176" s="233"/>
      <c r="AA176" s="233"/>
      <c r="AB176" s="233"/>
      <c r="AC176" s="245"/>
      <c r="AD176" s="245"/>
      <c r="AE176" s="245"/>
    </row>
    <row r="177" spans="1:31" ht="15.75" customHeight="1">
      <c r="A177" s="232"/>
      <c r="B177" s="233"/>
      <c r="C177" s="232"/>
      <c r="D177" s="233"/>
      <c r="E177" s="233"/>
      <c r="F177" s="235"/>
      <c r="G177" s="233"/>
      <c r="H177" s="233"/>
      <c r="I177" s="235"/>
      <c r="J177" s="235"/>
      <c r="K177" s="235"/>
      <c r="L177" s="233"/>
      <c r="M177" s="233"/>
      <c r="N177" s="233"/>
      <c r="O177" s="235"/>
      <c r="P177" s="235"/>
      <c r="Q177" s="235"/>
      <c r="R177" s="235"/>
      <c r="S177" s="233"/>
      <c r="T177" s="235"/>
      <c r="U177" s="235"/>
      <c r="V177" s="233"/>
      <c r="W177" s="235"/>
      <c r="X177" s="235"/>
      <c r="Y177" s="235"/>
      <c r="Z177" s="233"/>
      <c r="AA177" s="233"/>
      <c r="AB177" s="233"/>
      <c r="AC177" s="245"/>
      <c r="AD177" s="245"/>
      <c r="AE177" s="245"/>
    </row>
    <row r="178" spans="1:31" ht="15.75" customHeight="1">
      <c r="A178" s="232"/>
      <c r="B178" s="233"/>
      <c r="C178" s="232"/>
      <c r="D178" s="233"/>
      <c r="E178" s="233"/>
      <c r="F178" s="235"/>
      <c r="G178" s="233"/>
      <c r="H178" s="233"/>
      <c r="I178" s="235"/>
      <c r="J178" s="235"/>
      <c r="K178" s="235"/>
      <c r="L178" s="233"/>
      <c r="M178" s="233"/>
      <c r="N178" s="233"/>
      <c r="O178" s="235"/>
      <c r="P178" s="235"/>
      <c r="Q178" s="235"/>
      <c r="R178" s="235"/>
      <c r="S178" s="233"/>
      <c r="T178" s="235"/>
      <c r="U178" s="235"/>
      <c r="V178" s="233"/>
      <c r="W178" s="235"/>
      <c r="X178" s="235"/>
      <c r="Y178" s="235"/>
      <c r="Z178" s="233"/>
      <c r="AA178" s="233"/>
      <c r="AB178" s="233"/>
      <c r="AC178" s="245"/>
      <c r="AD178" s="245"/>
      <c r="AE178" s="245"/>
    </row>
    <row r="179" spans="1:31" ht="15.75" customHeight="1">
      <c r="A179" s="232"/>
      <c r="B179" s="233"/>
      <c r="C179" s="232"/>
      <c r="D179" s="233"/>
      <c r="E179" s="233"/>
      <c r="F179" s="235"/>
      <c r="G179" s="233"/>
      <c r="H179" s="233"/>
      <c r="I179" s="235"/>
      <c r="J179" s="235"/>
      <c r="K179" s="235"/>
      <c r="L179" s="233"/>
      <c r="M179" s="233"/>
      <c r="N179" s="233"/>
      <c r="O179" s="235"/>
      <c r="P179" s="235"/>
      <c r="Q179" s="235"/>
      <c r="R179" s="235"/>
      <c r="S179" s="233"/>
      <c r="T179" s="235"/>
      <c r="U179" s="235"/>
      <c r="V179" s="233"/>
      <c r="W179" s="235"/>
      <c r="X179" s="235"/>
      <c r="Y179" s="235"/>
      <c r="Z179" s="233"/>
      <c r="AA179" s="233"/>
      <c r="AB179" s="233"/>
      <c r="AC179" s="245"/>
      <c r="AD179" s="245"/>
      <c r="AE179" s="245"/>
    </row>
    <row r="180" spans="1:31" ht="15.75" customHeight="1">
      <c r="A180" s="232"/>
      <c r="B180" s="233"/>
      <c r="C180" s="232"/>
      <c r="D180" s="233"/>
      <c r="E180" s="233"/>
      <c r="F180" s="235"/>
      <c r="G180" s="233"/>
      <c r="H180" s="233"/>
      <c r="I180" s="235"/>
      <c r="J180" s="235"/>
      <c r="K180" s="235"/>
      <c r="L180" s="233"/>
      <c r="M180" s="233"/>
      <c r="N180" s="233"/>
      <c r="O180" s="235"/>
      <c r="P180" s="235"/>
      <c r="Q180" s="235"/>
      <c r="R180" s="235"/>
      <c r="S180" s="233"/>
      <c r="T180" s="235"/>
      <c r="U180" s="235"/>
      <c r="V180" s="233"/>
      <c r="W180" s="235"/>
      <c r="X180" s="235"/>
      <c r="Y180" s="235"/>
      <c r="Z180" s="233"/>
      <c r="AA180" s="233"/>
      <c r="AB180" s="233"/>
      <c r="AC180" s="245"/>
      <c r="AD180" s="245"/>
      <c r="AE180" s="245"/>
    </row>
    <row r="181" spans="1:31" ht="15.75" customHeight="1">
      <c r="A181" s="232"/>
      <c r="B181" s="233"/>
      <c r="C181" s="232"/>
      <c r="D181" s="233"/>
      <c r="E181" s="233"/>
      <c r="F181" s="235"/>
      <c r="G181" s="233"/>
      <c r="H181" s="233"/>
      <c r="I181" s="235"/>
      <c r="J181" s="235"/>
      <c r="K181" s="235"/>
      <c r="L181" s="233"/>
      <c r="M181" s="233"/>
      <c r="N181" s="233"/>
      <c r="O181" s="235"/>
      <c r="P181" s="235"/>
      <c r="Q181" s="235"/>
      <c r="R181" s="235"/>
      <c r="S181" s="233"/>
      <c r="T181" s="235"/>
      <c r="U181" s="235"/>
      <c r="V181" s="233"/>
      <c r="W181" s="235"/>
      <c r="X181" s="235"/>
      <c r="Y181" s="235"/>
      <c r="Z181" s="233"/>
      <c r="AA181" s="233"/>
      <c r="AB181" s="233"/>
      <c r="AC181" s="245"/>
      <c r="AD181" s="245"/>
      <c r="AE181" s="245"/>
    </row>
    <row r="182" spans="1:31" ht="15.75" customHeight="1">
      <c r="A182" s="232"/>
      <c r="B182" s="233"/>
      <c r="C182" s="232"/>
      <c r="D182" s="233"/>
      <c r="E182" s="233"/>
      <c r="F182" s="235"/>
      <c r="G182" s="233"/>
      <c r="H182" s="233"/>
      <c r="I182" s="235"/>
      <c r="J182" s="235"/>
      <c r="K182" s="235"/>
      <c r="L182" s="233"/>
      <c r="M182" s="233"/>
      <c r="N182" s="233"/>
      <c r="O182" s="235"/>
      <c r="P182" s="235"/>
      <c r="Q182" s="235"/>
      <c r="R182" s="235"/>
      <c r="S182" s="233"/>
      <c r="T182" s="235"/>
      <c r="U182" s="235"/>
      <c r="V182" s="233"/>
      <c r="W182" s="235"/>
      <c r="X182" s="235"/>
      <c r="Y182" s="235"/>
      <c r="Z182" s="233"/>
      <c r="AA182" s="233"/>
      <c r="AB182" s="233"/>
      <c r="AC182" s="245"/>
      <c r="AD182" s="245"/>
      <c r="AE182" s="245"/>
    </row>
    <row r="183" spans="1:31" ht="15.75" customHeight="1">
      <c r="A183" s="232"/>
      <c r="B183" s="233"/>
      <c r="C183" s="232"/>
      <c r="D183" s="233"/>
      <c r="E183" s="233"/>
      <c r="F183" s="235"/>
      <c r="G183" s="233"/>
      <c r="H183" s="233"/>
      <c r="I183" s="235"/>
      <c r="J183" s="235"/>
      <c r="K183" s="235"/>
      <c r="L183" s="233"/>
      <c r="M183" s="233"/>
      <c r="N183" s="233"/>
      <c r="O183" s="235"/>
      <c r="P183" s="235"/>
      <c r="Q183" s="235"/>
      <c r="R183" s="235"/>
      <c r="S183" s="233"/>
      <c r="T183" s="235"/>
      <c r="U183" s="235"/>
      <c r="V183" s="233"/>
      <c r="W183" s="235"/>
      <c r="X183" s="235"/>
      <c r="Y183" s="235"/>
      <c r="Z183" s="233"/>
      <c r="AA183" s="233"/>
      <c r="AB183" s="233"/>
      <c r="AC183" s="245"/>
      <c r="AD183" s="245"/>
      <c r="AE183" s="245"/>
    </row>
    <row r="184" spans="1:31" ht="15.75" customHeight="1">
      <c r="A184" s="232"/>
      <c r="B184" s="233"/>
      <c r="C184" s="232"/>
      <c r="D184" s="233"/>
      <c r="E184" s="233"/>
      <c r="F184" s="235"/>
      <c r="G184" s="233"/>
      <c r="H184" s="233"/>
      <c r="I184" s="235"/>
      <c r="J184" s="235"/>
      <c r="K184" s="235"/>
      <c r="L184" s="233"/>
      <c r="M184" s="233"/>
      <c r="N184" s="233"/>
      <c r="O184" s="235"/>
      <c r="P184" s="235"/>
      <c r="Q184" s="235"/>
      <c r="R184" s="235"/>
      <c r="S184" s="233"/>
      <c r="T184" s="235"/>
      <c r="U184" s="235"/>
      <c r="V184" s="233"/>
      <c r="W184" s="235"/>
      <c r="X184" s="235"/>
      <c r="Y184" s="235"/>
      <c r="Z184" s="233"/>
      <c r="AA184" s="233"/>
      <c r="AB184" s="233"/>
      <c r="AC184" s="245"/>
      <c r="AD184" s="245"/>
      <c r="AE184" s="245"/>
    </row>
    <row r="185" spans="1:31" ht="15.75" customHeight="1">
      <c r="A185" s="232"/>
      <c r="B185" s="233"/>
      <c r="C185" s="232"/>
      <c r="D185" s="233"/>
      <c r="E185" s="233"/>
      <c r="F185" s="235"/>
      <c r="G185" s="233"/>
      <c r="H185" s="233"/>
      <c r="I185" s="235"/>
      <c r="J185" s="235"/>
      <c r="K185" s="235"/>
      <c r="L185" s="233"/>
      <c r="M185" s="233"/>
      <c r="N185" s="233"/>
      <c r="O185" s="235"/>
      <c r="P185" s="235"/>
      <c r="Q185" s="235"/>
      <c r="R185" s="235"/>
      <c r="S185" s="233"/>
      <c r="T185" s="235"/>
      <c r="U185" s="235"/>
      <c r="V185" s="233"/>
      <c r="W185" s="235"/>
      <c r="X185" s="235"/>
      <c r="Y185" s="235"/>
      <c r="Z185" s="233"/>
      <c r="AA185" s="233"/>
      <c r="AB185" s="233"/>
      <c r="AC185" s="245"/>
      <c r="AD185" s="245"/>
      <c r="AE185" s="245"/>
    </row>
    <row r="186" spans="1:31" ht="15.75" customHeight="1">
      <c r="A186" s="232"/>
      <c r="B186" s="233"/>
      <c r="C186" s="232"/>
      <c r="D186" s="233"/>
      <c r="E186" s="233"/>
      <c r="F186" s="235"/>
      <c r="G186" s="233"/>
      <c r="H186" s="233"/>
      <c r="I186" s="235"/>
      <c r="J186" s="235"/>
      <c r="K186" s="235"/>
      <c r="L186" s="233"/>
      <c r="M186" s="233"/>
      <c r="N186" s="233"/>
      <c r="O186" s="235"/>
      <c r="P186" s="235"/>
      <c r="Q186" s="235"/>
      <c r="R186" s="235"/>
      <c r="S186" s="233"/>
      <c r="T186" s="235"/>
      <c r="U186" s="235"/>
      <c r="V186" s="233"/>
      <c r="W186" s="235"/>
      <c r="X186" s="235"/>
      <c r="Y186" s="235"/>
      <c r="Z186" s="233"/>
      <c r="AA186" s="233"/>
      <c r="AB186" s="233"/>
      <c r="AC186" s="245"/>
      <c r="AD186" s="245"/>
      <c r="AE186" s="245"/>
    </row>
    <row r="187" spans="1:31" ht="15.75" customHeight="1">
      <c r="A187" s="232"/>
      <c r="B187" s="233"/>
      <c r="C187" s="232"/>
      <c r="D187" s="233"/>
      <c r="E187" s="233"/>
      <c r="F187" s="235"/>
      <c r="G187" s="233"/>
      <c r="H187" s="233"/>
      <c r="I187" s="235"/>
      <c r="J187" s="235"/>
      <c r="K187" s="235"/>
      <c r="L187" s="233"/>
      <c r="M187" s="233"/>
      <c r="N187" s="233"/>
      <c r="O187" s="235"/>
      <c r="P187" s="235"/>
      <c r="Q187" s="235"/>
      <c r="R187" s="235"/>
      <c r="S187" s="233"/>
      <c r="T187" s="235"/>
      <c r="U187" s="235"/>
      <c r="V187" s="233"/>
      <c r="W187" s="235"/>
      <c r="X187" s="235"/>
      <c r="Y187" s="235"/>
      <c r="Z187" s="233"/>
      <c r="AA187" s="233"/>
      <c r="AB187" s="233"/>
      <c r="AC187" s="245"/>
      <c r="AD187" s="245"/>
      <c r="AE187" s="245"/>
    </row>
    <row r="188" spans="1:31" ht="15.75" customHeight="1">
      <c r="A188" s="232"/>
      <c r="B188" s="233"/>
      <c r="C188" s="232"/>
      <c r="D188" s="233"/>
      <c r="E188" s="233"/>
      <c r="F188" s="235"/>
      <c r="G188" s="233"/>
      <c r="H188" s="233"/>
      <c r="I188" s="235"/>
      <c r="J188" s="235"/>
      <c r="K188" s="235"/>
      <c r="L188" s="233"/>
      <c r="M188" s="233"/>
      <c r="N188" s="233"/>
      <c r="O188" s="235"/>
      <c r="P188" s="235"/>
      <c r="Q188" s="235"/>
      <c r="R188" s="235"/>
      <c r="S188" s="233"/>
      <c r="T188" s="235"/>
      <c r="U188" s="235"/>
      <c r="V188" s="233"/>
      <c r="W188" s="235"/>
      <c r="X188" s="235"/>
      <c r="Y188" s="235"/>
      <c r="Z188" s="233"/>
      <c r="AA188" s="233"/>
      <c r="AB188" s="233"/>
      <c r="AC188" s="245"/>
      <c r="AD188" s="245"/>
      <c r="AE188" s="245"/>
    </row>
    <row r="189" spans="1:31" ht="15.75" customHeight="1">
      <c r="A189" s="232"/>
      <c r="B189" s="233"/>
      <c r="C189" s="232"/>
      <c r="D189" s="233"/>
      <c r="E189" s="233"/>
      <c r="F189" s="235"/>
      <c r="G189" s="233"/>
      <c r="H189" s="233"/>
      <c r="I189" s="235"/>
      <c r="J189" s="235"/>
      <c r="K189" s="235"/>
      <c r="L189" s="233"/>
      <c r="M189" s="233"/>
      <c r="N189" s="233"/>
      <c r="O189" s="235"/>
      <c r="P189" s="235"/>
      <c r="Q189" s="235"/>
      <c r="R189" s="235"/>
      <c r="S189" s="233"/>
      <c r="T189" s="235"/>
      <c r="U189" s="235"/>
      <c r="V189" s="233"/>
      <c r="W189" s="235"/>
      <c r="X189" s="235"/>
      <c r="Y189" s="235"/>
      <c r="Z189" s="233"/>
      <c r="AA189" s="233"/>
      <c r="AB189" s="233"/>
      <c r="AC189" s="245"/>
      <c r="AD189" s="245"/>
      <c r="AE189" s="245"/>
    </row>
    <row r="190" spans="1:31" ht="15.75" customHeight="1">
      <c r="A190" s="232"/>
      <c r="B190" s="233"/>
      <c r="C190" s="232"/>
      <c r="D190" s="233"/>
      <c r="E190" s="233"/>
      <c r="F190" s="235"/>
      <c r="G190" s="233"/>
      <c r="H190" s="233"/>
      <c r="I190" s="235"/>
      <c r="J190" s="235"/>
      <c r="K190" s="235"/>
      <c r="L190" s="233"/>
      <c r="M190" s="233"/>
      <c r="N190" s="233"/>
      <c r="O190" s="235"/>
      <c r="P190" s="235"/>
      <c r="Q190" s="235"/>
      <c r="R190" s="235"/>
      <c r="S190" s="233"/>
      <c r="T190" s="235"/>
      <c r="U190" s="235"/>
      <c r="V190" s="233"/>
      <c r="W190" s="235"/>
      <c r="X190" s="235"/>
      <c r="Y190" s="235"/>
      <c r="Z190" s="233"/>
      <c r="AA190" s="233"/>
      <c r="AB190" s="233"/>
      <c r="AC190" s="245"/>
      <c r="AD190" s="245"/>
      <c r="AE190" s="245"/>
    </row>
    <row r="191" spans="1:31" ht="15.75" customHeight="1">
      <c r="A191" s="232"/>
      <c r="B191" s="233"/>
      <c r="C191" s="232"/>
      <c r="D191" s="233"/>
      <c r="E191" s="233"/>
      <c r="F191" s="235"/>
      <c r="G191" s="233"/>
      <c r="H191" s="233"/>
      <c r="I191" s="235"/>
      <c r="J191" s="235"/>
      <c r="K191" s="235"/>
      <c r="L191" s="233"/>
      <c r="M191" s="233"/>
      <c r="N191" s="233"/>
      <c r="O191" s="235"/>
      <c r="P191" s="235"/>
      <c r="Q191" s="235"/>
      <c r="R191" s="235"/>
      <c r="S191" s="233"/>
      <c r="T191" s="235"/>
      <c r="U191" s="235"/>
      <c r="V191" s="233"/>
      <c r="W191" s="235"/>
      <c r="X191" s="235"/>
      <c r="Y191" s="235"/>
      <c r="Z191" s="233"/>
      <c r="AA191" s="233"/>
      <c r="AB191" s="233"/>
      <c r="AC191" s="245"/>
      <c r="AD191" s="245"/>
      <c r="AE191" s="245"/>
    </row>
    <row r="192" spans="1:31" ht="15.75" customHeight="1">
      <c r="A192" s="232"/>
      <c r="B192" s="233"/>
      <c r="C192" s="232"/>
      <c r="D192" s="233"/>
      <c r="E192" s="233"/>
      <c r="F192" s="235"/>
      <c r="G192" s="233"/>
      <c r="H192" s="233"/>
      <c r="I192" s="235"/>
      <c r="J192" s="235"/>
      <c r="K192" s="235"/>
      <c r="L192" s="233"/>
      <c r="M192" s="233"/>
      <c r="N192" s="233"/>
      <c r="O192" s="235"/>
      <c r="P192" s="235"/>
      <c r="Q192" s="235"/>
      <c r="R192" s="235"/>
      <c r="S192" s="233"/>
      <c r="T192" s="235"/>
      <c r="U192" s="235"/>
      <c r="V192" s="233"/>
      <c r="W192" s="235"/>
      <c r="X192" s="235"/>
      <c r="Y192" s="235"/>
      <c r="Z192" s="233"/>
      <c r="AA192" s="233"/>
      <c r="AB192" s="233"/>
      <c r="AC192" s="245"/>
      <c r="AD192" s="245"/>
      <c r="AE192" s="245"/>
    </row>
    <row r="193" spans="1:31" ht="15.75" customHeight="1">
      <c r="A193" s="232"/>
      <c r="B193" s="233"/>
      <c r="C193" s="232"/>
      <c r="D193" s="233"/>
      <c r="E193" s="233"/>
      <c r="F193" s="235"/>
      <c r="G193" s="233"/>
      <c r="H193" s="233"/>
      <c r="I193" s="235"/>
      <c r="J193" s="235"/>
      <c r="K193" s="235"/>
      <c r="L193" s="233"/>
      <c r="M193" s="233"/>
      <c r="N193" s="233"/>
      <c r="O193" s="235"/>
      <c r="P193" s="235"/>
      <c r="Q193" s="235"/>
      <c r="R193" s="235"/>
      <c r="S193" s="233"/>
      <c r="T193" s="235"/>
      <c r="U193" s="235"/>
      <c r="V193" s="233"/>
      <c r="W193" s="235"/>
      <c r="X193" s="235"/>
      <c r="Y193" s="235"/>
      <c r="Z193" s="233"/>
      <c r="AA193" s="233"/>
      <c r="AB193" s="233"/>
      <c r="AC193" s="245"/>
      <c r="AD193" s="245"/>
      <c r="AE193" s="245"/>
    </row>
    <row r="194" spans="1:31" ht="15.75" customHeight="1">
      <c r="A194" s="232"/>
      <c r="B194" s="233"/>
      <c r="C194" s="232"/>
      <c r="D194" s="233"/>
      <c r="E194" s="233"/>
      <c r="F194" s="235"/>
      <c r="G194" s="233"/>
      <c r="H194" s="233"/>
      <c r="I194" s="235"/>
      <c r="J194" s="235"/>
      <c r="K194" s="235"/>
      <c r="L194" s="233"/>
      <c r="M194" s="233"/>
      <c r="N194" s="233"/>
      <c r="O194" s="235"/>
      <c r="P194" s="235"/>
      <c r="Q194" s="235"/>
      <c r="R194" s="235"/>
      <c r="S194" s="233"/>
      <c r="T194" s="235"/>
      <c r="U194" s="235"/>
      <c r="V194" s="233"/>
      <c r="W194" s="235"/>
      <c r="X194" s="235"/>
      <c r="Y194" s="235"/>
      <c r="Z194" s="233"/>
      <c r="AA194" s="233"/>
      <c r="AB194" s="233"/>
      <c r="AC194" s="245"/>
      <c r="AD194" s="245"/>
      <c r="AE194" s="245"/>
    </row>
    <row r="195" spans="1:31" ht="15.75" customHeight="1">
      <c r="A195" s="232"/>
      <c r="B195" s="233"/>
      <c r="C195" s="232"/>
      <c r="D195" s="233"/>
      <c r="E195" s="233"/>
      <c r="F195" s="235"/>
      <c r="G195" s="233"/>
      <c r="H195" s="233"/>
      <c r="I195" s="235"/>
      <c r="J195" s="235"/>
      <c r="K195" s="235"/>
      <c r="L195" s="233"/>
      <c r="M195" s="233"/>
      <c r="N195" s="233"/>
      <c r="O195" s="235"/>
      <c r="P195" s="235"/>
      <c r="Q195" s="235"/>
      <c r="R195" s="235"/>
      <c r="S195" s="233"/>
      <c r="T195" s="235"/>
      <c r="U195" s="235"/>
      <c r="V195" s="233"/>
      <c r="W195" s="235"/>
      <c r="X195" s="235"/>
      <c r="Y195" s="235"/>
      <c r="Z195" s="233"/>
      <c r="AA195" s="233"/>
      <c r="AB195" s="233"/>
      <c r="AC195" s="245"/>
      <c r="AD195" s="245"/>
      <c r="AE195" s="245"/>
    </row>
    <row r="196" spans="1:31" ht="15.75" customHeight="1">
      <c r="A196" s="232"/>
      <c r="B196" s="233"/>
      <c r="C196" s="232"/>
      <c r="D196" s="233"/>
      <c r="E196" s="233"/>
      <c r="F196" s="235"/>
      <c r="G196" s="233"/>
      <c r="H196" s="233"/>
      <c r="I196" s="235"/>
      <c r="J196" s="235"/>
      <c r="K196" s="235"/>
      <c r="L196" s="233"/>
      <c r="M196" s="233"/>
      <c r="N196" s="233"/>
      <c r="O196" s="235"/>
      <c r="P196" s="235"/>
      <c r="Q196" s="235"/>
      <c r="R196" s="235"/>
      <c r="S196" s="233"/>
      <c r="T196" s="235"/>
      <c r="U196" s="235"/>
      <c r="V196" s="233"/>
      <c r="W196" s="235"/>
      <c r="X196" s="235"/>
      <c r="Y196" s="235"/>
      <c r="Z196" s="233"/>
      <c r="AA196" s="233"/>
      <c r="AB196" s="233"/>
      <c r="AC196" s="245"/>
      <c r="AD196" s="245"/>
      <c r="AE196" s="245"/>
    </row>
    <row r="197" spans="1:31" ht="15.75" customHeight="1">
      <c r="A197" s="232"/>
      <c r="B197" s="233"/>
      <c r="C197" s="232"/>
      <c r="D197" s="233"/>
      <c r="E197" s="233"/>
      <c r="F197" s="235"/>
      <c r="G197" s="233"/>
      <c r="H197" s="233"/>
      <c r="I197" s="235"/>
      <c r="J197" s="235"/>
      <c r="K197" s="235"/>
      <c r="L197" s="233"/>
      <c r="M197" s="233"/>
      <c r="N197" s="233"/>
      <c r="O197" s="235"/>
      <c r="P197" s="235"/>
      <c r="Q197" s="235"/>
      <c r="R197" s="235"/>
      <c r="S197" s="233"/>
      <c r="T197" s="235"/>
      <c r="U197" s="235"/>
      <c r="V197" s="233"/>
      <c r="W197" s="235"/>
      <c r="X197" s="235"/>
      <c r="Y197" s="235"/>
      <c r="Z197" s="233"/>
      <c r="AA197" s="233"/>
      <c r="AB197" s="233"/>
      <c r="AC197" s="245"/>
      <c r="AD197" s="245"/>
      <c r="AE197" s="245"/>
    </row>
    <row r="198" spans="1:31" ht="15.75" customHeight="1">
      <c r="A198" s="232"/>
      <c r="B198" s="233"/>
      <c r="C198" s="232"/>
      <c r="D198" s="233"/>
      <c r="E198" s="233"/>
      <c r="F198" s="235"/>
      <c r="G198" s="233"/>
      <c r="H198" s="233"/>
      <c r="I198" s="235"/>
      <c r="J198" s="235"/>
      <c r="K198" s="235"/>
      <c r="L198" s="233"/>
      <c r="M198" s="233"/>
      <c r="N198" s="233"/>
      <c r="O198" s="235"/>
      <c r="P198" s="235"/>
      <c r="Q198" s="235"/>
      <c r="R198" s="235"/>
      <c r="S198" s="233"/>
      <c r="T198" s="235"/>
      <c r="U198" s="235"/>
      <c r="V198" s="233"/>
      <c r="W198" s="235"/>
      <c r="X198" s="235"/>
      <c r="Y198" s="235"/>
      <c r="Z198" s="233"/>
      <c r="AA198" s="233"/>
      <c r="AB198" s="233"/>
      <c r="AC198" s="245"/>
      <c r="AD198" s="245"/>
      <c r="AE198" s="245"/>
    </row>
    <row r="199" spans="1:31" ht="15.75" customHeight="1">
      <c r="A199" s="232"/>
      <c r="B199" s="233"/>
      <c r="C199" s="232"/>
      <c r="D199" s="233"/>
      <c r="E199" s="233"/>
      <c r="F199" s="235"/>
      <c r="G199" s="233"/>
      <c r="H199" s="233"/>
      <c r="I199" s="235"/>
      <c r="J199" s="235"/>
      <c r="K199" s="235"/>
      <c r="L199" s="233"/>
      <c r="M199" s="233"/>
      <c r="N199" s="233"/>
      <c r="O199" s="235"/>
      <c r="P199" s="235"/>
      <c r="Q199" s="235"/>
      <c r="R199" s="235"/>
      <c r="S199" s="233"/>
      <c r="T199" s="235"/>
      <c r="U199" s="235"/>
      <c r="V199" s="233"/>
      <c r="W199" s="235"/>
      <c r="X199" s="235"/>
      <c r="Y199" s="235"/>
      <c r="Z199" s="233"/>
      <c r="AA199" s="233"/>
      <c r="AB199" s="233"/>
      <c r="AC199" s="245"/>
      <c r="AD199" s="245"/>
      <c r="AE199" s="245"/>
    </row>
    <row r="200" spans="1:31" ht="15.75" customHeight="1">
      <c r="A200" s="232"/>
      <c r="B200" s="233"/>
      <c r="C200" s="232"/>
      <c r="D200" s="233"/>
      <c r="E200" s="233"/>
      <c r="F200" s="235"/>
      <c r="G200" s="233"/>
      <c r="H200" s="233"/>
      <c r="I200" s="235"/>
      <c r="J200" s="235"/>
      <c r="K200" s="235"/>
      <c r="L200" s="233"/>
      <c r="M200" s="233"/>
      <c r="N200" s="233"/>
      <c r="O200" s="235"/>
      <c r="P200" s="235"/>
      <c r="Q200" s="235"/>
      <c r="R200" s="235"/>
      <c r="S200" s="233"/>
      <c r="T200" s="235"/>
      <c r="U200" s="235"/>
      <c r="V200" s="233"/>
      <c r="W200" s="235"/>
      <c r="X200" s="235"/>
      <c r="Y200" s="235"/>
      <c r="Z200" s="233"/>
      <c r="AA200" s="233"/>
      <c r="AB200" s="233"/>
      <c r="AC200" s="245"/>
      <c r="AD200" s="245"/>
      <c r="AE200" s="245"/>
    </row>
    <row r="201" spans="1:31" ht="15.75" customHeight="1">
      <c r="A201" s="232"/>
      <c r="B201" s="233"/>
      <c r="C201" s="232"/>
      <c r="D201" s="233"/>
      <c r="E201" s="233"/>
      <c r="F201" s="235"/>
      <c r="G201" s="233"/>
      <c r="H201" s="233"/>
      <c r="I201" s="235"/>
      <c r="J201" s="235"/>
      <c r="K201" s="235"/>
      <c r="L201" s="233"/>
      <c r="M201" s="233"/>
      <c r="N201" s="233"/>
      <c r="O201" s="235"/>
      <c r="P201" s="235"/>
      <c r="Q201" s="235"/>
      <c r="R201" s="235"/>
      <c r="S201" s="233"/>
      <c r="T201" s="235"/>
      <c r="U201" s="235"/>
      <c r="V201" s="233"/>
      <c r="W201" s="235"/>
      <c r="X201" s="235"/>
      <c r="Y201" s="235"/>
      <c r="Z201" s="233"/>
      <c r="AA201" s="233"/>
      <c r="AB201" s="233"/>
      <c r="AC201" s="245"/>
      <c r="AD201" s="245"/>
      <c r="AE201" s="245"/>
    </row>
    <row r="202" spans="1:31" ht="15.75" customHeight="1">
      <c r="A202" s="232"/>
      <c r="B202" s="233"/>
      <c r="C202" s="232"/>
      <c r="D202" s="233"/>
      <c r="E202" s="233"/>
      <c r="F202" s="235"/>
      <c r="G202" s="233"/>
      <c r="H202" s="233"/>
      <c r="I202" s="235"/>
      <c r="J202" s="235"/>
      <c r="K202" s="235"/>
      <c r="L202" s="233"/>
      <c r="M202" s="233"/>
      <c r="N202" s="233"/>
      <c r="O202" s="235"/>
      <c r="P202" s="235"/>
      <c r="Q202" s="235"/>
      <c r="R202" s="235"/>
      <c r="S202" s="233"/>
      <c r="T202" s="235"/>
      <c r="U202" s="235"/>
      <c r="V202" s="233"/>
      <c r="W202" s="235"/>
      <c r="X202" s="235"/>
      <c r="Y202" s="235"/>
      <c r="Z202" s="233"/>
      <c r="AA202" s="233"/>
      <c r="AB202" s="233"/>
      <c r="AC202" s="245"/>
      <c r="AD202" s="245"/>
      <c r="AE202" s="245"/>
    </row>
    <row r="203" spans="1:31" ht="15.75" customHeight="1">
      <c r="A203" s="232"/>
      <c r="B203" s="233"/>
      <c r="C203" s="232"/>
      <c r="D203" s="233"/>
      <c r="E203" s="233"/>
      <c r="F203" s="235"/>
      <c r="G203" s="233"/>
      <c r="H203" s="233"/>
      <c r="I203" s="235"/>
      <c r="J203" s="235"/>
      <c r="K203" s="235"/>
      <c r="L203" s="233"/>
      <c r="M203" s="233"/>
      <c r="N203" s="233"/>
      <c r="O203" s="235"/>
      <c r="P203" s="235"/>
      <c r="Q203" s="235"/>
      <c r="R203" s="235"/>
      <c r="S203" s="233"/>
      <c r="T203" s="235"/>
      <c r="U203" s="235"/>
      <c r="V203" s="233"/>
      <c r="W203" s="235"/>
      <c r="X203" s="235"/>
      <c r="Y203" s="235"/>
      <c r="Z203" s="233"/>
      <c r="AA203" s="233"/>
      <c r="AB203" s="233"/>
      <c r="AC203" s="245"/>
      <c r="AD203" s="245"/>
      <c r="AE203" s="245"/>
    </row>
    <row r="204" spans="1:31" ht="15.75" customHeight="1">
      <c r="A204" s="232"/>
      <c r="B204" s="233"/>
      <c r="C204" s="232"/>
      <c r="D204" s="233"/>
      <c r="E204" s="233"/>
      <c r="F204" s="235"/>
      <c r="G204" s="233"/>
      <c r="H204" s="233"/>
      <c r="I204" s="235"/>
      <c r="J204" s="235"/>
      <c r="K204" s="235"/>
      <c r="L204" s="233"/>
      <c r="M204" s="233"/>
      <c r="N204" s="233"/>
      <c r="O204" s="235"/>
      <c r="P204" s="235"/>
      <c r="Q204" s="235"/>
      <c r="R204" s="235"/>
      <c r="S204" s="233"/>
      <c r="T204" s="235"/>
      <c r="U204" s="235"/>
      <c r="V204" s="233"/>
      <c r="W204" s="235"/>
      <c r="X204" s="235"/>
      <c r="Y204" s="235"/>
      <c r="Z204" s="233"/>
      <c r="AA204" s="233"/>
      <c r="AB204" s="233"/>
      <c r="AC204" s="245"/>
      <c r="AD204" s="245"/>
      <c r="AE204" s="245"/>
    </row>
    <row r="205" spans="1:31" ht="15.75" customHeight="1">
      <c r="A205" s="232"/>
      <c r="B205" s="233"/>
      <c r="C205" s="232"/>
      <c r="D205" s="233"/>
      <c r="E205" s="233"/>
      <c r="F205" s="235"/>
      <c r="G205" s="233"/>
      <c r="H205" s="233"/>
      <c r="I205" s="235"/>
      <c r="J205" s="235"/>
      <c r="K205" s="235"/>
      <c r="L205" s="233"/>
      <c r="M205" s="233"/>
      <c r="N205" s="233"/>
      <c r="O205" s="235"/>
      <c r="P205" s="235"/>
      <c r="Q205" s="235"/>
      <c r="R205" s="235"/>
      <c r="S205" s="233"/>
      <c r="T205" s="235"/>
      <c r="U205" s="235"/>
      <c r="V205" s="233"/>
      <c r="W205" s="235"/>
      <c r="X205" s="235"/>
      <c r="Y205" s="235"/>
      <c r="Z205" s="233"/>
      <c r="AA205" s="233"/>
      <c r="AB205" s="233"/>
      <c r="AC205" s="245"/>
      <c r="AD205" s="245"/>
      <c r="AE205" s="245"/>
    </row>
    <row r="206" spans="1:31" ht="15.75" customHeight="1">
      <c r="A206" s="232"/>
      <c r="B206" s="233"/>
      <c r="C206" s="232"/>
      <c r="D206" s="233"/>
      <c r="E206" s="233"/>
      <c r="F206" s="235"/>
      <c r="G206" s="233"/>
      <c r="H206" s="233"/>
      <c r="I206" s="235"/>
      <c r="J206" s="235"/>
      <c r="K206" s="235"/>
      <c r="L206" s="233"/>
      <c r="M206" s="233"/>
      <c r="N206" s="233"/>
      <c r="O206" s="235"/>
      <c r="P206" s="235"/>
      <c r="Q206" s="235"/>
      <c r="R206" s="235"/>
      <c r="S206" s="233"/>
      <c r="T206" s="235"/>
      <c r="U206" s="235"/>
      <c r="V206" s="233"/>
      <c r="W206" s="235"/>
      <c r="X206" s="235"/>
      <c r="Y206" s="235"/>
      <c r="Z206" s="233"/>
      <c r="AA206" s="233"/>
      <c r="AB206" s="233"/>
      <c r="AC206" s="245"/>
      <c r="AD206" s="245"/>
      <c r="AE206" s="245"/>
    </row>
    <row r="207" spans="1:31" ht="15.75" customHeight="1">
      <c r="A207" s="232"/>
      <c r="B207" s="233"/>
      <c r="C207" s="232"/>
      <c r="D207" s="233"/>
      <c r="E207" s="233"/>
      <c r="F207" s="235"/>
      <c r="G207" s="233"/>
      <c r="H207" s="233"/>
      <c r="I207" s="235"/>
      <c r="J207" s="235"/>
      <c r="K207" s="235"/>
      <c r="L207" s="233"/>
      <c r="M207" s="233"/>
      <c r="N207" s="233"/>
      <c r="O207" s="235"/>
      <c r="P207" s="235"/>
      <c r="Q207" s="235"/>
      <c r="R207" s="235"/>
      <c r="S207" s="233"/>
      <c r="T207" s="235"/>
      <c r="U207" s="235"/>
      <c r="V207" s="233"/>
      <c r="W207" s="235"/>
      <c r="X207" s="235"/>
      <c r="Y207" s="235"/>
      <c r="Z207" s="233"/>
      <c r="AA207" s="233"/>
      <c r="AB207" s="233"/>
      <c r="AC207" s="245"/>
      <c r="AD207" s="245"/>
      <c r="AE207" s="245"/>
    </row>
    <row r="208" spans="1:31" ht="15.75" customHeight="1">
      <c r="A208" s="232"/>
      <c r="B208" s="233"/>
      <c r="C208" s="232"/>
      <c r="D208" s="233"/>
      <c r="E208" s="233"/>
      <c r="F208" s="235"/>
      <c r="G208" s="233"/>
      <c r="H208" s="233"/>
      <c r="I208" s="235"/>
      <c r="J208" s="235"/>
      <c r="K208" s="235"/>
      <c r="L208" s="233"/>
      <c r="M208" s="233"/>
      <c r="N208" s="233"/>
      <c r="O208" s="235"/>
      <c r="P208" s="235"/>
      <c r="Q208" s="235"/>
      <c r="R208" s="235"/>
      <c r="S208" s="233"/>
      <c r="T208" s="235"/>
      <c r="U208" s="235"/>
      <c r="V208" s="233"/>
      <c r="W208" s="235"/>
      <c r="X208" s="235"/>
      <c r="Y208" s="235"/>
      <c r="Z208" s="233"/>
      <c r="AA208" s="233"/>
      <c r="AB208" s="233"/>
      <c r="AC208" s="245"/>
      <c r="AD208" s="245"/>
      <c r="AE208" s="245"/>
    </row>
    <row r="209" spans="1:31" ht="15.75" customHeight="1">
      <c r="A209" s="232"/>
      <c r="B209" s="233"/>
      <c r="C209" s="232"/>
      <c r="D209" s="233"/>
      <c r="E209" s="233"/>
      <c r="F209" s="235"/>
      <c r="G209" s="233"/>
      <c r="H209" s="233"/>
      <c r="I209" s="235"/>
      <c r="J209" s="235"/>
      <c r="K209" s="235"/>
      <c r="L209" s="233"/>
      <c r="M209" s="233"/>
      <c r="N209" s="233"/>
      <c r="O209" s="235"/>
      <c r="P209" s="235"/>
      <c r="Q209" s="235"/>
      <c r="R209" s="235"/>
      <c r="S209" s="233"/>
      <c r="T209" s="235"/>
      <c r="U209" s="235"/>
      <c r="V209" s="233"/>
      <c r="W209" s="235"/>
      <c r="X209" s="235"/>
      <c r="Y209" s="235"/>
      <c r="Z209" s="233"/>
      <c r="AA209" s="233"/>
      <c r="AB209" s="233"/>
      <c r="AC209" s="245"/>
      <c r="AD209" s="245"/>
      <c r="AE209" s="245"/>
    </row>
    <row r="210" spans="1:31" ht="15.75" customHeight="1">
      <c r="A210" s="232"/>
      <c r="B210" s="233"/>
      <c r="C210" s="232"/>
      <c r="D210" s="233"/>
      <c r="E210" s="233"/>
      <c r="F210" s="235"/>
      <c r="G210" s="233"/>
      <c r="H210" s="233"/>
      <c r="I210" s="235"/>
      <c r="J210" s="235"/>
      <c r="K210" s="235"/>
      <c r="L210" s="233"/>
      <c r="M210" s="233"/>
      <c r="N210" s="233"/>
      <c r="O210" s="235"/>
      <c r="P210" s="235"/>
      <c r="Q210" s="235"/>
      <c r="R210" s="235"/>
      <c r="S210" s="233"/>
      <c r="T210" s="235"/>
      <c r="U210" s="235"/>
      <c r="V210" s="233"/>
      <c r="W210" s="235"/>
      <c r="X210" s="235"/>
      <c r="Y210" s="235"/>
      <c r="Z210" s="233"/>
      <c r="AA210" s="233"/>
      <c r="AB210" s="233"/>
      <c r="AC210" s="245"/>
      <c r="AD210" s="245"/>
      <c r="AE210" s="245"/>
    </row>
    <row r="211" spans="1:31" ht="15.75" customHeight="1">
      <c r="A211" s="232"/>
      <c r="B211" s="233"/>
      <c r="C211" s="232"/>
      <c r="D211" s="233"/>
      <c r="E211" s="233"/>
      <c r="F211" s="235"/>
      <c r="G211" s="233"/>
      <c r="H211" s="233"/>
      <c r="I211" s="235"/>
      <c r="J211" s="235"/>
      <c r="K211" s="235"/>
      <c r="L211" s="233"/>
      <c r="M211" s="233"/>
      <c r="N211" s="233"/>
      <c r="O211" s="235"/>
      <c r="P211" s="235"/>
      <c r="Q211" s="235"/>
      <c r="R211" s="235"/>
      <c r="S211" s="233"/>
      <c r="T211" s="235"/>
      <c r="U211" s="235"/>
      <c r="V211" s="233"/>
      <c r="W211" s="235"/>
      <c r="X211" s="235"/>
      <c r="Y211" s="235"/>
      <c r="Z211" s="233"/>
      <c r="AA211" s="233"/>
      <c r="AB211" s="233"/>
      <c r="AC211" s="245"/>
      <c r="AD211" s="245"/>
      <c r="AE211" s="245"/>
    </row>
    <row r="212" spans="1:31" ht="15.75" customHeight="1">
      <c r="A212" s="232"/>
      <c r="B212" s="233"/>
      <c r="C212" s="232"/>
      <c r="D212" s="233"/>
      <c r="E212" s="233"/>
      <c r="F212" s="235"/>
      <c r="G212" s="233"/>
      <c r="H212" s="233"/>
      <c r="I212" s="235"/>
      <c r="J212" s="235"/>
      <c r="K212" s="235"/>
      <c r="L212" s="233"/>
      <c r="M212" s="233"/>
      <c r="N212" s="233"/>
      <c r="O212" s="235"/>
      <c r="P212" s="235"/>
      <c r="Q212" s="235"/>
      <c r="R212" s="235"/>
      <c r="S212" s="233"/>
      <c r="T212" s="235"/>
      <c r="U212" s="235"/>
      <c r="V212" s="233"/>
      <c r="W212" s="235"/>
      <c r="X212" s="235"/>
      <c r="Y212" s="235"/>
      <c r="Z212" s="233"/>
      <c r="AA212" s="233"/>
      <c r="AB212" s="233"/>
      <c r="AC212" s="245"/>
      <c r="AD212" s="245"/>
      <c r="AE212" s="245"/>
    </row>
    <row r="213" spans="1:31" ht="15.75" customHeight="1">
      <c r="A213" s="232"/>
      <c r="B213" s="233"/>
      <c r="C213" s="232"/>
      <c r="D213" s="233"/>
      <c r="E213" s="233"/>
      <c r="F213" s="235"/>
      <c r="G213" s="233"/>
      <c r="H213" s="233"/>
      <c r="I213" s="235"/>
      <c r="J213" s="235"/>
      <c r="K213" s="235"/>
      <c r="L213" s="233"/>
      <c r="M213" s="233"/>
      <c r="N213" s="233"/>
      <c r="O213" s="235"/>
      <c r="P213" s="235"/>
      <c r="Q213" s="235"/>
      <c r="R213" s="235"/>
      <c r="S213" s="233"/>
      <c r="T213" s="235"/>
      <c r="U213" s="235"/>
      <c r="V213" s="233"/>
      <c r="W213" s="235"/>
      <c r="X213" s="235"/>
      <c r="Y213" s="235"/>
      <c r="Z213" s="233"/>
      <c r="AA213" s="233"/>
      <c r="AB213" s="233"/>
      <c r="AC213" s="245"/>
      <c r="AD213" s="245"/>
      <c r="AE213" s="245"/>
    </row>
    <row r="214" spans="1:31" ht="15.75" customHeight="1">
      <c r="A214" s="232"/>
      <c r="B214" s="233"/>
      <c r="C214" s="232"/>
      <c r="D214" s="233"/>
      <c r="E214" s="233"/>
      <c r="F214" s="235"/>
      <c r="G214" s="233"/>
      <c r="H214" s="233"/>
      <c r="I214" s="235"/>
      <c r="J214" s="235"/>
      <c r="K214" s="235"/>
      <c r="L214" s="233"/>
      <c r="M214" s="233"/>
      <c r="N214" s="233"/>
      <c r="O214" s="235"/>
      <c r="P214" s="235"/>
      <c r="Q214" s="235"/>
      <c r="R214" s="235"/>
      <c r="S214" s="233"/>
      <c r="T214" s="235"/>
      <c r="U214" s="235"/>
      <c r="V214" s="233"/>
      <c r="W214" s="235"/>
      <c r="X214" s="235"/>
      <c r="Y214" s="235"/>
      <c r="Z214" s="233"/>
      <c r="AA214" s="233"/>
      <c r="AB214" s="233"/>
      <c r="AC214" s="245"/>
      <c r="AD214" s="245"/>
      <c r="AE214" s="245"/>
    </row>
    <row r="215" spans="1:31" ht="15.75" customHeight="1">
      <c r="A215" s="232"/>
      <c r="B215" s="233"/>
      <c r="C215" s="232"/>
      <c r="D215" s="233"/>
      <c r="E215" s="233"/>
      <c r="F215" s="235"/>
      <c r="G215" s="233"/>
      <c r="H215" s="233"/>
      <c r="I215" s="235"/>
      <c r="J215" s="235"/>
      <c r="K215" s="235"/>
      <c r="L215" s="233"/>
      <c r="M215" s="233"/>
      <c r="N215" s="233"/>
      <c r="O215" s="235"/>
      <c r="P215" s="235"/>
      <c r="Q215" s="235"/>
      <c r="R215" s="235"/>
      <c r="S215" s="233"/>
      <c r="T215" s="235"/>
      <c r="U215" s="235"/>
      <c r="V215" s="233"/>
      <c r="W215" s="235"/>
      <c r="X215" s="235"/>
      <c r="Y215" s="235"/>
      <c r="Z215" s="233"/>
      <c r="AA215" s="233"/>
      <c r="AB215" s="233"/>
      <c r="AC215" s="245"/>
      <c r="AD215" s="245"/>
      <c r="AE215" s="245"/>
    </row>
    <row r="216" spans="1:31" ht="15.75" customHeight="1">
      <c r="A216" s="232"/>
      <c r="B216" s="233"/>
      <c r="C216" s="232"/>
      <c r="D216" s="233"/>
      <c r="E216" s="233"/>
      <c r="F216" s="235"/>
      <c r="G216" s="233"/>
      <c r="H216" s="233"/>
      <c r="I216" s="235"/>
      <c r="J216" s="235"/>
      <c r="K216" s="235"/>
      <c r="L216" s="233"/>
      <c r="M216" s="233"/>
      <c r="N216" s="233"/>
      <c r="O216" s="235"/>
      <c r="P216" s="235"/>
      <c r="Q216" s="235"/>
      <c r="R216" s="235"/>
      <c r="S216" s="233"/>
      <c r="T216" s="235"/>
      <c r="U216" s="235"/>
      <c r="V216" s="233"/>
      <c r="W216" s="235"/>
      <c r="X216" s="235"/>
      <c r="Y216" s="235"/>
      <c r="Z216" s="233"/>
      <c r="AA216" s="233"/>
      <c r="AB216" s="233"/>
      <c r="AC216" s="245"/>
      <c r="AD216" s="245"/>
      <c r="AE216" s="245"/>
    </row>
    <row r="217" spans="1:31" ht="15.75" customHeight="1">
      <c r="A217" s="232"/>
      <c r="B217" s="233"/>
      <c r="C217" s="232"/>
      <c r="D217" s="233"/>
      <c r="E217" s="233"/>
      <c r="F217" s="235"/>
      <c r="G217" s="233"/>
      <c r="H217" s="233"/>
      <c r="I217" s="235"/>
      <c r="J217" s="235"/>
      <c r="K217" s="235"/>
      <c r="L217" s="233"/>
      <c r="M217" s="233"/>
      <c r="N217" s="233"/>
      <c r="O217" s="235"/>
      <c r="P217" s="235"/>
      <c r="Q217" s="235"/>
      <c r="R217" s="235"/>
      <c r="S217" s="233"/>
      <c r="T217" s="235"/>
      <c r="U217" s="235"/>
      <c r="V217" s="233"/>
      <c r="W217" s="235"/>
      <c r="X217" s="235"/>
      <c r="Y217" s="235"/>
      <c r="Z217" s="233"/>
      <c r="AA217" s="233"/>
      <c r="AB217" s="233"/>
      <c r="AC217" s="245"/>
      <c r="AD217" s="245"/>
      <c r="AE217" s="245"/>
    </row>
    <row r="218" spans="1:31" ht="15.75" customHeight="1">
      <c r="A218" s="232"/>
      <c r="B218" s="233"/>
      <c r="C218" s="232"/>
      <c r="D218" s="233"/>
      <c r="E218" s="233"/>
      <c r="F218" s="235"/>
      <c r="G218" s="233"/>
      <c r="H218" s="233"/>
      <c r="I218" s="235"/>
      <c r="J218" s="235"/>
      <c r="K218" s="235"/>
      <c r="L218" s="233"/>
      <c r="M218" s="233"/>
      <c r="N218" s="233"/>
      <c r="O218" s="235"/>
      <c r="P218" s="235"/>
      <c r="Q218" s="235"/>
      <c r="R218" s="235"/>
      <c r="S218" s="233"/>
      <c r="T218" s="235"/>
      <c r="U218" s="235"/>
      <c r="V218" s="233"/>
      <c r="W218" s="235"/>
      <c r="X218" s="235"/>
      <c r="Y218" s="235"/>
      <c r="Z218" s="233"/>
      <c r="AA218" s="233"/>
      <c r="AB218" s="233"/>
      <c r="AC218" s="245"/>
      <c r="AD218" s="245"/>
      <c r="AE218" s="245"/>
    </row>
    <row r="219" spans="1:31" ht="15.75" customHeight="1">
      <c r="A219" s="232"/>
      <c r="B219" s="233"/>
      <c r="C219" s="232"/>
      <c r="D219" s="233"/>
      <c r="E219" s="233"/>
      <c r="F219" s="235"/>
      <c r="G219" s="233"/>
      <c r="H219" s="233"/>
      <c r="I219" s="235"/>
      <c r="J219" s="235"/>
      <c r="K219" s="235"/>
      <c r="L219" s="233"/>
      <c r="M219" s="233"/>
      <c r="N219" s="233"/>
      <c r="O219" s="235"/>
      <c r="P219" s="235"/>
      <c r="Q219" s="235"/>
      <c r="R219" s="235"/>
      <c r="S219" s="233"/>
      <c r="T219" s="235"/>
      <c r="U219" s="235"/>
      <c r="V219" s="233"/>
      <c r="W219" s="235"/>
      <c r="X219" s="235"/>
      <c r="Y219" s="235"/>
      <c r="Z219" s="233"/>
      <c r="AA219" s="233"/>
      <c r="AB219" s="233"/>
      <c r="AC219" s="245"/>
      <c r="AD219" s="245"/>
      <c r="AE219" s="245"/>
    </row>
    <row r="220" spans="1:31" ht="15.75" customHeight="1">
      <c r="A220" s="232"/>
      <c r="B220" s="233"/>
      <c r="C220" s="232"/>
      <c r="D220" s="233"/>
      <c r="E220" s="233"/>
      <c r="F220" s="235"/>
      <c r="G220" s="233"/>
      <c r="H220" s="233"/>
      <c r="I220" s="235"/>
      <c r="J220" s="235"/>
      <c r="K220" s="235"/>
      <c r="L220" s="233"/>
      <c r="M220" s="233"/>
      <c r="N220" s="233"/>
      <c r="O220" s="235"/>
      <c r="P220" s="235"/>
      <c r="Q220" s="235"/>
      <c r="R220" s="235"/>
      <c r="S220" s="233"/>
      <c r="T220" s="235"/>
      <c r="U220" s="235"/>
      <c r="V220" s="233"/>
      <c r="W220" s="235"/>
      <c r="X220" s="235"/>
      <c r="Y220" s="235"/>
      <c r="Z220" s="233"/>
      <c r="AA220" s="233"/>
      <c r="AB220" s="233"/>
      <c r="AC220" s="245"/>
      <c r="AD220" s="245"/>
      <c r="AE220" s="245"/>
    </row>
    <row r="221" spans="1:31" ht="15.75" customHeight="1">
      <c r="A221" s="232"/>
      <c r="B221" s="233"/>
      <c r="C221" s="232"/>
      <c r="D221" s="233"/>
      <c r="E221" s="233"/>
      <c r="F221" s="235"/>
      <c r="G221" s="233"/>
      <c r="H221" s="233"/>
      <c r="I221" s="235"/>
      <c r="J221" s="235"/>
      <c r="K221" s="235"/>
      <c r="L221" s="233"/>
      <c r="M221" s="233"/>
      <c r="N221" s="233"/>
      <c r="O221" s="235"/>
      <c r="P221" s="235"/>
      <c r="Q221" s="235"/>
      <c r="R221" s="235"/>
      <c r="S221" s="233"/>
      <c r="T221" s="235"/>
      <c r="U221" s="235"/>
      <c r="V221" s="233"/>
      <c r="W221" s="235"/>
      <c r="X221" s="235"/>
      <c r="Y221" s="235"/>
      <c r="Z221" s="233"/>
      <c r="AA221" s="233"/>
      <c r="AB221" s="233"/>
      <c r="AC221" s="245"/>
      <c r="AD221" s="245"/>
      <c r="AE221" s="245"/>
    </row>
    <row r="222" spans="1:31" ht="15.75" customHeight="1">
      <c r="A222" s="232"/>
      <c r="B222" s="233"/>
      <c r="C222" s="232"/>
      <c r="D222" s="233"/>
      <c r="E222" s="233"/>
      <c r="F222" s="235"/>
      <c r="G222" s="233"/>
      <c r="H222" s="233"/>
      <c r="I222" s="235"/>
      <c r="J222" s="235"/>
      <c r="K222" s="235"/>
      <c r="L222" s="233"/>
      <c r="M222" s="233"/>
      <c r="N222" s="233"/>
      <c r="O222" s="235"/>
      <c r="P222" s="235"/>
      <c r="Q222" s="235"/>
      <c r="R222" s="235"/>
      <c r="S222" s="233"/>
      <c r="T222" s="235"/>
      <c r="U222" s="235"/>
      <c r="V222" s="233"/>
      <c r="W222" s="235"/>
      <c r="X222" s="235"/>
      <c r="Y222" s="235"/>
      <c r="Z222" s="233"/>
      <c r="AA222" s="233"/>
      <c r="AB222" s="233"/>
      <c r="AC222" s="245"/>
      <c r="AD222" s="245"/>
      <c r="AE222" s="245"/>
    </row>
    <row r="223" spans="1:31" ht="15.75" customHeight="1">
      <c r="A223" s="232"/>
      <c r="B223" s="233"/>
      <c r="C223" s="232"/>
      <c r="D223" s="233"/>
      <c r="E223" s="233"/>
      <c r="F223" s="235"/>
      <c r="G223" s="233"/>
      <c r="H223" s="233"/>
      <c r="I223" s="235"/>
      <c r="J223" s="235"/>
      <c r="K223" s="235"/>
      <c r="L223" s="233"/>
      <c r="M223" s="233"/>
      <c r="N223" s="233"/>
      <c r="O223" s="235"/>
      <c r="P223" s="235"/>
      <c r="Q223" s="235"/>
      <c r="R223" s="235"/>
      <c r="S223" s="233"/>
      <c r="T223" s="235"/>
      <c r="U223" s="235"/>
      <c r="V223" s="233"/>
      <c r="W223" s="235"/>
      <c r="X223" s="235"/>
      <c r="Y223" s="235"/>
      <c r="Z223" s="233"/>
      <c r="AA223" s="233"/>
      <c r="AB223" s="233"/>
      <c r="AC223" s="245"/>
      <c r="AD223" s="245"/>
      <c r="AE223" s="245"/>
    </row>
    <row r="224" spans="1:31" ht="15.75" customHeight="1">
      <c r="A224" s="232"/>
      <c r="B224" s="233"/>
      <c r="C224" s="232"/>
      <c r="D224" s="233"/>
      <c r="E224" s="233"/>
      <c r="F224" s="235"/>
      <c r="G224" s="233"/>
      <c r="H224" s="233"/>
      <c r="I224" s="235"/>
      <c r="J224" s="235"/>
      <c r="K224" s="235"/>
      <c r="L224" s="233"/>
      <c r="M224" s="233"/>
      <c r="N224" s="233"/>
      <c r="O224" s="235"/>
      <c r="P224" s="235"/>
      <c r="Q224" s="235"/>
      <c r="R224" s="235"/>
      <c r="S224" s="233"/>
      <c r="T224" s="235"/>
      <c r="U224" s="235"/>
      <c r="V224" s="233"/>
      <c r="W224" s="235"/>
      <c r="X224" s="235"/>
      <c r="Y224" s="235"/>
      <c r="Z224" s="233"/>
      <c r="AA224" s="233"/>
      <c r="AB224" s="233"/>
      <c r="AC224" s="245"/>
      <c r="AD224" s="245"/>
      <c r="AE224" s="245"/>
    </row>
    <row r="225" spans="1:31" ht="15.75" customHeight="1">
      <c r="A225" s="232"/>
      <c r="B225" s="233"/>
      <c r="C225" s="232"/>
      <c r="D225" s="233"/>
      <c r="E225" s="233"/>
      <c r="F225" s="235"/>
      <c r="G225" s="233"/>
      <c r="H225" s="233"/>
      <c r="I225" s="235"/>
      <c r="J225" s="235"/>
      <c r="K225" s="235"/>
      <c r="L225" s="233"/>
      <c r="M225" s="233"/>
      <c r="N225" s="233"/>
      <c r="O225" s="235"/>
      <c r="P225" s="235"/>
      <c r="Q225" s="235"/>
      <c r="R225" s="235"/>
      <c r="S225" s="233"/>
      <c r="T225" s="235"/>
      <c r="U225" s="235"/>
      <c r="V225" s="233"/>
      <c r="W225" s="235"/>
      <c r="X225" s="235"/>
      <c r="Y225" s="235"/>
      <c r="Z225" s="233"/>
      <c r="AA225" s="233"/>
      <c r="AB225" s="233"/>
      <c r="AC225" s="245"/>
      <c r="AD225" s="245"/>
      <c r="AE225" s="245"/>
    </row>
    <row r="226" spans="1:31" ht="15.75" customHeight="1">
      <c r="A226" s="232"/>
      <c r="B226" s="233"/>
      <c r="C226" s="232"/>
      <c r="D226" s="233"/>
      <c r="E226" s="233"/>
      <c r="F226" s="235"/>
      <c r="G226" s="233"/>
      <c r="H226" s="233"/>
      <c r="I226" s="235"/>
      <c r="J226" s="235"/>
      <c r="K226" s="235"/>
      <c r="L226" s="233"/>
      <c r="M226" s="233"/>
      <c r="N226" s="233"/>
      <c r="O226" s="235"/>
      <c r="P226" s="235"/>
      <c r="Q226" s="235"/>
      <c r="R226" s="235"/>
      <c r="S226" s="233"/>
      <c r="T226" s="235"/>
      <c r="U226" s="235"/>
      <c r="V226" s="233"/>
      <c r="W226" s="235"/>
      <c r="X226" s="235"/>
      <c r="Y226" s="235"/>
      <c r="Z226" s="233"/>
      <c r="AA226" s="233"/>
      <c r="AB226" s="233"/>
      <c r="AC226" s="245"/>
      <c r="AD226" s="245"/>
      <c r="AE226" s="245"/>
    </row>
    <row r="227" spans="1:31" ht="15.75" customHeight="1">
      <c r="A227" s="232"/>
      <c r="B227" s="233"/>
      <c r="C227" s="232"/>
      <c r="D227" s="233"/>
      <c r="E227" s="233"/>
      <c r="F227" s="235"/>
      <c r="G227" s="233"/>
      <c r="H227" s="233"/>
      <c r="I227" s="235"/>
      <c r="J227" s="235"/>
      <c r="K227" s="235"/>
      <c r="L227" s="233"/>
      <c r="M227" s="233"/>
      <c r="N227" s="233"/>
      <c r="O227" s="235"/>
      <c r="P227" s="235"/>
      <c r="Q227" s="235"/>
      <c r="R227" s="235"/>
      <c r="S227" s="233"/>
      <c r="T227" s="235"/>
      <c r="U227" s="235"/>
      <c r="V227" s="233"/>
      <c r="W227" s="235"/>
      <c r="X227" s="235"/>
      <c r="Y227" s="235"/>
      <c r="Z227" s="233"/>
      <c r="AA227" s="233"/>
      <c r="AB227" s="233"/>
      <c r="AC227" s="245"/>
      <c r="AD227" s="245"/>
      <c r="AE227" s="245"/>
    </row>
    <row r="228" spans="1:31" ht="15.75" customHeight="1">
      <c r="A228" s="232"/>
      <c r="B228" s="233"/>
      <c r="C228" s="232"/>
      <c r="D228" s="233"/>
      <c r="E228" s="233"/>
      <c r="F228" s="235"/>
      <c r="G228" s="233"/>
      <c r="H228" s="233"/>
      <c r="I228" s="235"/>
      <c r="J228" s="235"/>
      <c r="K228" s="235"/>
      <c r="L228" s="233"/>
      <c r="M228" s="233"/>
      <c r="N228" s="233"/>
      <c r="O228" s="235"/>
      <c r="P228" s="235"/>
      <c r="Q228" s="235"/>
      <c r="R228" s="235"/>
      <c r="S228" s="233"/>
      <c r="T228" s="235"/>
      <c r="U228" s="235"/>
      <c r="V228" s="233"/>
      <c r="W228" s="235"/>
      <c r="X228" s="235"/>
      <c r="Y228" s="235"/>
      <c r="Z228" s="233"/>
      <c r="AA228" s="233"/>
      <c r="AB228" s="233"/>
      <c r="AC228" s="245"/>
      <c r="AD228" s="245"/>
      <c r="AE228" s="245"/>
    </row>
    <row r="229" spans="1:31" ht="15.75" customHeight="1">
      <c r="A229" s="232"/>
      <c r="B229" s="233"/>
      <c r="C229" s="232"/>
      <c r="D229" s="233"/>
      <c r="E229" s="233"/>
      <c r="F229" s="235"/>
      <c r="G229" s="233"/>
      <c r="H229" s="233"/>
      <c r="I229" s="235"/>
      <c r="J229" s="235"/>
      <c r="K229" s="235"/>
      <c r="L229" s="233"/>
      <c r="M229" s="233"/>
      <c r="N229" s="233"/>
      <c r="O229" s="235"/>
      <c r="P229" s="235"/>
      <c r="Q229" s="235"/>
      <c r="R229" s="235"/>
      <c r="S229" s="233"/>
      <c r="T229" s="235"/>
      <c r="U229" s="235"/>
      <c r="V229" s="233"/>
      <c r="W229" s="235"/>
      <c r="X229" s="235"/>
      <c r="Y229" s="235"/>
      <c r="Z229" s="233"/>
      <c r="AA229" s="233"/>
      <c r="AB229" s="233"/>
      <c r="AC229" s="245"/>
      <c r="AD229" s="245"/>
      <c r="AE229" s="245"/>
    </row>
    <row r="230" spans="1:31" ht="15.75" customHeight="1">
      <c r="A230" s="232"/>
      <c r="B230" s="233"/>
      <c r="C230" s="232"/>
      <c r="D230" s="233"/>
      <c r="E230" s="233"/>
      <c r="F230" s="235"/>
      <c r="G230" s="233"/>
      <c r="H230" s="233"/>
      <c r="I230" s="235"/>
      <c r="J230" s="235"/>
      <c r="K230" s="235"/>
      <c r="L230" s="233"/>
      <c r="M230" s="233"/>
      <c r="N230" s="233"/>
      <c r="O230" s="235"/>
      <c r="P230" s="235"/>
      <c r="Q230" s="235"/>
      <c r="R230" s="235"/>
      <c r="S230" s="233"/>
      <c r="T230" s="235"/>
      <c r="U230" s="235"/>
      <c r="V230" s="233"/>
      <c r="W230" s="235"/>
      <c r="X230" s="235"/>
      <c r="Y230" s="235"/>
      <c r="Z230" s="233"/>
      <c r="AA230" s="233"/>
      <c r="AB230" s="233"/>
      <c r="AC230" s="245"/>
      <c r="AD230" s="245"/>
      <c r="AE230" s="245"/>
    </row>
    <row r="231" spans="1:31" ht="15.75" customHeight="1">
      <c r="A231" s="232"/>
      <c r="B231" s="233"/>
      <c r="C231" s="232"/>
      <c r="D231" s="233"/>
      <c r="E231" s="233"/>
      <c r="F231" s="235"/>
      <c r="G231" s="233"/>
      <c r="H231" s="233"/>
      <c r="I231" s="235"/>
      <c r="J231" s="235"/>
      <c r="K231" s="235"/>
      <c r="L231" s="233"/>
      <c r="M231" s="233"/>
      <c r="N231" s="233"/>
      <c r="O231" s="235"/>
      <c r="P231" s="235"/>
      <c r="Q231" s="235"/>
      <c r="R231" s="235"/>
      <c r="S231" s="233"/>
      <c r="T231" s="235"/>
      <c r="U231" s="235"/>
      <c r="V231" s="233"/>
      <c r="W231" s="235"/>
      <c r="X231" s="235"/>
      <c r="Y231" s="235"/>
      <c r="Z231" s="233"/>
      <c r="AA231" s="233"/>
      <c r="AB231" s="233"/>
      <c r="AC231" s="245"/>
      <c r="AD231" s="245"/>
      <c r="AE231" s="245"/>
    </row>
    <row r="232" spans="1:31" ht="15.75" customHeight="1">
      <c r="A232" s="232"/>
      <c r="B232" s="233"/>
      <c r="C232" s="232"/>
      <c r="D232" s="233"/>
      <c r="E232" s="233"/>
      <c r="F232" s="235"/>
      <c r="G232" s="233"/>
      <c r="H232" s="233"/>
      <c r="I232" s="235"/>
      <c r="J232" s="235"/>
      <c r="K232" s="235"/>
      <c r="L232" s="233"/>
      <c r="M232" s="233"/>
      <c r="N232" s="233"/>
      <c r="O232" s="235"/>
      <c r="P232" s="235"/>
      <c r="Q232" s="235"/>
      <c r="R232" s="235"/>
      <c r="S232" s="233"/>
      <c r="T232" s="235"/>
      <c r="U232" s="235"/>
      <c r="V232" s="233"/>
      <c r="W232" s="235"/>
      <c r="X232" s="235"/>
      <c r="Y232" s="235"/>
      <c r="Z232" s="233"/>
      <c r="AA232" s="233"/>
      <c r="AB232" s="233"/>
      <c r="AC232" s="245"/>
      <c r="AD232" s="245"/>
      <c r="AE232" s="245"/>
    </row>
    <row r="233" spans="1:31" ht="15.75" customHeight="1">
      <c r="A233" s="232"/>
      <c r="B233" s="233"/>
      <c r="C233" s="232"/>
      <c r="D233" s="233"/>
      <c r="E233" s="233"/>
      <c r="F233" s="235"/>
      <c r="G233" s="233"/>
      <c r="H233" s="233"/>
      <c r="I233" s="235"/>
      <c r="J233" s="235"/>
      <c r="K233" s="235"/>
      <c r="L233" s="233"/>
      <c r="M233" s="233"/>
      <c r="N233" s="233"/>
      <c r="O233" s="235"/>
      <c r="P233" s="235"/>
      <c r="Q233" s="235"/>
      <c r="R233" s="235"/>
      <c r="S233" s="233"/>
      <c r="T233" s="235"/>
      <c r="U233" s="235"/>
      <c r="V233" s="233"/>
      <c r="W233" s="235"/>
      <c r="X233" s="235"/>
      <c r="Y233" s="235"/>
      <c r="Z233" s="233"/>
      <c r="AA233" s="233"/>
      <c r="AB233" s="233"/>
      <c r="AC233" s="245"/>
      <c r="AD233" s="245"/>
      <c r="AE233" s="245"/>
    </row>
    <row r="234" spans="1:31" ht="15.75" customHeight="1">
      <c r="A234" s="232"/>
      <c r="B234" s="233"/>
      <c r="C234" s="232"/>
      <c r="D234" s="233"/>
      <c r="E234" s="233"/>
      <c r="F234" s="235"/>
      <c r="G234" s="233"/>
      <c r="H234" s="233"/>
      <c r="I234" s="235"/>
      <c r="J234" s="235"/>
      <c r="K234" s="235"/>
      <c r="L234" s="233"/>
      <c r="M234" s="233"/>
      <c r="N234" s="233"/>
      <c r="O234" s="235"/>
      <c r="P234" s="235"/>
      <c r="Q234" s="235"/>
      <c r="R234" s="235"/>
      <c r="S234" s="233"/>
      <c r="T234" s="235"/>
      <c r="U234" s="235"/>
      <c r="V234" s="233"/>
      <c r="W234" s="235"/>
      <c r="X234" s="235"/>
      <c r="Y234" s="235"/>
      <c r="Z234" s="233"/>
      <c r="AA234" s="233"/>
      <c r="AB234" s="233"/>
      <c r="AC234" s="245"/>
      <c r="AD234" s="245"/>
      <c r="AE234" s="245"/>
    </row>
    <row r="235" spans="1:31" ht="15.75" customHeight="1">
      <c r="A235" s="232"/>
      <c r="B235" s="233"/>
      <c r="C235" s="232"/>
      <c r="D235" s="233"/>
      <c r="E235" s="233"/>
      <c r="F235" s="235"/>
      <c r="G235" s="233"/>
      <c r="H235" s="233"/>
      <c r="I235" s="235"/>
      <c r="J235" s="235"/>
      <c r="K235" s="235"/>
      <c r="L235" s="233"/>
      <c r="M235" s="233"/>
      <c r="N235" s="233"/>
      <c r="O235" s="235"/>
      <c r="P235" s="235"/>
      <c r="Q235" s="235"/>
      <c r="R235" s="235"/>
      <c r="S235" s="233"/>
      <c r="T235" s="235"/>
      <c r="U235" s="235"/>
      <c r="V235" s="233"/>
      <c r="W235" s="235"/>
      <c r="X235" s="235"/>
      <c r="Y235" s="235"/>
      <c r="Z235" s="233"/>
      <c r="AA235" s="233"/>
      <c r="AB235" s="233"/>
      <c r="AC235" s="245"/>
      <c r="AD235" s="245"/>
      <c r="AE235" s="245"/>
    </row>
    <row r="236" spans="1:31" ht="15.75" customHeight="1">
      <c r="A236" s="232"/>
      <c r="B236" s="233"/>
      <c r="C236" s="232"/>
      <c r="D236" s="233"/>
      <c r="E236" s="233"/>
      <c r="F236" s="235"/>
      <c r="G236" s="233"/>
      <c r="H236" s="233"/>
      <c r="I236" s="235"/>
      <c r="J236" s="235"/>
      <c r="K236" s="235"/>
      <c r="L236" s="233"/>
      <c r="M236" s="233"/>
      <c r="N236" s="233"/>
      <c r="O236" s="235"/>
      <c r="P236" s="235"/>
      <c r="Q236" s="235"/>
      <c r="R236" s="235"/>
      <c r="S236" s="233"/>
      <c r="T236" s="235"/>
      <c r="U236" s="235"/>
      <c r="V236" s="233"/>
      <c r="W236" s="235"/>
      <c r="X236" s="235"/>
      <c r="Y236" s="235"/>
      <c r="Z236" s="233"/>
      <c r="AA236" s="233"/>
      <c r="AB236" s="233"/>
      <c r="AC236" s="245"/>
      <c r="AD236" s="245"/>
      <c r="AE236" s="245"/>
    </row>
    <row r="237" spans="1:31" ht="15.75" customHeight="1">
      <c r="A237" s="232"/>
      <c r="B237" s="233"/>
      <c r="C237" s="232"/>
      <c r="D237" s="233"/>
      <c r="E237" s="233"/>
      <c r="F237" s="235"/>
      <c r="G237" s="233"/>
      <c r="H237" s="233"/>
      <c r="I237" s="235"/>
      <c r="J237" s="235"/>
      <c r="K237" s="235"/>
      <c r="L237" s="233"/>
      <c r="M237" s="233"/>
      <c r="N237" s="233"/>
      <c r="O237" s="235"/>
      <c r="P237" s="235"/>
      <c r="Q237" s="235"/>
      <c r="R237" s="235"/>
      <c r="S237" s="233"/>
      <c r="T237" s="235"/>
      <c r="U237" s="235"/>
      <c r="V237" s="233"/>
      <c r="W237" s="235"/>
      <c r="X237" s="235"/>
      <c r="Y237" s="235"/>
      <c r="Z237" s="233"/>
      <c r="AA237" s="233"/>
      <c r="AB237" s="233"/>
      <c r="AC237" s="245"/>
      <c r="AD237" s="245"/>
      <c r="AE237" s="245"/>
    </row>
    <row r="238" spans="1:31" ht="15.75" customHeight="1">
      <c r="A238" s="232"/>
      <c r="B238" s="233"/>
      <c r="C238" s="232"/>
      <c r="D238" s="233"/>
      <c r="E238" s="233"/>
      <c r="F238" s="235"/>
      <c r="G238" s="233"/>
      <c r="H238" s="233"/>
      <c r="I238" s="235"/>
      <c r="J238" s="235"/>
      <c r="K238" s="235"/>
      <c r="L238" s="233"/>
      <c r="M238" s="233"/>
      <c r="N238" s="233"/>
      <c r="O238" s="235"/>
      <c r="P238" s="235"/>
      <c r="Q238" s="235"/>
      <c r="R238" s="235"/>
      <c r="S238" s="233"/>
      <c r="T238" s="235"/>
      <c r="U238" s="235"/>
      <c r="V238" s="233"/>
      <c r="W238" s="235"/>
      <c r="X238" s="235"/>
      <c r="Y238" s="235"/>
      <c r="Z238" s="233"/>
      <c r="AA238" s="233"/>
      <c r="AB238" s="233"/>
      <c r="AC238" s="245"/>
      <c r="AD238" s="245"/>
      <c r="AE238" s="245"/>
    </row>
    <row r="239" spans="1:31" ht="15.75" customHeight="1">
      <c r="A239" s="232"/>
      <c r="B239" s="233"/>
      <c r="C239" s="232"/>
      <c r="D239" s="233"/>
      <c r="E239" s="233"/>
      <c r="F239" s="235"/>
      <c r="G239" s="233"/>
      <c r="H239" s="233"/>
      <c r="I239" s="235"/>
      <c r="J239" s="235"/>
      <c r="K239" s="235"/>
      <c r="L239" s="233"/>
      <c r="M239" s="233"/>
      <c r="N239" s="233"/>
      <c r="O239" s="235"/>
      <c r="P239" s="235"/>
      <c r="Q239" s="235"/>
      <c r="R239" s="235"/>
      <c r="S239" s="233"/>
      <c r="T239" s="235"/>
      <c r="U239" s="235"/>
      <c r="V239" s="233"/>
      <c r="W239" s="235"/>
      <c r="X239" s="235"/>
      <c r="Y239" s="235"/>
      <c r="Z239" s="233"/>
      <c r="AA239" s="233"/>
      <c r="AB239" s="233"/>
      <c r="AC239" s="245"/>
      <c r="AD239" s="245"/>
      <c r="AE239" s="245"/>
    </row>
    <row r="240" spans="1:31" ht="15.75" customHeight="1">
      <c r="A240" s="232"/>
      <c r="B240" s="233"/>
      <c r="C240" s="232"/>
      <c r="D240" s="233"/>
      <c r="E240" s="233"/>
      <c r="F240" s="235"/>
      <c r="G240" s="233"/>
      <c r="H240" s="233"/>
      <c r="I240" s="235"/>
      <c r="J240" s="235"/>
      <c r="K240" s="235"/>
      <c r="L240" s="233"/>
      <c r="M240" s="233"/>
      <c r="N240" s="233"/>
      <c r="O240" s="235"/>
      <c r="P240" s="235"/>
      <c r="Q240" s="235"/>
      <c r="R240" s="235"/>
      <c r="S240" s="233"/>
      <c r="T240" s="235"/>
      <c r="U240" s="235"/>
      <c r="V240" s="233"/>
      <c r="W240" s="235"/>
      <c r="X240" s="235"/>
      <c r="Y240" s="235"/>
      <c r="Z240" s="233"/>
      <c r="AA240" s="233"/>
      <c r="AB240" s="233"/>
      <c r="AC240" s="245"/>
      <c r="AD240" s="245"/>
      <c r="AE240" s="245"/>
    </row>
    <row r="241" spans="1:31" ht="15.75" customHeight="1">
      <c r="A241" s="232"/>
      <c r="B241" s="233"/>
      <c r="C241" s="232"/>
      <c r="D241" s="233"/>
      <c r="E241" s="233"/>
      <c r="F241" s="235"/>
      <c r="G241" s="233"/>
      <c r="H241" s="233"/>
      <c r="I241" s="235"/>
      <c r="J241" s="235"/>
      <c r="K241" s="235"/>
      <c r="L241" s="233"/>
      <c r="M241" s="233"/>
      <c r="N241" s="233"/>
      <c r="O241" s="235"/>
      <c r="P241" s="235"/>
      <c r="Q241" s="235"/>
      <c r="R241" s="235"/>
      <c r="S241" s="233"/>
      <c r="T241" s="235"/>
      <c r="U241" s="235"/>
      <c r="V241" s="233"/>
      <c r="W241" s="235"/>
      <c r="X241" s="235"/>
      <c r="Y241" s="235"/>
      <c r="Z241" s="233"/>
      <c r="AA241" s="233"/>
      <c r="AB241" s="233"/>
      <c r="AC241" s="245"/>
      <c r="AD241" s="245"/>
      <c r="AE241" s="245"/>
    </row>
    <row r="242" spans="1:31" ht="15.75" customHeight="1">
      <c r="A242" s="232"/>
      <c r="B242" s="233"/>
      <c r="C242" s="232"/>
      <c r="D242" s="233"/>
      <c r="E242" s="233"/>
      <c r="F242" s="235"/>
      <c r="G242" s="233"/>
      <c r="H242" s="233"/>
      <c r="I242" s="235"/>
      <c r="J242" s="235"/>
      <c r="K242" s="235"/>
      <c r="L242" s="233"/>
      <c r="M242" s="233"/>
      <c r="N242" s="233"/>
      <c r="O242" s="235"/>
      <c r="P242" s="235"/>
      <c r="Q242" s="235"/>
      <c r="R242" s="235"/>
      <c r="S242" s="233"/>
      <c r="T242" s="235"/>
      <c r="U242" s="235"/>
      <c r="V242" s="233"/>
      <c r="W242" s="235"/>
      <c r="X242" s="235"/>
      <c r="Y242" s="235"/>
      <c r="Z242" s="233"/>
      <c r="AA242" s="233"/>
      <c r="AB242" s="233"/>
      <c r="AC242" s="245"/>
      <c r="AD242" s="245"/>
      <c r="AE242" s="245"/>
    </row>
    <row r="243" spans="1:31" ht="15.75" customHeight="1">
      <c r="A243" s="232"/>
      <c r="B243" s="233"/>
      <c r="C243" s="232"/>
      <c r="D243" s="233"/>
      <c r="E243" s="233"/>
      <c r="F243" s="235"/>
      <c r="G243" s="233"/>
      <c r="H243" s="233"/>
      <c r="I243" s="235"/>
      <c r="J243" s="235"/>
      <c r="K243" s="235"/>
      <c r="L243" s="233"/>
      <c r="M243" s="233"/>
      <c r="N243" s="233"/>
      <c r="O243" s="235"/>
      <c r="P243" s="235"/>
      <c r="Q243" s="235"/>
      <c r="R243" s="235"/>
      <c r="S243" s="233"/>
      <c r="T243" s="235"/>
      <c r="U243" s="235"/>
      <c r="V243" s="233"/>
      <c r="W243" s="235"/>
      <c r="X243" s="235"/>
      <c r="Y243" s="235"/>
      <c r="Z243" s="233"/>
      <c r="AA243" s="233"/>
      <c r="AB243" s="233"/>
      <c r="AC243" s="245"/>
      <c r="AD243" s="245"/>
      <c r="AE243" s="245"/>
    </row>
    <row r="244" spans="1:31" ht="15.75" customHeight="1">
      <c r="A244" s="232"/>
      <c r="B244" s="233"/>
      <c r="C244" s="232"/>
      <c r="D244" s="233"/>
      <c r="E244" s="233"/>
      <c r="F244" s="235"/>
      <c r="G244" s="233"/>
      <c r="H244" s="233"/>
      <c r="I244" s="235"/>
      <c r="J244" s="235"/>
      <c r="K244" s="235"/>
      <c r="L244" s="233"/>
      <c r="M244" s="233"/>
      <c r="N244" s="233"/>
      <c r="O244" s="235"/>
      <c r="P244" s="235"/>
      <c r="Q244" s="235"/>
      <c r="R244" s="235"/>
      <c r="S244" s="233"/>
      <c r="T244" s="235"/>
      <c r="U244" s="235"/>
      <c r="V244" s="233"/>
      <c r="W244" s="235"/>
      <c r="X244" s="235"/>
      <c r="Y244" s="235"/>
      <c r="Z244" s="233"/>
      <c r="AA244" s="233"/>
      <c r="AB244" s="233"/>
      <c r="AC244" s="245"/>
      <c r="AD244" s="245"/>
      <c r="AE244" s="245"/>
    </row>
    <row r="245" spans="1:31" ht="15.75" customHeight="1">
      <c r="A245" s="232"/>
      <c r="B245" s="233"/>
      <c r="C245" s="232"/>
      <c r="D245" s="233"/>
      <c r="E245" s="233"/>
      <c r="F245" s="235"/>
      <c r="G245" s="233"/>
      <c r="H245" s="233"/>
      <c r="I245" s="235"/>
      <c r="J245" s="235"/>
      <c r="K245" s="235"/>
      <c r="L245" s="233"/>
      <c r="M245" s="233"/>
      <c r="N245" s="233"/>
      <c r="O245" s="235"/>
      <c r="P245" s="235"/>
      <c r="Q245" s="235"/>
      <c r="R245" s="235"/>
      <c r="S245" s="233"/>
      <c r="T245" s="235"/>
      <c r="U245" s="235"/>
      <c r="V245" s="233"/>
      <c r="W245" s="235"/>
      <c r="X245" s="235"/>
      <c r="Y245" s="235"/>
      <c r="Z245" s="233"/>
      <c r="AA245" s="233"/>
      <c r="AB245" s="233"/>
      <c r="AC245" s="245"/>
      <c r="AD245" s="245"/>
      <c r="AE245" s="245"/>
    </row>
    <row r="246" spans="1:31" ht="15.75" customHeight="1">
      <c r="A246" s="232"/>
      <c r="B246" s="233"/>
      <c r="C246" s="232"/>
      <c r="D246" s="233"/>
      <c r="E246" s="233"/>
      <c r="F246" s="235"/>
      <c r="G246" s="233"/>
      <c r="H246" s="233"/>
      <c r="I246" s="235"/>
      <c r="J246" s="235"/>
      <c r="K246" s="235"/>
      <c r="L246" s="233"/>
      <c r="M246" s="233"/>
      <c r="N246" s="233"/>
      <c r="O246" s="235"/>
      <c r="P246" s="235"/>
      <c r="Q246" s="235"/>
      <c r="R246" s="235"/>
      <c r="S246" s="233"/>
      <c r="T246" s="235"/>
      <c r="U246" s="235"/>
      <c r="V246" s="233"/>
      <c r="W246" s="235"/>
      <c r="X246" s="235"/>
      <c r="Y246" s="235"/>
      <c r="Z246" s="233"/>
      <c r="AA246" s="233"/>
      <c r="AB246" s="233"/>
      <c r="AC246" s="245"/>
      <c r="AD246" s="245"/>
      <c r="AE246" s="245"/>
    </row>
    <row r="247" spans="1:31" ht="15.75" customHeight="1">
      <c r="A247" s="232"/>
      <c r="B247" s="233"/>
      <c r="C247" s="232"/>
      <c r="D247" s="233"/>
      <c r="E247" s="233"/>
      <c r="F247" s="235"/>
      <c r="G247" s="233"/>
      <c r="H247" s="233"/>
      <c r="I247" s="235"/>
      <c r="J247" s="235"/>
      <c r="K247" s="235"/>
      <c r="L247" s="233"/>
      <c r="M247" s="233"/>
      <c r="N247" s="233"/>
      <c r="O247" s="235"/>
      <c r="P247" s="235"/>
      <c r="Q247" s="235"/>
      <c r="R247" s="235"/>
      <c r="S247" s="233"/>
      <c r="T247" s="235"/>
      <c r="U247" s="235"/>
      <c r="V247" s="233"/>
      <c r="W247" s="235"/>
      <c r="X247" s="235"/>
      <c r="Y247" s="235"/>
      <c r="Z247" s="233"/>
      <c r="AA247" s="233"/>
      <c r="AB247" s="233"/>
      <c r="AC247" s="245"/>
      <c r="AD247" s="245"/>
      <c r="AE247" s="245"/>
    </row>
    <row r="248" spans="1:31" ht="15.75" customHeight="1">
      <c r="A248" s="232"/>
      <c r="B248" s="233"/>
      <c r="C248" s="232"/>
      <c r="D248" s="233"/>
      <c r="E248" s="233"/>
      <c r="F248" s="235"/>
      <c r="G248" s="233"/>
      <c r="H248" s="233"/>
      <c r="I248" s="235"/>
      <c r="J248" s="235"/>
      <c r="K248" s="235"/>
      <c r="L248" s="233"/>
      <c r="M248" s="233"/>
      <c r="N248" s="233"/>
      <c r="O248" s="235"/>
      <c r="P248" s="235"/>
      <c r="Q248" s="235"/>
      <c r="R248" s="235"/>
      <c r="S248" s="233"/>
      <c r="T248" s="235"/>
      <c r="U248" s="235"/>
      <c r="V248" s="233"/>
      <c r="W248" s="235"/>
      <c r="X248" s="235"/>
      <c r="Y248" s="235"/>
      <c r="Z248" s="233"/>
      <c r="AA248" s="233"/>
      <c r="AB248" s="233"/>
      <c r="AC248" s="245"/>
      <c r="AD248" s="245"/>
      <c r="AE248" s="245"/>
    </row>
    <row r="249" spans="1:31" ht="15.75" customHeight="1">
      <c r="A249" s="232"/>
      <c r="B249" s="233"/>
      <c r="C249" s="232"/>
      <c r="D249" s="233"/>
      <c r="E249" s="233"/>
      <c r="F249" s="235"/>
      <c r="G249" s="233"/>
      <c r="H249" s="233"/>
      <c r="I249" s="235"/>
      <c r="J249" s="235"/>
      <c r="K249" s="235"/>
      <c r="L249" s="233"/>
      <c r="M249" s="233"/>
      <c r="N249" s="233"/>
      <c r="O249" s="235"/>
      <c r="P249" s="235"/>
      <c r="Q249" s="235"/>
      <c r="R249" s="235"/>
      <c r="S249" s="233"/>
      <c r="T249" s="235"/>
      <c r="U249" s="235"/>
      <c r="V249" s="233"/>
      <c r="W249" s="235"/>
      <c r="X249" s="235"/>
      <c r="Y249" s="235"/>
      <c r="Z249" s="233"/>
      <c r="AA249" s="233"/>
      <c r="AB249" s="233"/>
      <c r="AC249" s="245"/>
      <c r="AD249" s="245"/>
      <c r="AE249" s="245"/>
    </row>
    <row r="250" spans="1:31" ht="15.75" customHeight="1">
      <c r="A250" s="232"/>
      <c r="B250" s="233"/>
      <c r="C250" s="232"/>
      <c r="D250" s="233"/>
      <c r="E250" s="233"/>
      <c r="F250" s="235"/>
      <c r="G250" s="233"/>
      <c r="H250" s="233"/>
      <c r="I250" s="235"/>
      <c r="J250" s="235"/>
      <c r="K250" s="235"/>
      <c r="L250" s="233"/>
      <c r="M250" s="233"/>
      <c r="N250" s="233"/>
      <c r="O250" s="235"/>
      <c r="P250" s="235"/>
      <c r="Q250" s="235"/>
      <c r="R250" s="235"/>
      <c r="S250" s="233"/>
      <c r="T250" s="235"/>
      <c r="U250" s="235"/>
      <c r="V250" s="233"/>
      <c r="W250" s="235"/>
      <c r="X250" s="235"/>
      <c r="Y250" s="235"/>
      <c r="Z250" s="233"/>
      <c r="AA250" s="233"/>
      <c r="AB250" s="233"/>
      <c r="AC250" s="245"/>
      <c r="AD250" s="245"/>
      <c r="AE250" s="245"/>
    </row>
    <row r="251" spans="1:31" ht="15.75" customHeight="1">
      <c r="A251" s="232"/>
      <c r="B251" s="233"/>
      <c r="C251" s="232"/>
      <c r="D251" s="233"/>
      <c r="E251" s="233"/>
      <c r="F251" s="235"/>
      <c r="G251" s="233"/>
      <c r="H251" s="233"/>
      <c r="I251" s="235"/>
      <c r="J251" s="235"/>
      <c r="K251" s="235"/>
      <c r="L251" s="233"/>
      <c r="M251" s="233"/>
      <c r="N251" s="233"/>
      <c r="O251" s="235"/>
      <c r="P251" s="235"/>
      <c r="Q251" s="235"/>
      <c r="R251" s="235"/>
      <c r="S251" s="233"/>
      <c r="T251" s="235"/>
      <c r="U251" s="235"/>
      <c r="V251" s="233"/>
      <c r="W251" s="235"/>
      <c r="X251" s="235"/>
      <c r="Y251" s="235"/>
      <c r="Z251" s="233"/>
      <c r="AA251" s="233"/>
      <c r="AB251" s="233"/>
      <c r="AC251" s="245"/>
      <c r="AD251" s="245"/>
      <c r="AE251" s="245"/>
    </row>
    <row r="252" spans="1:31" ht="15.75" customHeight="1">
      <c r="A252" s="232"/>
      <c r="B252" s="233"/>
      <c r="C252" s="232"/>
      <c r="D252" s="233"/>
      <c r="E252" s="233"/>
      <c r="F252" s="235"/>
      <c r="G252" s="233"/>
      <c r="H252" s="233"/>
      <c r="I252" s="235"/>
      <c r="J252" s="235"/>
      <c r="K252" s="235"/>
      <c r="L252" s="233"/>
      <c r="M252" s="233"/>
      <c r="N252" s="233"/>
      <c r="O252" s="235"/>
      <c r="P252" s="235"/>
      <c r="Q252" s="235"/>
      <c r="R252" s="235"/>
      <c r="S252" s="233"/>
      <c r="T252" s="235"/>
      <c r="U252" s="235"/>
      <c r="V252" s="233"/>
      <c r="W252" s="235"/>
      <c r="X252" s="235"/>
      <c r="Y252" s="235"/>
      <c r="Z252" s="233"/>
      <c r="AA252" s="233"/>
      <c r="AB252" s="233"/>
      <c r="AC252" s="245"/>
      <c r="AD252" s="245"/>
      <c r="AE252" s="245"/>
    </row>
    <row r="253" spans="1:31" ht="15.75" customHeight="1">
      <c r="A253" s="232"/>
      <c r="B253" s="233"/>
      <c r="C253" s="232"/>
      <c r="D253" s="233"/>
      <c r="E253" s="233"/>
      <c r="F253" s="235"/>
      <c r="G253" s="233"/>
      <c r="H253" s="233"/>
      <c r="I253" s="235"/>
      <c r="J253" s="235"/>
      <c r="K253" s="235"/>
      <c r="L253" s="233"/>
      <c r="M253" s="233"/>
      <c r="N253" s="233"/>
      <c r="O253" s="235"/>
      <c r="P253" s="235"/>
      <c r="Q253" s="235"/>
      <c r="R253" s="235"/>
      <c r="S253" s="233"/>
      <c r="T253" s="235"/>
      <c r="U253" s="235"/>
      <c r="V253" s="233"/>
      <c r="W253" s="235"/>
      <c r="X253" s="235"/>
      <c r="Y253" s="235"/>
      <c r="Z253" s="233"/>
      <c r="AA253" s="233"/>
      <c r="AB253" s="233"/>
      <c r="AC253" s="245"/>
      <c r="AD253" s="245"/>
      <c r="AE253" s="245"/>
    </row>
    <row r="254" spans="1:31" ht="15.75" customHeight="1">
      <c r="A254" s="232"/>
      <c r="B254" s="233"/>
      <c r="C254" s="232"/>
      <c r="D254" s="233"/>
      <c r="E254" s="233"/>
      <c r="F254" s="235"/>
      <c r="G254" s="233"/>
      <c r="H254" s="233"/>
      <c r="I254" s="235"/>
      <c r="J254" s="235"/>
      <c r="K254" s="235"/>
      <c r="L254" s="233"/>
      <c r="M254" s="233"/>
      <c r="N254" s="233"/>
      <c r="O254" s="235"/>
      <c r="P254" s="235"/>
      <c r="Q254" s="235"/>
      <c r="R254" s="235"/>
      <c r="S254" s="233"/>
      <c r="T254" s="235"/>
      <c r="U254" s="235"/>
      <c r="V254" s="233"/>
      <c r="W254" s="235"/>
      <c r="X254" s="235"/>
      <c r="Y254" s="235"/>
      <c r="Z254" s="233"/>
      <c r="AA254" s="233"/>
      <c r="AB254" s="233"/>
      <c r="AC254" s="245"/>
      <c r="AD254" s="245"/>
      <c r="AE254" s="245"/>
    </row>
    <row r="255" spans="1:31" ht="15.75" customHeight="1">
      <c r="A255" s="232"/>
      <c r="B255" s="233"/>
      <c r="C255" s="232"/>
      <c r="D255" s="233"/>
      <c r="E255" s="233"/>
      <c r="F255" s="235"/>
      <c r="G255" s="233"/>
      <c r="H255" s="233"/>
      <c r="I255" s="235"/>
      <c r="J255" s="235"/>
      <c r="K255" s="235"/>
      <c r="L255" s="233"/>
      <c r="M255" s="233"/>
      <c r="N255" s="233"/>
      <c r="O255" s="235"/>
      <c r="P255" s="235"/>
      <c r="Q255" s="235"/>
      <c r="R255" s="235"/>
      <c r="S255" s="233"/>
      <c r="T255" s="235"/>
      <c r="U255" s="235"/>
      <c r="V255" s="233"/>
      <c r="W255" s="235"/>
      <c r="X255" s="235"/>
      <c r="Y255" s="235"/>
      <c r="Z255" s="233"/>
      <c r="AA255" s="233"/>
      <c r="AB255" s="233"/>
      <c r="AC255" s="245"/>
      <c r="AD255" s="245"/>
      <c r="AE255" s="245"/>
    </row>
    <row r="256" spans="1:31" ht="15.75" customHeight="1">
      <c r="A256" s="232"/>
      <c r="B256" s="233"/>
      <c r="C256" s="232"/>
      <c r="D256" s="233"/>
      <c r="E256" s="233"/>
      <c r="F256" s="235"/>
      <c r="G256" s="233"/>
      <c r="H256" s="233"/>
      <c r="I256" s="235"/>
      <c r="J256" s="235"/>
      <c r="K256" s="235"/>
      <c r="L256" s="233"/>
      <c r="M256" s="233"/>
      <c r="N256" s="233"/>
      <c r="O256" s="235"/>
      <c r="P256" s="235"/>
      <c r="Q256" s="235"/>
      <c r="R256" s="235"/>
      <c r="S256" s="233"/>
      <c r="T256" s="235"/>
      <c r="U256" s="235"/>
      <c r="V256" s="233"/>
      <c r="W256" s="235"/>
      <c r="X256" s="235"/>
      <c r="Y256" s="235"/>
      <c r="Z256" s="233"/>
      <c r="AA256" s="233"/>
      <c r="AB256" s="233"/>
      <c r="AC256" s="245"/>
      <c r="AD256" s="245"/>
      <c r="AE256" s="245"/>
    </row>
    <row r="257" spans="1:31" ht="15.75" customHeight="1">
      <c r="A257" s="232"/>
      <c r="B257" s="233"/>
      <c r="C257" s="232"/>
      <c r="D257" s="233"/>
      <c r="E257" s="233"/>
      <c r="F257" s="235"/>
      <c r="G257" s="233"/>
      <c r="H257" s="233"/>
      <c r="I257" s="235"/>
      <c r="J257" s="235"/>
      <c r="K257" s="235"/>
      <c r="L257" s="233"/>
      <c r="M257" s="233"/>
      <c r="N257" s="233"/>
      <c r="O257" s="235"/>
      <c r="P257" s="235"/>
      <c r="Q257" s="235"/>
      <c r="R257" s="235"/>
      <c r="S257" s="233"/>
      <c r="T257" s="235"/>
      <c r="U257" s="235"/>
      <c r="V257" s="233"/>
      <c r="W257" s="235"/>
      <c r="X257" s="235"/>
      <c r="Y257" s="235"/>
      <c r="Z257" s="233"/>
      <c r="AA257" s="233"/>
      <c r="AB257" s="233"/>
      <c r="AC257" s="245"/>
      <c r="AD257" s="245"/>
      <c r="AE257" s="245"/>
    </row>
    <row r="258" spans="1:31" ht="15.75" customHeight="1">
      <c r="A258" s="232"/>
      <c r="B258" s="233"/>
      <c r="C258" s="232"/>
      <c r="D258" s="233"/>
      <c r="E258" s="233"/>
      <c r="F258" s="235"/>
      <c r="G258" s="233"/>
      <c r="H258" s="233"/>
      <c r="I258" s="235"/>
      <c r="J258" s="235"/>
      <c r="K258" s="235"/>
      <c r="L258" s="233"/>
      <c r="M258" s="233"/>
      <c r="N258" s="233"/>
      <c r="O258" s="235"/>
      <c r="P258" s="235"/>
      <c r="Q258" s="235"/>
      <c r="R258" s="235"/>
      <c r="S258" s="233"/>
      <c r="T258" s="235"/>
      <c r="U258" s="235"/>
      <c r="V258" s="233"/>
      <c r="W258" s="235"/>
      <c r="X258" s="235"/>
      <c r="Y258" s="235"/>
      <c r="Z258" s="233"/>
      <c r="AA258" s="233"/>
      <c r="AB258" s="233"/>
      <c r="AC258" s="245"/>
      <c r="AD258" s="245"/>
      <c r="AE258" s="245"/>
    </row>
    <row r="259" spans="1:31" ht="15.75" customHeight="1">
      <c r="A259" s="232"/>
      <c r="B259" s="233"/>
      <c r="C259" s="232"/>
      <c r="D259" s="233"/>
      <c r="E259" s="233"/>
      <c r="F259" s="235"/>
      <c r="G259" s="233"/>
      <c r="H259" s="233"/>
      <c r="I259" s="235"/>
      <c r="J259" s="235"/>
      <c r="K259" s="235"/>
      <c r="L259" s="233"/>
      <c r="M259" s="233"/>
      <c r="N259" s="233"/>
      <c r="O259" s="235"/>
      <c r="P259" s="235"/>
      <c r="Q259" s="235"/>
      <c r="R259" s="235"/>
      <c r="S259" s="233"/>
      <c r="T259" s="235"/>
      <c r="U259" s="235"/>
      <c r="V259" s="233"/>
      <c r="W259" s="235"/>
      <c r="X259" s="235"/>
      <c r="Y259" s="235"/>
      <c r="Z259" s="233"/>
      <c r="AA259" s="233"/>
      <c r="AB259" s="233"/>
      <c r="AC259" s="245"/>
      <c r="AD259" s="245"/>
      <c r="AE259" s="245"/>
    </row>
    <row r="260" spans="1:31" ht="15.75" customHeight="1">
      <c r="A260" s="232"/>
      <c r="B260" s="233"/>
      <c r="C260" s="232"/>
      <c r="D260" s="233"/>
      <c r="E260" s="233"/>
      <c r="F260" s="235"/>
      <c r="G260" s="233"/>
      <c r="H260" s="233"/>
      <c r="I260" s="235"/>
      <c r="J260" s="235"/>
      <c r="K260" s="235"/>
      <c r="L260" s="233"/>
      <c r="M260" s="233"/>
      <c r="N260" s="233"/>
      <c r="O260" s="235"/>
      <c r="P260" s="235"/>
      <c r="Q260" s="235"/>
      <c r="R260" s="235"/>
      <c r="S260" s="233"/>
      <c r="T260" s="235"/>
      <c r="U260" s="235"/>
      <c r="V260" s="233"/>
      <c r="W260" s="235"/>
      <c r="X260" s="235"/>
      <c r="Y260" s="235"/>
      <c r="Z260" s="233"/>
      <c r="AA260" s="233"/>
      <c r="AB260" s="233"/>
      <c r="AC260" s="245"/>
      <c r="AD260" s="245"/>
      <c r="AE260" s="245"/>
    </row>
    <row r="261" spans="1:31" ht="15.75" customHeight="1">
      <c r="A261" s="232"/>
      <c r="B261" s="233"/>
      <c r="C261" s="232"/>
      <c r="D261" s="233"/>
      <c r="E261" s="233"/>
      <c r="F261" s="235"/>
      <c r="G261" s="233"/>
      <c r="H261" s="233"/>
      <c r="I261" s="235"/>
      <c r="J261" s="235"/>
      <c r="K261" s="235"/>
      <c r="L261" s="233"/>
      <c r="M261" s="233"/>
      <c r="N261" s="233"/>
      <c r="O261" s="235"/>
      <c r="P261" s="235"/>
      <c r="Q261" s="235"/>
      <c r="R261" s="235"/>
      <c r="S261" s="233"/>
      <c r="T261" s="235"/>
      <c r="U261" s="235"/>
      <c r="V261" s="233"/>
      <c r="W261" s="235"/>
      <c r="X261" s="235"/>
      <c r="Y261" s="235"/>
      <c r="Z261" s="233"/>
      <c r="AA261" s="233"/>
      <c r="AB261" s="233"/>
      <c r="AC261" s="245"/>
      <c r="AD261" s="245"/>
      <c r="AE261" s="245"/>
    </row>
    <row r="262" spans="1:31" ht="15.75" customHeight="1">
      <c r="A262" s="232"/>
      <c r="B262" s="233"/>
      <c r="C262" s="232"/>
      <c r="D262" s="233"/>
      <c r="E262" s="233"/>
      <c r="F262" s="235"/>
      <c r="G262" s="233"/>
      <c r="H262" s="233"/>
      <c r="I262" s="235"/>
      <c r="J262" s="235"/>
      <c r="K262" s="235"/>
      <c r="L262" s="233"/>
      <c r="M262" s="233"/>
      <c r="N262" s="233"/>
      <c r="O262" s="235"/>
      <c r="P262" s="235"/>
      <c r="Q262" s="235"/>
      <c r="R262" s="235"/>
      <c r="S262" s="233"/>
      <c r="T262" s="235"/>
      <c r="U262" s="235"/>
      <c r="V262" s="233"/>
      <c r="W262" s="235"/>
      <c r="X262" s="235"/>
      <c r="Y262" s="235"/>
      <c r="Z262" s="233"/>
      <c r="AA262" s="233"/>
      <c r="AB262" s="233"/>
      <c r="AC262" s="245"/>
      <c r="AD262" s="245"/>
      <c r="AE262" s="245"/>
    </row>
    <row r="263" spans="1:31" ht="15.75" customHeight="1">
      <c r="A263" s="232"/>
      <c r="B263" s="233"/>
      <c r="C263" s="232"/>
      <c r="D263" s="233"/>
      <c r="E263" s="233"/>
      <c r="F263" s="235"/>
      <c r="G263" s="233"/>
      <c r="H263" s="233"/>
      <c r="I263" s="235"/>
      <c r="J263" s="235"/>
      <c r="K263" s="235"/>
      <c r="L263" s="233"/>
      <c r="M263" s="233"/>
      <c r="N263" s="233"/>
      <c r="O263" s="235"/>
      <c r="P263" s="235"/>
      <c r="Q263" s="235"/>
      <c r="R263" s="235"/>
      <c r="S263" s="233"/>
      <c r="T263" s="235"/>
      <c r="U263" s="235"/>
      <c r="V263" s="233"/>
      <c r="W263" s="235"/>
      <c r="X263" s="235"/>
      <c r="Y263" s="235"/>
      <c r="Z263" s="233"/>
      <c r="AA263" s="233"/>
      <c r="AB263" s="233"/>
      <c r="AC263" s="245"/>
      <c r="AD263" s="245"/>
      <c r="AE263" s="245"/>
    </row>
    <row r="264" spans="1:31" ht="15.75" customHeight="1">
      <c r="A264" s="232"/>
      <c r="B264" s="233"/>
      <c r="C264" s="232"/>
      <c r="D264" s="233"/>
      <c r="E264" s="233"/>
      <c r="F264" s="235"/>
      <c r="G264" s="233"/>
      <c r="H264" s="233"/>
      <c r="I264" s="235"/>
      <c r="J264" s="235"/>
      <c r="K264" s="235"/>
      <c r="L264" s="233"/>
      <c r="M264" s="233"/>
      <c r="N264" s="233"/>
      <c r="O264" s="235"/>
      <c r="P264" s="235"/>
      <c r="Q264" s="235"/>
      <c r="R264" s="235"/>
      <c r="S264" s="233"/>
      <c r="T264" s="235"/>
      <c r="U264" s="235"/>
      <c r="V264" s="233"/>
      <c r="W264" s="235"/>
      <c r="X264" s="235"/>
      <c r="Y264" s="235"/>
      <c r="Z264" s="233"/>
      <c r="AA264" s="233"/>
      <c r="AB264" s="233"/>
      <c r="AC264" s="245"/>
      <c r="AD264" s="245"/>
      <c r="AE264" s="245"/>
    </row>
    <row r="265" spans="1:31" ht="15.75" customHeight="1">
      <c r="A265" s="232"/>
      <c r="B265" s="233"/>
      <c r="C265" s="232"/>
      <c r="D265" s="233"/>
      <c r="E265" s="233"/>
      <c r="F265" s="235"/>
      <c r="G265" s="233"/>
      <c r="H265" s="233"/>
      <c r="I265" s="235"/>
      <c r="J265" s="235"/>
      <c r="K265" s="235"/>
      <c r="L265" s="233"/>
      <c r="M265" s="233"/>
      <c r="N265" s="233"/>
      <c r="O265" s="235"/>
      <c r="P265" s="235"/>
      <c r="Q265" s="235"/>
      <c r="R265" s="235"/>
      <c r="S265" s="233"/>
      <c r="T265" s="235"/>
      <c r="U265" s="235"/>
      <c r="V265" s="233"/>
      <c r="W265" s="235"/>
      <c r="X265" s="235"/>
      <c r="Y265" s="235"/>
      <c r="Z265" s="233"/>
      <c r="AA265" s="233"/>
      <c r="AB265" s="233"/>
      <c r="AC265" s="245"/>
      <c r="AD265" s="245"/>
      <c r="AE265" s="245"/>
    </row>
    <row r="266" spans="1:31" ht="15.75" customHeight="1">
      <c r="A266" s="232"/>
      <c r="B266" s="233"/>
      <c r="C266" s="232"/>
      <c r="D266" s="233"/>
      <c r="E266" s="233"/>
      <c r="F266" s="235"/>
      <c r="G266" s="233"/>
      <c r="H266" s="233"/>
      <c r="I266" s="235"/>
      <c r="J266" s="235"/>
      <c r="K266" s="235"/>
      <c r="L266" s="233"/>
      <c r="M266" s="233"/>
      <c r="N266" s="233"/>
      <c r="O266" s="235"/>
      <c r="P266" s="235"/>
      <c r="Q266" s="235"/>
      <c r="R266" s="235"/>
      <c r="S266" s="233"/>
      <c r="T266" s="235"/>
      <c r="U266" s="235"/>
      <c r="V266" s="233"/>
      <c r="W266" s="235"/>
      <c r="X266" s="235"/>
      <c r="Y266" s="235"/>
      <c r="Z266" s="233"/>
      <c r="AA266" s="233"/>
      <c r="AB266" s="233"/>
      <c r="AC266" s="245"/>
      <c r="AD266" s="245"/>
      <c r="AE266" s="245"/>
    </row>
    <row r="267" spans="1:31" ht="15.75" customHeight="1">
      <c r="A267" s="232"/>
      <c r="B267" s="233"/>
      <c r="C267" s="232"/>
      <c r="D267" s="233"/>
      <c r="E267" s="233"/>
      <c r="F267" s="235"/>
      <c r="G267" s="233"/>
      <c r="H267" s="233"/>
      <c r="I267" s="235"/>
      <c r="J267" s="235"/>
      <c r="K267" s="235"/>
      <c r="L267" s="233"/>
      <c r="M267" s="233"/>
      <c r="N267" s="233"/>
      <c r="O267" s="235"/>
      <c r="P267" s="235"/>
      <c r="Q267" s="235"/>
      <c r="R267" s="235"/>
      <c r="S267" s="233"/>
      <c r="T267" s="235"/>
      <c r="U267" s="235"/>
      <c r="V267" s="233"/>
      <c r="W267" s="235"/>
      <c r="X267" s="235"/>
      <c r="Y267" s="235"/>
      <c r="Z267" s="233"/>
      <c r="AA267" s="233"/>
      <c r="AB267" s="233"/>
      <c r="AC267" s="245"/>
      <c r="AD267" s="245"/>
      <c r="AE267" s="245"/>
    </row>
    <row r="268" spans="1:31" ht="15.75" customHeight="1">
      <c r="A268" s="232"/>
      <c r="B268" s="233"/>
      <c r="C268" s="232"/>
      <c r="D268" s="233"/>
      <c r="E268" s="233"/>
      <c r="F268" s="235"/>
      <c r="G268" s="233"/>
      <c r="H268" s="233"/>
      <c r="I268" s="235"/>
      <c r="J268" s="235"/>
      <c r="K268" s="235"/>
      <c r="L268" s="233"/>
      <c r="M268" s="233"/>
      <c r="N268" s="233"/>
      <c r="O268" s="235"/>
      <c r="P268" s="235"/>
      <c r="Q268" s="235"/>
      <c r="R268" s="235"/>
      <c r="S268" s="233"/>
      <c r="T268" s="235"/>
      <c r="U268" s="235"/>
      <c r="V268" s="233"/>
      <c r="W268" s="235"/>
      <c r="X268" s="235"/>
      <c r="Y268" s="235"/>
      <c r="Z268" s="233"/>
      <c r="AA268" s="233"/>
      <c r="AB268" s="233"/>
      <c r="AC268" s="245"/>
      <c r="AD268" s="245"/>
      <c r="AE268" s="245"/>
    </row>
    <row r="269" spans="1:31" ht="15.75" customHeight="1">
      <c r="A269" s="232"/>
      <c r="B269" s="233"/>
      <c r="C269" s="232"/>
      <c r="D269" s="233"/>
      <c r="E269" s="233"/>
      <c r="F269" s="235"/>
      <c r="G269" s="233"/>
      <c r="H269" s="233"/>
      <c r="I269" s="235"/>
      <c r="J269" s="235"/>
      <c r="K269" s="235"/>
      <c r="L269" s="233"/>
      <c r="M269" s="233"/>
      <c r="N269" s="233"/>
      <c r="O269" s="235"/>
      <c r="P269" s="235"/>
      <c r="Q269" s="235"/>
      <c r="R269" s="235"/>
      <c r="S269" s="233"/>
      <c r="T269" s="235"/>
      <c r="U269" s="235"/>
      <c r="V269" s="233"/>
      <c r="W269" s="235"/>
      <c r="X269" s="235"/>
      <c r="Y269" s="235"/>
      <c r="Z269" s="233"/>
      <c r="AA269" s="233"/>
      <c r="AB269" s="233"/>
      <c r="AC269" s="245"/>
      <c r="AD269" s="245"/>
      <c r="AE269" s="245"/>
    </row>
    <row r="270" spans="1:31" ht="15.75" customHeight="1">
      <c r="A270" s="232"/>
      <c r="B270" s="233"/>
      <c r="C270" s="232"/>
      <c r="D270" s="233"/>
      <c r="E270" s="233"/>
      <c r="F270" s="235"/>
      <c r="G270" s="233"/>
      <c r="H270" s="233"/>
      <c r="I270" s="235"/>
      <c r="J270" s="235"/>
      <c r="K270" s="235"/>
      <c r="L270" s="233"/>
      <c r="M270" s="233"/>
      <c r="N270" s="233"/>
      <c r="O270" s="235"/>
      <c r="P270" s="235"/>
      <c r="Q270" s="235"/>
      <c r="R270" s="235"/>
      <c r="S270" s="233"/>
      <c r="T270" s="235"/>
      <c r="U270" s="235"/>
      <c r="V270" s="233"/>
      <c r="W270" s="235"/>
      <c r="X270" s="235"/>
      <c r="Y270" s="235"/>
      <c r="Z270" s="233"/>
      <c r="AA270" s="233"/>
      <c r="AB270" s="233"/>
      <c r="AC270" s="245"/>
      <c r="AD270" s="245"/>
      <c r="AE270" s="245"/>
    </row>
    <row r="271" spans="1:31" ht="15.75" customHeight="1">
      <c r="A271" s="232"/>
      <c r="B271" s="233"/>
      <c r="C271" s="232"/>
      <c r="D271" s="233"/>
      <c r="E271" s="233"/>
      <c r="F271" s="235"/>
      <c r="G271" s="233"/>
      <c r="H271" s="233"/>
      <c r="I271" s="235"/>
      <c r="J271" s="235"/>
      <c r="K271" s="235"/>
      <c r="L271" s="233"/>
      <c r="M271" s="233"/>
      <c r="N271" s="233"/>
      <c r="O271" s="235"/>
      <c r="P271" s="235"/>
      <c r="Q271" s="235"/>
      <c r="R271" s="235"/>
      <c r="S271" s="233"/>
      <c r="T271" s="235"/>
      <c r="U271" s="235"/>
      <c r="V271" s="233"/>
      <c r="W271" s="235"/>
      <c r="X271" s="235"/>
      <c r="Y271" s="235"/>
      <c r="Z271" s="233"/>
      <c r="AA271" s="233"/>
      <c r="AB271" s="233"/>
      <c r="AC271" s="245"/>
      <c r="AD271" s="245"/>
      <c r="AE271" s="245"/>
    </row>
    <row r="272" spans="1:31" ht="15.75" customHeight="1">
      <c r="A272" s="232"/>
      <c r="B272" s="233"/>
      <c r="C272" s="232"/>
      <c r="D272" s="233"/>
      <c r="E272" s="233"/>
      <c r="F272" s="235"/>
      <c r="G272" s="233"/>
      <c r="H272" s="233"/>
      <c r="I272" s="235"/>
      <c r="J272" s="235"/>
      <c r="K272" s="235"/>
      <c r="L272" s="233"/>
      <c r="M272" s="233"/>
      <c r="N272" s="233"/>
      <c r="O272" s="235"/>
      <c r="P272" s="235"/>
      <c r="Q272" s="235"/>
      <c r="R272" s="235"/>
      <c r="S272" s="233"/>
      <c r="T272" s="235"/>
      <c r="U272" s="235"/>
      <c r="V272" s="233"/>
      <c r="W272" s="235"/>
      <c r="X272" s="235"/>
      <c r="Y272" s="235"/>
      <c r="Z272" s="233"/>
      <c r="AA272" s="233"/>
      <c r="AB272" s="233"/>
      <c r="AC272" s="245"/>
      <c r="AD272" s="245"/>
      <c r="AE272" s="245"/>
    </row>
    <row r="273" spans="1:31" ht="15.75" customHeight="1">
      <c r="A273" s="232"/>
      <c r="B273" s="233"/>
      <c r="C273" s="232"/>
      <c r="D273" s="233"/>
      <c r="E273" s="233"/>
      <c r="F273" s="235"/>
      <c r="G273" s="233"/>
      <c r="H273" s="233"/>
      <c r="I273" s="235"/>
      <c r="J273" s="235"/>
      <c r="K273" s="235"/>
      <c r="L273" s="233"/>
      <c r="M273" s="233"/>
      <c r="N273" s="233"/>
      <c r="O273" s="235"/>
      <c r="P273" s="235"/>
      <c r="Q273" s="235"/>
      <c r="R273" s="235"/>
      <c r="S273" s="233"/>
      <c r="T273" s="235"/>
      <c r="U273" s="235"/>
      <c r="V273" s="233"/>
      <c r="W273" s="235"/>
      <c r="X273" s="235"/>
      <c r="Y273" s="235"/>
      <c r="Z273" s="233"/>
      <c r="AA273" s="233"/>
      <c r="AB273" s="233"/>
      <c r="AC273" s="245"/>
      <c r="AD273" s="245"/>
      <c r="AE273" s="245"/>
    </row>
    <row r="274" spans="1:31" ht="15.75" customHeight="1">
      <c r="A274" s="232"/>
      <c r="B274" s="233"/>
      <c r="C274" s="232"/>
      <c r="D274" s="233"/>
      <c r="E274" s="233"/>
      <c r="F274" s="235"/>
      <c r="G274" s="233"/>
      <c r="H274" s="233"/>
      <c r="I274" s="235"/>
      <c r="J274" s="235"/>
      <c r="K274" s="235"/>
      <c r="L274" s="233"/>
      <c r="M274" s="233"/>
      <c r="N274" s="233"/>
      <c r="O274" s="235"/>
      <c r="P274" s="235"/>
      <c r="Q274" s="235"/>
      <c r="R274" s="235"/>
      <c r="S274" s="233"/>
      <c r="T274" s="235"/>
      <c r="U274" s="235"/>
      <c r="V274" s="233"/>
      <c r="W274" s="235"/>
      <c r="X274" s="235"/>
      <c r="Y274" s="235"/>
      <c r="Z274" s="233"/>
      <c r="AA274" s="233"/>
      <c r="AB274" s="233"/>
      <c r="AC274" s="245"/>
      <c r="AD274" s="245"/>
      <c r="AE274" s="245"/>
    </row>
    <row r="275" spans="1:31" ht="15.75" customHeight="1">
      <c r="A275" s="232"/>
      <c r="B275" s="233"/>
      <c r="C275" s="232"/>
      <c r="D275" s="233"/>
      <c r="E275" s="233"/>
      <c r="F275" s="235"/>
      <c r="G275" s="233"/>
      <c r="H275" s="233"/>
      <c r="I275" s="235"/>
      <c r="J275" s="235"/>
      <c r="K275" s="235"/>
      <c r="L275" s="233"/>
      <c r="M275" s="233"/>
      <c r="N275" s="233"/>
      <c r="O275" s="235"/>
      <c r="P275" s="235"/>
      <c r="Q275" s="235"/>
      <c r="R275" s="235"/>
      <c r="S275" s="233"/>
      <c r="T275" s="235"/>
      <c r="U275" s="235"/>
      <c r="V275" s="233"/>
      <c r="W275" s="235"/>
      <c r="X275" s="235"/>
      <c r="Y275" s="235"/>
      <c r="Z275" s="233"/>
      <c r="AA275" s="233"/>
      <c r="AB275" s="233"/>
      <c r="AC275" s="245"/>
      <c r="AD275" s="245"/>
      <c r="AE275" s="245"/>
    </row>
    <row r="276" spans="1:31" ht="15.75" customHeight="1">
      <c r="A276" s="232"/>
      <c r="B276" s="233"/>
      <c r="C276" s="232"/>
      <c r="D276" s="233"/>
      <c r="E276" s="233"/>
      <c r="F276" s="235"/>
      <c r="G276" s="233"/>
      <c r="H276" s="233"/>
      <c r="I276" s="235"/>
      <c r="J276" s="235"/>
      <c r="K276" s="235"/>
      <c r="L276" s="233"/>
      <c r="M276" s="233"/>
      <c r="N276" s="233"/>
      <c r="O276" s="235"/>
      <c r="P276" s="235"/>
      <c r="Q276" s="235"/>
      <c r="R276" s="235"/>
      <c r="S276" s="233"/>
      <c r="T276" s="235"/>
      <c r="U276" s="235"/>
      <c r="V276" s="233"/>
      <c r="W276" s="235"/>
      <c r="X276" s="235"/>
      <c r="Y276" s="235"/>
      <c r="Z276" s="233"/>
      <c r="AA276" s="233"/>
      <c r="AB276" s="233"/>
      <c r="AC276" s="245"/>
      <c r="AD276" s="245"/>
      <c r="AE276" s="245"/>
    </row>
    <row r="277" spans="1:31" ht="15.75" customHeight="1">
      <c r="A277" s="232"/>
      <c r="B277" s="233"/>
      <c r="C277" s="232"/>
      <c r="D277" s="233"/>
      <c r="E277" s="233"/>
      <c r="F277" s="235"/>
      <c r="G277" s="233"/>
      <c r="H277" s="233"/>
      <c r="I277" s="235"/>
      <c r="J277" s="235"/>
      <c r="K277" s="235"/>
      <c r="L277" s="233"/>
      <c r="M277" s="233"/>
      <c r="N277" s="233"/>
      <c r="O277" s="235"/>
      <c r="P277" s="235"/>
      <c r="Q277" s="235"/>
      <c r="R277" s="235"/>
      <c r="S277" s="233"/>
      <c r="T277" s="235"/>
      <c r="U277" s="235"/>
      <c r="V277" s="233"/>
      <c r="W277" s="235"/>
      <c r="X277" s="235"/>
      <c r="Y277" s="235"/>
      <c r="Z277" s="233"/>
      <c r="AA277" s="233"/>
      <c r="AB277" s="233"/>
      <c r="AC277" s="245"/>
      <c r="AD277" s="245"/>
      <c r="AE277" s="245"/>
    </row>
    <row r="278" spans="1:31" ht="15.75" customHeight="1">
      <c r="A278" s="232"/>
      <c r="B278" s="233"/>
      <c r="C278" s="232"/>
      <c r="D278" s="233"/>
      <c r="E278" s="233"/>
      <c r="F278" s="235"/>
      <c r="G278" s="233"/>
      <c r="H278" s="233"/>
      <c r="I278" s="235"/>
      <c r="J278" s="235"/>
      <c r="K278" s="235"/>
      <c r="L278" s="233"/>
      <c r="M278" s="233"/>
      <c r="N278" s="233"/>
      <c r="O278" s="235"/>
      <c r="P278" s="235"/>
      <c r="Q278" s="235"/>
      <c r="R278" s="235"/>
      <c r="S278" s="233"/>
      <c r="T278" s="235"/>
      <c r="U278" s="235"/>
      <c r="V278" s="233"/>
      <c r="W278" s="235"/>
      <c r="X278" s="235"/>
      <c r="Y278" s="235"/>
      <c r="Z278" s="233"/>
      <c r="AA278" s="233"/>
      <c r="AB278" s="233"/>
      <c r="AC278" s="245"/>
      <c r="AD278" s="245"/>
      <c r="AE278" s="245"/>
    </row>
    <row r="279" spans="1:31" ht="15.75" customHeight="1">
      <c r="A279" s="232"/>
      <c r="B279" s="233"/>
      <c r="C279" s="232"/>
      <c r="D279" s="233"/>
      <c r="E279" s="233"/>
      <c r="F279" s="235"/>
      <c r="G279" s="233"/>
      <c r="H279" s="233"/>
      <c r="I279" s="235"/>
      <c r="J279" s="235"/>
      <c r="K279" s="235"/>
      <c r="L279" s="233"/>
      <c r="M279" s="233"/>
      <c r="N279" s="233"/>
      <c r="O279" s="235"/>
      <c r="P279" s="235"/>
      <c r="Q279" s="235"/>
      <c r="R279" s="235"/>
      <c r="S279" s="233"/>
      <c r="T279" s="235"/>
      <c r="U279" s="235"/>
      <c r="V279" s="233"/>
      <c r="W279" s="235"/>
      <c r="X279" s="235"/>
      <c r="Y279" s="235"/>
      <c r="Z279" s="233"/>
      <c r="AA279" s="233"/>
      <c r="AB279" s="233"/>
      <c r="AC279" s="245"/>
      <c r="AD279" s="245"/>
      <c r="AE279" s="245"/>
    </row>
    <row r="280" spans="1:31" ht="15.75" customHeight="1">
      <c r="A280" s="232"/>
      <c r="B280" s="233"/>
      <c r="C280" s="232"/>
      <c r="D280" s="233"/>
      <c r="E280" s="233"/>
      <c r="F280" s="235"/>
      <c r="G280" s="233"/>
      <c r="H280" s="233"/>
      <c r="I280" s="235"/>
      <c r="J280" s="235"/>
      <c r="K280" s="235"/>
      <c r="L280" s="233"/>
      <c r="M280" s="233"/>
      <c r="N280" s="233"/>
      <c r="O280" s="235"/>
      <c r="P280" s="235"/>
      <c r="Q280" s="235"/>
      <c r="R280" s="235"/>
      <c r="S280" s="233"/>
      <c r="T280" s="235"/>
      <c r="U280" s="235"/>
      <c r="V280" s="233"/>
      <c r="W280" s="235"/>
      <c r="X280" s="235"/>
      <c r="Y280" s="235"/>
      <c r="Z280" s="233"/>
      <c r="AA280" s="233"/>
      <c r="AB280" s="233"/>
      <c r="AC280" s="245"/>
      <c r="AD280" s="245"/>
      <c r="AE280" s="245"/>
    </row>
    <row r="281" spans="1:31" ht="15.75" customHeight="1">
      <c r="A281" s="232"/>
      <c r="B281" s="233"/>
      <c r="C281" s="232"/>
      <c r="D281" s="233"/>
      <c r="E281" s="233"/>
      <c r="F281" s="235"/>
      <c r="G281" s="233"/>
      <c r="H281" s="233"/>
      <c r="I281" s="235"/>
      <c r="J281" s="235"/>
      <c r="K281" s="235"/>
      <c r="L281" s="233"/>
      <c r="M281" s="233"/>
      <c r="N281" s="233"/>
      <c r="O281" s="235"/>
      <c r="P281" s="235"/>
      <c r="Q281" s="235"/>
      <c r="R281" s="235"/>
      <c r="S281" s="233"/>
      <c r="T281" s="235"/>
      <c r="U281" s="235"/>
      <c r="V281" s="233"/>
      <c r="W281" s="235"/>
      <c r="X281" s="235"/>
      <c r="Y281" s="235"/>
      <c r="Z281" s="233"/>
      <c r="AA281" s="233"/>
      <c r="AB281" s="233"/>
      <c r="AC281" s="245"/>
      <c r="AD281" s="245"/>
      <c r="AE281" s="245"/>
    </row>
    <row r="282" spans="1:31" ht="15.75" customHeight="1">
      <c r="A282" s="232"/>
      <c r="B282" s="233"/>
      <c r="C282" s="232"/>
      <c r="D282" s="233"/>
      <c r="E282" s="233"/>
      <c r="F282" s="235"/>
      <c r="G282" s="233"/>
      <c r="H282" s="233"/>
      <c r="I282" s="235"/>
      <c r="J282" s="235"/>
      <c r="K282" s="235"/>
      <c r="L282" s="233"/>
      <c r="M282" s="233"/>
      <c r="N282" s="233"/>
      <c r="O282" s="235"/>
      <c r="P282" s="235"/>
      <c r="Q282" s="235"/>
      <c r="R282" s="235"/>
      <c r="S282" s="233"/>
      <c r="T282" s="235"/>
      <c r="U282" s="235"/>
      <c r="V282" s="233"/>
      <c r="W282" s="235"/>
      <c r="X282" s="235"/>
      <c r="Y282" s="235"/>
      <c r="Z282" s="233"/>
      <c r="AA282" s="233"/>
      <c r="AB282" s="233"/>
      <c r="AC282" s="245"/>
      <c r="AD282" s="245"/>
      <c r="AE282" s="245"/>
    </row>
    <row r="283" spans="1:31" ht="15.75" customHeight="1">
      <c r="A283" s="232"/>
      <c r="B283" s="233"/>
      <c r="C283" s="232"/>
      <c r="D283" s="233"/>
      <c r="E283" s="233"/>
      <c r="F283" s="235"/>
      <c r="G283" s="233"/>
      <c r="H283" s="233"/>
      <c r="I283" s="235"/>
      <c r="J283" s="235"/>
      <c r="K283" s="235"/>
      <c r="L283" s="233"/>
      <c r="M283" s="233"/>
      <c r="N283" s="233"/>
      <c r="O283" s="235"/>
      <c r="P283" s="235"/>
      <c r="Q283" s="235"/>
      <c r="R283" s="235"/>
      <c r="S283" s="233"/>
      <c r="T283" s="235"/>
      <c r="U283" s="235"/>
      <c r="V283" s="233"/>
      <c r="W283" s="235"/>
      <c r="X283" s="235"/>
      <c r="Y283" s="235"/>
      <c r="Z283" s="233"/>
      <c r="AA283" s="233"/>
      <c r="AB283" s="233"/>
      <c r="AC283" s="245"/>
      <c r="AD283" s="245"/>
      <c r="AE283" s="245"/>
    </row>
    <row r="284" spans="1:31" ht="15.75" customHeight="1">
      <c r="A284" s="232"/>
      <c r="B284" s="233"/>
      <c r="C284" s="232"/>
      <c r="D284" s="233"/>
      <c r="E284" s="233"/>
      <c r="F284" s="235"/>
      <c r="G284" s="233"/>
      <c r="H284" s="233"/>
      <c r="I284" s="235"/>
      <c r="J284" s="235"/>
      <c r="K284" s="235"/>
      <c r="L284" s="233"/>
      <c r="M284" s="233"/>
      <c r="N284" s="233"/>
      <c r="O284" s="235"/>
      <c r="P284" s="235"/>
      <c r="Q284" s="235"/>
      <c r="R284" s="235"/>
      <c r="S284" s="233"/>
      <c r="T284" s="235"/>
      <c r="U284" s="235"/>
      <c r="V284" s="233"/>
      <c r="W284" s="235"/>
      <c r="X284" s="235"/>
      <c r="Y284" s="235"/>
      <c r="Z284" s="233"/>
      <c r="AA284" s="233"/>
      <c r="AB284" s="233"/>
      <c r="AC284" s="245"/>
      <c r="AD284" s="245"/>
      <c r="AE284" s="245"/>
    </row>
    <row r="285" spans="1:31" ht="15.75" customHeight="1">
      <c r="A285" s="232"/>
      <c r="B285" s="233"/>
      <c r="C285" s="232"/>
      <c r="D285" s="233"/>
      <c r="E285" s="233"/>
      <c r="F285" s="235"/>
      <c r="G285" s="233"/>
      <c r="H285" s="233"/>
      <c r="I285" s="235"/>
      <c r="J285" s="235"/>
      <c r="K285" s="235"/>
      <c r="L285" s="233"/>
      <c r="M285" s="233"/>
      <c r="N285" s="233"/>
      <c r="O285" s="235"/>
      <c r="P285" s="235"/>
      <c r="Q285" s="235"/>
      <c r="R285" s="235"/>
      <c r="S285" s="233"/>
      <c r="T285" s="235"/>
      <c r="U285" s="235"/>
      <c r="V285" s="233"/>
      <c r="W285" s="235"/>
      <c r="X285" s="235"/>
      <c r="Y285" s="235"/>
      <c r="Z285" s="233"/>
      <c r="AA285" s="233"/>
      <c r="AB285" s="233"/>
      <c r="AC285" s="245"/>
      <c r="AD285" s="245"/>
      <c r="AE285" s="245"/>
    </row>
    <row r="286" spans="1:31" ht="15.75" customHeight="1">
      <c r="A286" s="232"/>
      <c r="B286" s="233"/>
      <c r="C286" s="232"/>
      <c r="D286" s="233"/>
      <c r="E286" s="233"/>
      <c r="F286" s="235"/>
      <c r="G286" s="233"/>
      <c r="H286" s="233"/>
      <c r="I286" s="235"/>
      <c r="J286" s="235"/>
      <c r="K286" s="235"/>
      <c r="L286" s="233"/>
      <c r="M286" s="233"/>
      <c r="N286" s="233"/>
      <c r="O286" s="235"/>
      <c r="P286" s="235"/>
      <c r="Q286" s="235"/>
      <c r="R286" s="235"/>
      <c r="S286" s="233"/>
      <c r="T286" s="235"/>
      <c r="U286" s="235"/>
      <c r="V286" s="233"/>
      <c r="W286" s="235"/>
      <c r="X286" s="235"/>
      <c r="Y286" s="235"/>
      <c r="Z286" s="233"/>
      <c r="AA286" s="233"/>
      <c r="AB286" s="233"/>
      <c r="AC286" s="245"/>
      <c r="AD286" s="245"/>
      <c r="AE286" s="245"/>
    </row>
    <row r="287" spans="1:31" ht="15.75" customHeight="1">
      <c r="A287" s="232"/>
      <c r="B287" s="233"/>
      <c r="C287" s="232"/>
      <c r="D287" s="233"/>
      <c r="E287" s="233"/>
      <c r="F287" s="235"/>
      <c r="G287" s="233"/>
      <c r="H287" s="233"/>
      <c r="I287" s="235"/>
      <c r="J287" s="235"/>
      <c r="K287" s="235"/>
      <c r="L287" s="233"/>
      <c r="M287" s="233"/>
      <c r="N287" s="233"/>
      <c r="O287" s="235"/>
      <c r="P287" s="235"/>
      <c r="Q287" s="235"/>
      <c r="R287" s="235"/>
      <c r="S287" s="233"/>
      <c r="T287" s="235"/>
      <c r="U287" s="235"/>
      <c r="V287" s="233"/>
      <c r="W287" s="235"/>
      <c r="X287" s="235"/>
      <c r="Y287" s="235"/>
      <c r="Z287" s="233"/>
      <c r="AA287" s="233"/>
      <c r="AB287" s="233"/>
      <c r="AC287" s="245"/>
      <c r="AD287" s="245"/>
      <c r="AE287" s="245"/>
    </row>
    <row r="288" spans="1:31" ht="15.75" customHeight="1">
      <c r="A288" s="232"/>
      <c r="B288" s="233"/>
      <c r="C288" s="232"/>
      <c r="D288" s="233"/>
      <c r="E288" s="233"/>
      <c r="F288" s="235"/>
      <c r="G288" s="233"/>
      <c r="H288" s="233"/>
      <c r="I288" s="235"/>
      <c r="J288" s="235"/>
      <c r="K288" s="235"/>
      <c r="L288" s="233"/>
      <c r="M288" s="233"/>
      <c r="N288" s="233"/>
      <c r="O288" s="235"/>
      <c r="P288" s="235"/>
      <c r="Q288" s="235"/>
      <c r="R288" s="235"/>
      <c r="S288" s="233"/>
      <c r="T288" s="235"/>
      <c r="U288" s="235"/>
      <c r="V288" s="233"/>
      <c r="W288" s="235"/>
      <c r="X288" s="235"/>
      <c r="Y288" s="235"/>
      <c r="Z288" s="233"/>
      <c r="AA288" s="233"/>
      <c r="AB288" s="233"/>
      <c r="AC288" s="245"/>
      <c r="AD288" s="245"/>
      <c r="AE288" s="245"/>
    </row>
    <row r="289" spans="1:31" ht="15.75" customHeight="1">
      <c r="A289" s="232"/>
      <c r="B289" s="233"/>
      <c r="C289" s="232"/>
      <c r="D289" s="233"/>
      <c r="E289" s="233"/>
      <c r="F289" s="235"/>
      <c r="G289" s="233"/>
      <c r="H289" s="233"/>
      <c r="I289" s="235"/>
      <c r="J289" s="235"/>
      <c r="K289" s="235"/>
      <c r="L289" s="233"/>
      <c r="M289" s="233"/>
      <c r="N289" s="233"/>
      <c r="O289" s="235"/>
      <c r="P289" s="235"/>
      <c r="Q289" s="235"/>
      <c r="R289" s="235"/>
      <c r="S289" s="233"/>
      <c r="T289" s="235"/>
      <c r="U289" s="235"/>
      <c r="V289" s="233"/>
      <c r="W289" s="235"/>
      <c r="X289" s="235"/>
      <c r="Y289" s="235"/>
      <c r="Z289" s="233"/>
      <c r="AA289" s="233"/>
      <c r="AB289" s="233"/>
      <c r="AC289" s="245"/>
      <c r="AD289" s="245"/>
      <c r="AE289" s="245"/>
    </row>
    <row r="290" spans="1:31" ht="15.75" customHeight="1">
      <c r="A290" s="232"/>
      <c r="B290" s="233"/>
      <c r="C290" s="232"/>
      <c r="D290" s="233"/>
      <c r="E290" s="233"/>
      <c r="F290" s="235"/>
      <c r="G290" s="233"/>
      <c r="H290" s="233"/>
      <c r="I290" s="235"/>
      <c r="J290" s="235"/>
      <c r="K290" s="235"/>
      <c r="L290" s="233"/>
      <c r="M290" s="233"/>
      <c r="N290" s="233"/>
      <c r="O290" s="235"/>
      <c r="P290" s="235"/>
      <c r="Q290" s="235"/>
      <c r="R290" s="235"/>
      <c r="S290" s="233"/>
      <c r="T290" s="235"/>
      <c r="U290" s="235"/>
      <c r="V290" s="233"/>
      <c r="W290" s="235"/>
      <c r="X290" s="235"/>
      <c r="Y290" s="235"/>
      <c r="Z290" s="233"/>
      <c r="AA290" s="233"/>
      <c r="AB290" s="233"/>
      <c r="AC290" s="245"/>
      <c r="AD290" s="245"/>
      <c r="AE290" s="245"/>
    </row>
    <row r="291" spans="1:31" ht="15.75" customHeight="1">
      <c r="A291" s="232"/>
      <c r="B291" s="233"/>
      <c r="C291" s="232"/>
      <c r="D291" s="233"/>
      <c r="E291" s="233"/>
      <c r="F291" s="235"/>
      <c r="G291" s="233"/>
      <c r="H291" s="233"/>
      <c r="I291" s="235"/>
      <c r="J291" s="235"/>
      <c r="K291" s="235"/>
      <c r="L291" s="233"/>
      <c r="M291" s="233"/>
      <c r="N291" s="233"/>
      <c r="O291" s="235"/>
      <c r="P291" s="235"/>
      <c r="Q291" s="235"/>
      <c r="R291" s="235"/>
      <c r="S291" s="233"/>
      <c r="T291" s="235"/>
      <c r="U291" s="235"/>
      <c r="V291" s="233"/>
      <c r="W291" s="235"/>
      <c r="X291" s="235"/>
      <c r="Y291" s="235"/>
      <c r="Z291" s="233"/>
      <c r="AA291" s="233"/>
      <c r="AB291" s="233"/>
      <c r="AC291" s="245"/>
      <c r="AD291" s="245"/>
      <c r="AE291" s="245"/>
    </row>
    <row r="292" spans="1:31" ht="15.75" customHeight="1">
      <c r="A292" s="232"/>
      <c r="B292" s="233"/>
      <c r="C292" s="232"/>
      <c r="D292" s="233"/>
      <c r="E292" s="233"/>
      <c r="F292" s="235"/>
      <c r="G292" s="233"/>
      <c r="H292" s="233"/>
      <c r="I292" s="235"/>
      <c r="J292" s="235"/>
      <c r="K292" s="235"/>
      <c r="L292" s="233"/>
      <c r="M292" s="233"/>
      <c r="N292" s="233"/>
      <c r="O292" s="235"/>
      <c r="P292" s="235"/>
      <c r="Q292" s="235"/>
      <c r="R292" s="235"/>
      <c r="S292" s="233"/>
      <c r="T292" s="235"/>
      <c r="U292" s="235"/>
      <c r="V292" s="233"/>
      <c r="W292" s="235"/>
      <c r="X292" s="235"/>
      <c r="Y292" s="235"/>
      <c r="Z292" s="233"/>
      <c r="AA292" s="233"/>
      <c r="AB292" s="233"/>
      <c r="AC292" s="245"/>
      <c r="AD292" s="245"/>
      <c r="AE292" s="245"/>
    </row>
    <row r="293" spans="1:31" ht="15.75" customHeight="1">
      <c r="A293" s="232"/>
      <c r="B293" s="233"/>
      <c r="C293" s="232"/>
      <c r="D293" s="233"/>
      <c r="E293" s="233"/>
      <c r="F293" s="235"/>
      <c r="G293" s="233"/>
      <c r="H293" s="233"/>
      <c r="I293" s="235"/>
      <c r="J293" s="235"/>
      <c r="K293" s="235"/>
      <c r="L293" s="233"/>
      <c r="M293" s="233"/>
      <c r="N293" s="233"/>
      <c r="O293" s="235"/>
      <c r="P293" s="235"/>
      <c r="Q293" s="235"/>
      <c r="R293" s="235"/>
      <c r="S293" s="233"/>
      <c r="T293" s="235"/>
      <c r="U293" s="235"/>
      <c r="V293" s="233"/>
      <c r="W293" s="235"/>
      <c r="X293" s="235"/>
      <c r="Y293" s="235"/>
      <c r="Z293" s="233"/>
      <c r="AA293" s="233"/>
      <c r="AB293" s="233"/>
      <c r="AC293" s="245"/>
      <c r="AD293" s="245"/>
      <c r="AE293" s="245"/>
    </row>
    <row r="294" spans="1:31" ht="15.75" customHeight="1">
      <c r="A294" s="232"/>
      <c r="B294" s="233"/>
      <c r="C294" s="232"/>
      <c r="D294" s="233"/>
      <c r="E294" s="233"/>
      <c r="F294" s="235"/>
      <c r="G294" s="233"/>
      <c r="H294" s="233"/>
      <c r="I294" s="235"/>
      <c r="J294" s="235"/>
      <c r="K294" s="235"/>
      <c r="L294" s="233"/>
      <c r="M294" s="233"/>
      <c r="N294" s="233"/>
      <c r="O294" s="235"/>
      <c r="P294" s="235"/>
      <c r="Q294" s="235"/>
      <c r="R294" s="235"/>
      <c r="S294" s="233"/>
      <c r="T294" s="235"/>
      <c r="U294" s="235"/>
      <c r="V294" s="233"/>
      <c r="W294" s="235"/>
      <c r="X294" s="235"/>
      <c r="Y294" s="235"/>
      <c r="Z294" s="233"/>
      <c r="AA294" s="233"/>
      <c r="AB294" s="233"/>
      <c r="AC294" s="245"/>
      <c r="AD294" s="245"/>
      <c r="AE294" s="245"/>
    </row>
    <row r="295" spans="1:31" ht="15.75" customHeight="1">
      <c r="A295" s="232"/>
      <c r="B295" s="233"/>
      <c r="C295" s="232"/>
      <c r="D295" s="233"/>
      <c r="E295" s="233"/>
      <c r="F295" s="235"/>
      <c r="G295" s="233"/>
      <c r="H295" s="233"/>
      <c r="I295" s="235"/>
      <c r="J295" s="235"/>
      <c r="K295" s="235"/>
      <c r="L295" s="233"/>
      <c r="M295" s="233"/>
      <c r="N295" s="233"/>
      <c r="O295" s="235"/>
      <c r="P295" s="235"/>
      <c r="Q295" s="235"/>
      <c r="R295" s="235"/>
      <c r="S295" s="233"/>
      <c r="T295" s="235"/>
      <c r="U295" s="235"/>
      <c r="V295" s="233"/>
      <c r="W295" s="235"/>
      <c r="X295" s="235"/>
      <c r="Y295" s="235"/>
      <c r="Z295" s="233"/>
      <c r="AA295" s="233"/>
      <c r="AB295" s="233"/>
      <c r="AC295" s="245"/>
      <c r="AD295" s="245"/>
      <c r="AE295" s="245"/>
    </row>
    <row r="296" spans="1:31" ht="15.75" customHeight="1">
      <c r="A296" s="232"/>
      <c r="B296" s="233"/>
      <c r="C296" s="232"/>
      <c r="D296" s="233"/>
      <c r="E296" s="233"/>
      <c r="F296" s="235"/>
      <c r="G296" s="233"/>
      <c r="H296" s="233"/>
      <c r="I296" s="235"/>
      <c r="J296" s="235"/>
      <c r="K296" s="235"/>
      <c r="L296" s="233"/>
      <c r="M296" s="233"/>
      <c r="N296" s="233"/>
      <c r="O296" s="235"/>
      <c r="P296" s="235"/>
      <c r="Q296" s="235"/>
      <c r="R296" s="235"/>
      <c r="S296" s="233"/>
      <c r="T296" s="235"/>
      <c r="U296" s="235"/>
      <c r="V296" s="233"/>
      <c r="W296" s="235"/>
      <c r="X296" s="235"/>
      <c r="Y296" s="235"/>
      <c r="Z296" s="233"/>
      <c r="AA296" s="233"/>
      <c r="AB296" s="233"/>
      <c r="AC296" s="245"/>
      <c r="AD296" s="245"/>
      <c r="AE296" s="245"/>
    </row>
    <row r="297" spans="1:31" ht="15.75" customHeight="1">
      <c r="A297" s="232"/>
      <c r="B297" s="233"/>
      <c r="C297" s="232"/>
      <c r="D297" s="233"/>
      <c r="E297" s="233"/>
      <c r="F297" s="235"/>
      <c r="G297" s="233"/>
      <c r="H297" s="233"/>
      <c r="I297" s="235"/>
      <c r="J297" s="235"/>
      <c r="K297" s="235"/>
      <c r="L297" s="233"/>
      <c r="M297" s="233"/>
      <c r="N297" s="233"/>
      <c r="O297" s="235"/>
      <c r="P297" s="235"/>
      <c r="Q297" s="235"/>
      <c r="R297" s="235"/>
      <c r="S297" s="233"/>
      <c r="T297" s="235"/>
      <c r="U297" s="235"/>
      <c r="V297" s="233"/>
      <c r="W297" s="235"/>
      <c r="X297" s="235"/>
      <c r="Y297" s="235"/>
      <c r="Z297" s="233"/>
      <c r="AA297" s="233"/>
      <c r="AB297" s="233"/>
      <c r="AC297" s="245"/>
      <c r="AD297" s="245"/>
      <c r="AE297" s="245"/>
    </row>
    <row r="298" spans="1:31" ht="15.75" customHeight="1">
      <c r="A298" s="232"/>
      <c r="B298" s="233"/>
      <c r="C298" s="232"/>
      <c r="D298" s="233"/>
      <c r="E298" s="233"/>
      <c r="F298" s="235"/>
      <c r="G298" s="233"/>
      <c r="H298" s="233"/>
      <c r="I298" s="235"/>
      <c r="J298" s="235"/>
      <c r="K298" s="235"/>
      <c r="L298" s="233"/>
      <c r="M298" s="233"/>
      <c r="N298" s="233"/>
      <c r="O298" s="235"/>
      <c r="P298" s="235"/>
      <c r="Q298" s="235"/>
      <c r="R298" s="235"/>
      <c r="S298" s="233"/>
      <c r="T298" s="235"/>
      <c r="U298" s="235"/>
      <c r="V298" s="233"/>
      <c r="W298" s="235"/>
      <c r="X298" s="235"/>
      <c r="Y298" s="235"/>
      <c r="Z298" s="233"/>
      <c r="AA298" s="233"/>
      <c r="AB298" s="233"/>
      <c r="AC298" s="245"/>
      <c r="AD298" s="245"/>
      <c r="AE298" s="245"/>
    </row>
    <row r="299" spans="1:31" ht="15.75" customHeight="1">
      <c r="A299" s="232"/>
      <c r="B299" s="233"/>
      <c r="C299" s="232"/>
      <c r="D299" s="233"/>
      <c r="E299" s="233"/>
      <c r="F299" s="235"/>
      <c r="G299" s="233"/>
      <c r="H299" s="233"/>
      <c r="I299" s="235"/>
      <c r="J299" s="235"/>
      <c r="K299" s="235"/>
      <c r="L299" s="233"/>
      <c r="M299" s="233"/>
      <c r="N299" s="233"/>
      <c r="O299" s="235"/>
      <c r="P299" s="235"/>
      <c r="Q299" s="235"/>
      <c r="R299" s="235"/>
      <c r="S299" s="233"/>
      <c r="T299" s="235"/>
      <c r="U299" s="235"/>
      <c r="V299" s="233"/>
      <c r="W299" s="235"/>
      <c r="X299" s="235"/>
      <c r="Y299" s="235"/>
      <c r="Z299" s="233"/>
      <c r="AA299" s="233"/>
      <c r="AB299" s="233"/>
      <c r="AC299" s="245"/>
      <c r="AD299" s="245"/>
      <c r="AE299" s="245"/>
    </row>
    <row r="300" spans="1:31" ht="15.75" customHeight="1">
      <c r="A300" s="232"/>
      <c r="B300" s="233"/>
      <c r="C300" s="232"/>
      <c r="D300" s="233"/>
      <c r="E300" s="233"/>
      <c r="F300" s="235"/>
      <c r="G300" s="233"/>
      <c r="H300" s="233"/>
      <c r="I300" s="235"/>
      <c r="J300" s="235"/>
      <c r="K300" s="235"/>
      <c r="L300" s="233"/>
      <c r="M300" s="233"/>
      <c r="N300" s="233"/>
      <c r="O300" s="235"/>
      <c r="P300" s="235"/>
      <c r="Q300" s="235"/>
      <c r="R300" s="235"/>
      <c r="S300" s="233"/>
      <c r="T300" s="235"/>
      <c r="U300" s="235"/>
      <c r="V300" s="233"/>
      <c r="W300" s="235"/>
      <c r="X300" s="235"/>
      <c r="Y300" s="235"/>
      <c r="Z300" s="233"/>
      <c r="AA300" s="233"/>
      <c r="AB300" s="233"/>
      <c r="AC300" s="245"/>
      <c r="AD300" s="245"/>
      <c r="AE300" s="245"/>
    </row>
    <row r="301" spans="1:31" ht="15.75" customHeight="1">
      <c r="A301" s="232"/>
      <c r="B301" s="233"/>
      <c r="C301" s="232"/>
      <c r="D301" s="233"/>
      <c r="E301" s="233"/>
      <c r="F301" s="235"/>
      <c r="G301" s="233"/>
      <c r="H301" s="233"/>
      <c r="I301" s="235"/>
      <c r="J301" s="235"/>
      <c r="K301" s="235"/>
      <c r="L301" s="233"/>
      <c r="M301" s="233"/>
      <c r="N301" s="233"/>
      <c r="O301" s="235"/>
      <c r="P301" s="235"/>
      <c r="Q301" s="235"/>
      <c r="R301" s="235"/>
      <c r="S301" s="233"/>
      <c r="T301" s="235"/>
      <c r="U301" s="235"/>
      <c r="V301" s="233"/>
      <c r="W301" s="235"/>
      <c r="X301" s="235"/>
      <c r="Y301" s="235"/>
      <c r="Z301" s="233"/>
      <c r="AA301" s="233"/>
      <c r="AB301" s="233"/>
      <c r="AC301" s="245"/>
      <c r="AD301" s="245"/>
      <c r="AE301" s="245"/>
    </row>
    <row r="302" spans="1:31" ht="15.75" customHeight="1">
      <c r="A302" s="232"/>
      <c r="B302" s="233"/>
      <c r="C302" s="232"/>
      <c r="D302" s="233"/>
      <c r="E302" s="233"/>
      <c r="F302" s="235"/>
      <c r="G302" s="233"/>
      <c r="H302" s="233"/>
      <c r="I302" s="235"/>
      <c r="J302" s="235"/>
      <c r="K302" s="235"/>
      <c r="L302" s="233"/>
      <c r="M302" s="233"/>
      <c r="N302" s="233"/>
      <c r="O302" s="235"/>
      <c r="P302" s="235"/>
      <c r="Q302" s="235"/>
      <c r="R302" s="235"/>
      <c r="S302" s="233"/>
      <c r="T302" s="235"/>
      <c r="U302" s="235"/>
      <c r="V302" s="233"/>
      <c r="W302" s="235"/>
      <c r="X302" s="235"/>
      <c r="Y302" s="235"/>
      <c r="Z302" s="233"/>
      <c r="AA302" s="233"/>
      <c r="AB302" s="233"/>
      <c r="AC302" s="245"/>
      <c r="AD302" s="245"/>
      <c r="AE302" s="245"/>
    </row>
    <row r="303" spans="1:31" ht="15.75" customHeight="1">
      <c r="A303" s="232"/>
      <c r="B303" s="233"/>
      <c r="C303" s="232"/>
      <c r="D303" s="233"/>
      <c r="E303" s="233"/>
      <c r="F303" s="235"/>
      <c r="G303" s="233"/>
      <c r="H303" s="233"/>
      <c r="I303" s="235"/>
      <c r="J303" s="235"/>
      <c r="K303" s="235"/>
      <c r="L303" s="233"/>
      <c r="M303" s="233"/>
      <c r="N303" s="233"/>
      <c r="O303" s="235"/>
      <c r="P303" s="235"/>
      <c r="Q303" s="235"/>
      <c r="R303" s="235"/>
      <c r="S303" s="233"/>
      <c r="T303" s="235"/>
      <c r="U303" s="235"/>
      <c r="V303" s="233"/>
      <c r="W303" s="235"/>
      <c r="X303" s="235"/>
      <c r="Y303" s="235"/>
      <c r="Z303" s="233"/>
      <c r="AA303" s="233"/>
      <c r="AB303" s="233"/>
      <c r="AC303" s="245"/>
      <c r="AD303" s="245"/>
      <c r="AE303" s="245"/>
    </row>
    <row r="304" spans="1:31" ht="15.75" customHeight="1">
      <c r="A304" s="232"/>
      <c r="B304" s="233"/>
      <c r="C304" s="232"/>
      <c r="D304" s="233"/>
      <c r="E304" s="233"/>
      <c r="F304" s="235"/>
      <c r="G304" s="233"/>
      <c r="H304" s="233"/>
      <c r="I304" s="235"/>
      <c r="J304" s="235"/>
      <c r="K304" s="235"/>
      <c r="L304" s="233"/>
      <c r="M304" s="233"/>
      <c r="N304" s="233"/>
      <c r="O304" s="235"/>
      <c r="P304" s="235"/>
      <c r="Q304" s="235"/>
      <c r="R304" s="235"/>
      <c r="S304" s="233"/>
      <c r="T304" s="235"/>
      <c r="U304" s="235"/>
      <c r="V304" s="233"/>
      <c r="W304" s="235"/>
      <c r="X304" s="235"/>
      <c r="Y304" s="235"/>
      <c r="Z304" s="233"/>
      <c r="AA304" s="233"/>
      <c r="AB304" s="233"/>
      <c r="AC304" s="245"/>
      <c r="AD304" s="245"/>
      <c r="AE304" s="245"/>
    </row>
    <row r="305" spans="1:31" ht="15.75" customHeight="1">
      <c r="A305" s="232"/>
      <c r="B305" s="233"/>
      <c r="C305" s="232"/>
      <c r="D305" s="233"/>
      <c r="E305" s="233"/>
      <c r="F305" s="235"/>
      <c r="G305" s="233"/>
      <c r="H305" s="233"/>
      <c r="I305" s="235"/>
      <c r="J305" s="235"/>
      <c r="K305" s="235"/>
      <c r="L305" s="233"/>
      <c r="M305" s="233"/>
      <c r="N305" s="233"/>
      <c r="O305" s="235"/>
      <c r="P305" s="235"/>
      <c r="Q305" s="235"/>
      <c r="R305" s="235"/>
      <c r="S305" s="233"/>
      <c r="T305" s="235"/>
      <c r="U305" s="235"/>
      <c r="V305" s="233"/>
      <c r="W305" s="235"/>
      <c r="X305" s="235"/>
      <c r="Y305" s="235"/>
      <c r="Z305" s="233"/>
      <c r="AA305" s="233"/>
      <c r="AB305" s="233"/>
      <c r="AC305" s="245"/>
      <c r="AD305" s="245"/>
      <c r="AE305" s="245"/>
    </row>
    <row r="306" spans="1:31" ht="15.75" customHeight="1">
      <c r="A306" s="232"/>
      <c r="B306" s="233"/>
      <c r="C306" s="232"/>
      <c r="D306" s="233"/>
      <c r="E306" s="233"/>
      <c r="F306" s="235"/>
      <c r="G306" s="233"/>
      <c r="H306" s="233"/>
      <c r="I306" s="235"/>
      <c r="J306" s="235"/>
      <c r="K306" s="235"/>
      <c r="L306" s="233"/>
      <c r="M306" s="233"/>
      <c r="N306" s="233"/>
      <c r="O306" s="235"/>
      <c r="P306" s="235"/>
      <c r="Q306" s="235"/>
      <c r="R306" s="235"/>
      <c r="S306" s="233"/>
      <c r="T306" s="235"/>
      <c r="U306" s="235"/>
      <c r="V306" s="233"/>
      <c r="W306" s="235"/>
      <c r="X306" s="235"/>
      <c r="Y306" s="235"/>
      <c r="Z306" s="233"/>
      <c r="AA306" s="233"/>
      <c r="AB306" s="233"/>
      <c r="AC306" s="245"/>
      <c r="AD306" s="245"/>
      <c r="AE306" s="245"/>
    </row>
    <row r="307" spans="1:31" ht="15.75" customHeight="1">
      <c r="A307" s="232"/>
      <c r="B307" s="233"/>
      <c r="C307" s="232"/>
      <c r="D307" s="233"/>
      <c r="E307" s="233"/>
      <c r="F307" s="235"/>
      <c r="G307" s="233"/>
      <c r="H307" s="233"/>
      <c r="I307" s="235"/>
      <c r="J307" s="235"/>
      <c r="K307" s="235"/>
      <c r="L307" s="233"/>
      <c r="M307" s="233"/>
      <c r="N307" s="233"/>
      <c r="O307" s="235"/>
      <c r="P307" s="235"/>
      <c r="Q307" s="235"/>
      <c r="R307" s="235"/>
      <c r="S307" s="233"/>
      <c r="T307" s="235"/>
      <c r="U307" s="235"/>
      <c r="V307" s="233"/>
      <c r="W307" s="235"/>
      <c r="X307" s="235"/>
      <c r="Y307" s="235"/>
      <c r="Z307" s="233"/>
      <c r="AA307" s="233"/>
      <c r="AB307" s="233"/>
      <c r="AC307" s="245"/>
      <c r="AD307" s="245"/>
      <c r="AE307" s="245"/>
    </row>
    <row r="308" spans="1:31" ht="15.75" customHeight="1">
      <c r="A308" s="232"/>
      <c r="B308" s="233"/>
      <c r="C308" s="232"/>
      <c r="D308" s="233"/>
      <c r="E308" s="233"/>
      <c r="F308" s="235"/>
      <c r="G308" s="233"/>
      <c r="H308" s="233"/>
      <c r="I308" s="235"/>
      <c r="J308" s="235"/>
      <c r="K308" s="235"/>
      <c r="L308" s="233"/>
      <c r="M308" s="233"/>
      <c r="N308" s="233"/>
      <c r="O308" s="235"/>
      <c r="P308" s="235"/>
      <c r="Q308" s="235"/>
      <c r="R308" s="235"/>
      <c r="S308" s="233"/>
      <c r="T308" s="235"/>
      <c r="U308" s="235"/>
      <c r="V308" s="233"/>
      <c r="W308" s="235"/>
      <c r="X308" s="235"/>
      <c r="Y308" s="235"/>
      <c r="Z308" s="233"/>
      <c r="AA308" s="233"/>
      <c r="AB308" s="233"/>
      <c r="AC308" s="245"/>
      <c r="AD308" s="245"/>
      <c r="AE308" s="245"/>
    </row>
    <row r="309" spans="1:31" ht="15.75" customHeight="1">
      <c r="A309" s="232"/>
      <c r="B309" s="233"/>
      <c r="C309" s="232"/>
      <c r="D309" s="233"/>
      <c r="E309" s="233"/>
      <c r="F309" s="235"/>
      <c r="G309" s="233"/>
      <c r="H309" s="233"/>
      <c r="I309" s="235"/>
      <c r="J309" s="235"/>
      <c r="K309" s="235"/>
      <c r="L309" s="233"/>
      <c r="M309" s="233"/>
      <c r="N309" s="233"/>
      <c r="O309" s="235"/>
      <c r="P309" s="235"/>
      <c r="Q309" s="235"/>
      <c r="R309" s="235"/>
      <c r="S309" s="233"/>
      <c r="T309" s="235"/>
      <c r="U309" s="235"/>
      <c r="V309" s="233"/>
      <c r="W309" s="235"/>
      <c r="X309" s="235"/>
      <c r="Y309" s="235"/>
      <c r="Z309" s="233"/>
      <c r="AA309" s="233"/>
      <c r="AB309" s="233"/>
      <c r="AC309" s="245"/>
      <c r="AD309" s="245"/>
      <c r="AE309" s="245"/>
    </row>
    <row r="310" spans="1:31" ht="15.75" customHeight="1">
      <c r="A310" s="232"/>
      <c r="B310" s="233"/>
      <c r="C310" s="232"/>
      <c r="D310" s="233"/>
      <c r="E310" s="233"/>
      <c r="F310" s="235"/>
      <c r="G310" s="233"/>
      <c r="H310" s="233"/>
      <c r="I310" s="235"/>
      <c r="J310" s="235"/>
      <c r="K310" s="235"/>
      <c r="L310" s="233"/>
      <c r="M310" s="233"/>
      <c r="N310" s="233"/>
      <c r="O310" s="235"/>
      <c r="P310" s="235"/>
      <c r="Q310" s="235"/>
      <c r="R310" s="235"/>
      <c r="S310" s="233"/>
      <c r="T310" s="235"/>
      <c r="U310" s="235"/>
      <c r="V310" s="233"/>
      <c r="W310" s="235"/>
      <c r="X310" s="235"/>
      <c r="Y310" s="235"/>
      <c r="Z310" s="233"/>
      <c r="AA310" s="233"/>
      <c r="AB310" s="233"/>
      <c r="AC310" s="245"/>
      <c r="AD310" s="245"/>
      <c r="AE310" s="245"/>
    </row>
    <row r="311" spans="1:31" ht="15.75" customHeight="1">
      <c r="A311" s="232"/>
      <c r="B311" s="233"/>
      <c r="C311" s="232"/>
      <c r="D311" s="233"/>
      <c r="E311" s="233"/>
      <c r="F311" s="235"/>
      <c r="G311" s="233"/>
      <c r="H311" s="233"/>
      <c r="I311" s="235"/>
      <c r="J311" s="235"/>
      <c r="K311" s="235"/>
      <c r="L311" s="233"/>
      <c r="M311" s="233"/>
      <c r="N311" s="233"/>
      <c r="O311" s="235"/>
      <c r="P311" s="235"/>
      <c r="Q311" s="235"/>
      <c r="R311" s="235"/>
      <c r="S311" s="233"/>
      <c r="T311" s="235"/>
      <c r="U311" s="235"/>
      <c r="V311" s="233"/>
      <c r="W311" s="235"/>
      <c r="X311" s="235"/>
      <c r="Y311" s="235"/>
      <c r="Z311" s="233"/>
      <c r="AA311" s="233"/>
      <c r="AB311" s="233"/>
      <c r="AC311" s="245"/>
      <c r="AD311" s="245"/>
      <c r="AE311" s="245"/>
    </row>
    <row r="312" spans="1:31" ht="15.75" customHeight="1">
      <c r="A312" s="232"/>
      <c r="B312" s="233"/>
      <c r="C312" s="232"/>
      <c r="D312" s="233"/>
      <c r="E312" s="233"/>
      <c r="F312" s="235"/>
      <c r="G312" s="233"/>
      <c r="H312" s="233"/>
      <c r="I312" s="235"/>
      <c r="J312" s="235"/>
      <c r="K312" s="235"/>
      <c r="L312" s="233"/>
      <c r="M312" s="233"/>
      <c r="N312" s="233"/>
      <c r="O312" s="235"/>
      <c r="P312" s="235"/>
      <c r="Q312" s="235"/>
      <c r="R312" s="235"/>
      <c r="S312" s="233"/>
      <c r="T312" s="235"/>
      <c r="U312" s="235"/>
      <c r="V312" s="233"/>
      <c r="W312" s="235"/>
      <c r="X312" s="235"/>
      <c r="Y312" s="235"/>
      <c r="Z312" s="233"/>
      <c r="AA312" s="233"/>
      <c r="AB312" s="233"/>
      <c r="AC312" s="245"/>
      <c r="AD312" s="245"/>
      <c r="AE312" s="245"/>
    </row>
    <row r="313" spans="1:31" ht="15.75" customHeight="1">
      <c r="A313" s="232"/>
      <c r="B313" s="233"/>
      <c r="C313" s="232"/>
      <c r="D313" s="233"/>
      <c r="E313" s="233"/>
      <c r="F313" s="235"/>
      <c r="G313" s="233"/>
      <c r="H313" s="233"/>
      <c r="I313" s="235"/>
      <c r="J313" s="235"/>
      <c r="K313" s="235"/>
      <c r="L313" s="233"/>
      <c r="M313" s="233"/>
      <c r="N313" s="233"/>
      <c r="O313" s="235"/>
      <c r="P313" s="235"/>
      <c r="Q313" s="235"/>
      <c r="R313" s="235"/>
      <c r="S313" s="233"/>
      <c r="T313" s="235"/>
      <c r="U313" s="235"/>
      <c r="V313" s="233"/>
      <c r="W313" s="235"/>
      <c r="X313" s="235"/>
      <c r="Y313" s="235"/>
      <c r="Z313" s="233"/>
      <c r="AA313" s="233"/>
      <c r="AB313" s="233"/>
      <c r="AC313" s="245"/>
      <c r="AD313" s="245"/>
      <c r="AE313" s="245"/>
    </row>
    <row r="314" spans="1:31" ht="15.75" customHeight="1">
      <c r="A314" s="232"/>
      <c r="B314" s="233"/>
      <c r="C314" s="232"/>
      <c r="D314" s="233"/>
      <c r="E314" s="233"/>
      <c r="F314" s="235"/>
      <c r="G314" s="233"/>
      <c r="H314" s="233"/>
      <c r="I314" s="235"/>
      <c r="J314" s="235"/>
      <c r="K314" s="235"/>
      <c r="L314" s="233"/>
      <c r="M314" s="233"/>
      <c r="N314" s="233"/>
      <c r="O314" s="235"/>
      <c r="P314" s="235"/>
      <c r="Q314" s="235"/>
      <c r="R314" s="235"/>
      <c r="S314" s="233"/>
      <c r="T314" s="235"/>
      <c r="U314" s="235"/>
      <c r="V314" s="233"/>
      <c r="W314" s="235"/>
      <c r="X314" s="235"/>
      <c r="Y314" s="235"/>
      <c r="Z314" s="233"/>
      <c r="AA314" s="233"/>
      <c r="AB314" s="233"/>
      <c r="AC314" s="245"/>
      <c r="AD314" s="245"/>
      <c r="AE314" s="245"/>
    </row>
    <row r="315" spans="1:31" ht="15.75" customHeight="1">
      <c r="A315" s="232"/>
      <c r="B315" s="233"/>
      <c r="C315" s="232"/>
      <c r="D315" s="233"/>
      <c r="E315" s="233"/>
      <c r="F315" s="235"/>
      <c r="G315" s="233"/>
      <c r="H315" s="233"/>
      <c r="I315" s="235"/>
      <c r="J315" s="235"/>
      <c r="K315" s="235"/>
      <c r="L315" s="233"/>
      <c r="M315" s="233"/>
      <c r="N315" s="233"/>
      <c r="O315" s="235"/>
      <c r="P315" s="235"/>
      <c r="Q315" s="235"/>
      <c r="R315" s="235"/>
      <c r="S315" s="233"/>
      <c r="T315" s="235"/>
      <c r="U315" s="235"/>
      <c r="V315" s="233"/>
      <c r="W315" s="235"/>
      <c r="X315" s="235"/>
      <c r="Y315" s="235"/>
      <c r="Z315" s="233"/>
      <c r="AA315" s="233"/>
      <c r="AB315" s="233"/>
      <c r="AC315" s="245"/>
      <c r="AD315" s="245"/>
      <c r="AE315" s="245"/>
    </row>
    <row r="316" spans="1:31" ht="15.75" customHeight="1">
      <c r="A316" s="232"/>
      <c r="B316" s="233"/>
      <c r="C316" s="232"/>
      <c r="D316" s="233"/>
      <c r="E316" s="233"/>
      <c r="F316" s="235"/>
      <c r="G316" s="233"/>
      <c r="H316" s="233"/>
      <c r="I316" s="235"/>
      <c r="J316" s="235"/>
      <c r="K316" s="235"/>
      <c r="L316" s="233"/>
      <c r="M316" s="233"/>
      <c r="N316" s="233"/>
      <c r="O316" s="235"/>
      <c r="P316" s="235"/>
      <c r="Q316" s="235"/>
      <c r="R316" s="235"/>
      <c r="S316" s="233"/>
      <c r="T316" s="235"/>
      <c r="U316" s="235"/>
      <c r="V316" s="233"/>
      <c r="W316" s="235"/>
      <c r="X316" s="235"/>
      <c r="Y316" s="235"/>
      <c r="Z316" s="233"/>
      <c r="AA316" s="233"/>
      <c r="AB316" s="233"/>
      <c r="AC316" s="245"/>
      <c r="AD316" s="245"/>
      <c r="AE316" s="245"/>
    </row>
    <row r="317" spans="1:31" ht="15.75" customHeight="1">
      <c r="A317" s="232"/>
      <c r="B317" s="233"/>
      <c r="C317" s="232"/>
      <c r="D317" s="233"/>
      <c r="E317" s="233"/>
      <c r="F317" s="235"/>
      <c r="G317" s="233"/>
      <c r="H317" s="233"/>
      <c r="I317" s="235"/>
      <c r="J317" s="235"/>
      <c r="K317" s="235"/>
      <c r="L317" s="233"/>
      <c r="M317" s="233"/>
      <c r="N317" s="233"/>
      <c r="O317" s="235"/>
      <c r="P317" s="235"/>
      <c r="Q317" s="235"/>
      <c r="R317" s="235"/>
      <c r="S317" s="233"/>
      <c r="T317" s="235"/>
      <c r="U317" s="235"/>
      <c r="V317" s="233"/>
      <c r="W317" s="235"/>
      <c r="X317" s="235"/>
      <c r="Y317" s="235"/>
      <c r="Z317" s="233"/>
      <c r="AA317" s="233"/>
      <c r="AB317" s="233"/>
      <c r="AC317" s="245"/>
      <c r="AD317" s="245"/>
      <c r="AE317" s="245"/>
    </row>
    <row r="318" spans="1:31" ht="15.75" customHeight="1">
      <c r="A318" s="232"/>
      <c r="B318" s="233"/>
      <c r="C318" s="232"/>
      <c r="D318" s="233"/>
      <c r="E318" s="233"/>
      <c r="F318" s="235"/>
      <c r="G318" s="233"/>
      <c r="H318" s="233"/>
      <c r="I318" s="235"/>
      <c r="J318" s="235"/>
      <c r="K318" s="235"/>
      <c r="L318" s="233"/>
      <c r="M318" s="233"/>
      <c r="N318" s="233"/>
      <c r="O318" s="235"/>
      <c r="P318" s="235"/>
      <c r="Q318" s="235"/>
      <c r="R318" s="235"/>
      <c r="S318" s="233"/>
      <c r="T318" s="235"/>
      <c r="U318" s="235"/>
      <c r="V318" s="233"/>
      <c r="W318" s="235"/>
      <c r="X318" s="235"/>
      <c r="Y318" s="235"/>
      <c r="Z318" s="233"/>
      <c r="AA318" s="233"/>
      <c r="AB318" s="233"/>
      <c r="AC318" s="245"/>
      <c r="AD318" s="245"/>
      <c r="AE318" s="245"/>
    </row>
    <row r="319" spans="1:31" ht="15.75" customHeight="1">
      <c r="A319" s="232"/>
      <c r="B319" s="233"/>
      <c r="C319" s="232"/>
      <c r="D319" s="233"/>
      <c r="E319" s="233"/>
      <c r="F319" s="235"/>
      <c r="G319" s="233"/>
      <c r="H319" s="233"/>
      <c r="I319" s="235"/>
      <c r="J319" s="235"/>
      <c r="K319" s="235"/>
      <c r="L319" s="233"/>
      <c r="M319" s="233"/>
      <c r="N319" s="233"/>
      <c r="O319" s="235"/>
      <c r="P319" s="235"/>
      <c r="Q319" s="235"/>
      <c r="R319" s="235"/>
      <c r="S319" s="233"/>
      <c r="T319" s="235"/>
      <c r="U319" s="235"/>
      <c r="V319" s="233"/>
      <c r="W319" s="235"/>
      <c r="X319" s="235"/>
      <c r="Y319" s="235"/>
      <c r="Z319" s="233"/>
      <c r="AA319" s="233"/>
      <c r="AB319" s="233"/>
      <c r="AC319" s="245"/>
      <c r="AD319" s="245"/>
      <c r="AE319" s="245"/>
    </row>
    <row r="320" spans="1:31" ht="15.75" customHeight="1">
      <c r="A320" s="232"/>
      <c r="B320" s="233"/>
      <c r="C320" s="232"/>
      <c r="D320" s="233"/>
      <c r="E320" s="233"/>
      <c r="F320" s="235"/>
      <c r="G320" s="233"/>
      <c r="H320" s="233"/>
      <c r="I320" s="235"/>
      <c r="J320" s="235"/>
      <c r="K320" s="235"/>
      <c r="L320" s="233"/>
      <c r="M320" s="233"/>
      <c r="N320" s="233"/>
      <c r="O320" s="235"/>
      <c r="P320" s="235"/>
      <c r="Q320" s="235"/>
      <c r="R320" s="235"/>
      <c r="S320" s="233"/>
      <c r="T320" s="235"/>
      <c r="U320" s="235"/>
      <c r="V320" s="233"/>
      <c r="W320" s="235"/>
      <c r="X320" s="235"/>
      <c r="Y320" s="235"/>
      <c r="Z320" s="233"/>
      <c r="AA320" s="233"/>
      <c r="AB320" s="233"/>
      <c r="AC320" s="245"/>
      <c r="AD320" s="245"/>
      <c r="AE320" s="245"/>
    </row>
    <row r="321" spans="1:31" ht="15.75" customHeight="1">
      <c r="A321" s="232"/>
      <c r="B321" s="233"/>
      <c r="C321" s="232"/>
      <c r="D321" s="233"/>
      <c r="E321" s="233"/>
      <c r="F321" s="235"/>
      <c r="G321" s="233"/>
      <c r="H321" s="233"/>
      <c r="I321" s="235"/>
      <c r="J321" s="235"/>
      <c r="K321" s="235"/>
      <c r="L321" s="233"/>
      <c r="M321" s="233"/>
      <c r="N321" s="233"/>
      <c r="O321" s="235"/>
      <c r="P321" s="235"/>
      <c r="Q321" s="235"/>
      <c r="R321" s="235"/>
      <c r="S321" s="233"/>
      <c r="T321" s="235"/>
      <c r="U321" s="235"/>
      <c r="V321" s="233"/>
      <c r="W321" s="235"/>
      <c r="X321" s="235"/>
      <c r="Y321" s="235"/>
      <c r="Z321" s="233"/>
      <c r="AA321" s="233"/>
      <c r="AB321" s="233"/>
      <c r="AC321" s="245"/>
      <c r="AD321" s="245"/>
      <c r="AE321" s="245"/>
    </row>
    <row r="322" spans="1:31" ht="15.75" customHeight="1">
      <c r="A322" s="232"/>
      <c r="B322" s="233"/>
      <c r="C322" s="232"/>
      <c r="D322" s="233"/>
      <c r="E322" s="233"/>
      <c r="F322" s="235"/>
      <c r="G322" s="233"/>
      <c r="H322" s="233"/>
      <c r="I322" s="235"/>
      <c r="J322" s="235"/>
      <c r="K322" s="235"/>
      <c r="L322" s="233"/>
      <c r="M322" s="233"/>
      <c r="N322" s="233"/>
      <c r="O322" s="235"/>
      <c r="P322" s="235"/>
      <c r="Q322" s="235"/>
      <c r="R322" s="235"/>
      <c r="S322" s="233"/>
      <c r="T322" s="235"/>
      <c r="U322" s="235"/>
      <c r="V322" s="233"/>
      <c r="W322" s="235"/>
      <c r="X322" s="235"/>
      <c r="Y322" s="235"/>
      <c r="Z322" s="233"/>
      <c r="AA322" s="233"/>
      <c r="AB322" s="233"/>
      <c r="AC322" s="245"/>
      <c r="AD322" s="245"/>
      <c r="AE322" s="245"/>
    </row>
    <row r="323" spans="1:31" ht="15.75" customHeight="1">
      <c r="A323" s="232"/>
      <c r="B323" s="233"/>
      <c r="C323" s="232"/>
      <c r="D323" s="233"/>
      <c r="E323" s="233"/>
      <c r="F323" s="235"/>
      <c r="G323" s="233"/>
      <c r="H323" s="233"/>
      <c r="I323" s="235"/>
      <c r="J323" s="235"/>
      <c r="K323" s="235"/>
      <c r="L323" s="233"/>
      <c r="M323" s="233"/>
      <c r="N323" s="233"/>
      <c r="O323" s="235"/>
      <c r="P323" s="235"/>
      <c r="Q323" s="235"/>
      <c r="R323" s="235"/>
      <c r="S323" s="233"/>
      <c r="T323" s="235"/>
      <c r="U323" s="235"/>
      <c r="V323" s="233"/>
      <c r="W323" s="235"/>
      <c r="X323" s="235"/>
      <c r="Y323" s="235"/>
      <c r="Z323" s="233"/>
      <c r="AA323" s="233"/>
      <c r="AB323" s="233"/>
      <c r="AC323" s="245"/>
      <c r="AD323" s="245"/>
      <c r="AE323" s="245"/>
    </row>
    <row r="324" spans="1:31" ht="15.75" customHeight="1">
      <c r="A324" s="232"/>
      <c r="B324" s="233"/>
      <c r="C324" s="232"/>
      <c r="D324" s="233"/>
      <c r="E324" s="233"/>
      <c r="F324" s="235"/>
      <c r="G324" s="233"/>
      <c r="H324" s="233"/>
      <c r="I324" s="235"/>
      <c r="J324" s="235"/>
      <c r="K324" s="235"/>
      <c r="L324" s="233"/>
      <c r="M324" s="233"/>
      <c r="N324" s="233"/>
      <c r="O324" s="235"/>
      <c r="P324" s="235"/>
      <c r="Q324" s="235"/>
      <c r="R324" s="235"/>
      <c r="S324" s="233"/>
      <c r="T324" s="235"/>
      <c r="U324" s="235"/>
      <c r="V324" s="233"/>
      <c r="W324" s="235"/>
      <c r="X324" s="235"/>
      <c r="Y324" s="235"/>
      <c r="Z324" s="233"/>
      <c r="AA324" s="233"/>
      <c r="AB324" s="233"/>
      <c r="AC324" s="245"/>
      <c r="AD324" s="245"/>
      <c r="AE324" s="245"/>
    </row>
    <row r="325" spans="1:31" ht="15.75" customHeight="1">
      <c r="A325" s="232"/>
      <c r="B325" s="233"/>
      <c r="C325" s="232"/>
      <c r="D325" s="233"/>
      <c r="E325" s="233"/>
      <c r="F325" s="235"/>
      <c r="G325" s="233"/>
      <c r="H325" s="233"/>
      <c r="I325" s="235"/>
      <c r="J325" s="235"/>
      <c r="K325" s="235"/>
      <c r="L325" s="233"/>
      <c r="M325" s="233"/>
      <c r="N325" s="233"/>
      <c r="O325" s="235"/>
      <c r="P325" s="235"/>
      <c r="Q325" s="235"/>
      <c r="R325" s="235"/>
      <c r="S325" s="233"/>
      <c r="T325" s="235"/>
      <c r="U325" s="235"/>
      <c r="V325" s="233"/>
      <c r="W325" s="235"/>
      <c r="X325" s="235"/>
      <c r="Y325" s="235"/>
      <c r="Z325" s="233"/>
      <c r="AA325" s="233"/>
      <c r="AB325" s="233"/>
      <c r="AC325" s="245"/>
      <c r="AD325" s="245"/>
      <c r="AE325" s="245"/>
    </row>
    <row r="326" spans="1:31" ht="15.75" customHeight="1">
      <c r="A326" s="232"/>
      <c r="B326" s="233"/>
      <c r="C326" s="232"/>
      <c r="D326" s="233"/>
      <c r="E326" s="233"/>
      <c r="F326" s="235"/>
      <c r="G326" s="233"/>
      <c r="H326" s="233"/>
      <c r="I326" s="235"/>
      <c r="J326" s="235"/>
      <c r="K326" s="235"/>
      <c r="L326" s="233"/>
      <c r="M326" s="233"/>
      <c r="N326" s="233"/>
      <c r="O326" s="235"/>
      <c r="P326" s="235"/>
      <c r="Q326" s="235"/>
      <c r="R326" s="235"/>
      <c r="S326" s="233"/>
      <c r="T326" s="235"/>
      <c r="U326" s="235"/>
      <c r="V326" s="233"/>
      <c r="W326" s="235"/>
      <c r="X326" s="235"/>
      <c r="Y326" s="235"/>
      <c r="Z326" s="233"/>
      <c r="AA326" s="233"/>
      <c r="AB326" s="233"/>
      <c r="AC326" s="245"/>
      <c r="AD326" s="245"/>
      <c r="AE326" s="245"/>
    </row>
    <row r="327" spans="1:31" ht="15.75" customHeight="1">
      <c r="A327" s="232"/>
      <c r="B327" s="233"/>
      <c r="C327" s="232"/>
      <c r="D327" s="233"/>
      <c r="E327" s="233"/>
      <c r="F327" s="235"/>
      <c r="G327" s="233"/>
      <c r="H327" s="233"/>
      <c r="I327" s="235"/>
      <c r="J327" s="235"/>
      <c r="K327" s="235"/>
      <c r="L327" s="233"/>
      <c r="M327" s="233"/>
      <c r="N327" s="233"/>
      <c r="O327" s="235"/>
      <c r="P327" s="235"/>
      <c r="Q327" s="235"/>
      <c r="R327" s="235"/>
      <c r="S327" s="233"/>
      <c r="T327" s="235"/>
      <c r="U327" s="235"/>
      <c r="V327" s="233"/>
      <c r="W327" s="235"/>
      <c r="X327" s="235"/>
      <c r="Y327" s="235"/>
      <c r="Z327" s="233"/>
      <c r="AA327" s="233"/>
      <c r="AB327" s="233"/>
      <c r="AC327" s="245"/>
      <c r="AD327" s="245"/>
      <c r="AE327" s="245"/>
    </row>
    <row r="328" spans="1:31" ht="15.75" customHeight="1">
      <c r="A328" s="232"/>
      <c r="B328" s="233"/>
      <c r="C328" s="232"/>
      <c r="D328" s="233"/>
      <c r="E328" s="233"/>
      <c r="F328" s="235"/>
      <c r="G328" s="233"/>
      <c r="H328" s="233"/>
      <c r="I328" s="235"/>
      <c r="J328" s="235"/>
      <c r="K328" s="235"/>
      <c r="L328" s="233"/>
      <c r="M328" s="233"/>
      <c r="N328" s="233"/>
      <c r="O328" s="235"/>
      <c r="P328" s="235"/>
      <c r="Q328" s="235"/>
      <c r="R328" s="235"/>
      <c r="S328" s="233"/>
      <c r="T328" s="235"/>
      <c r="U328" s="235"/>
      <c r="V328" s="233"/>
      <c r="W328" s="235"/>
      <c r="X328" s="235"/>
      <c r="Y328" s="235"/>
      <c r="Z328" s="233"/>
      <c r="AA328" s="233"/>
      <c r="AB328" s="233"/>
      <c r="AC328" s="245"/>
      <c r="AD328" s="245"/>
      <c r="AE328" s="245"/>
    </row>
    <row r="329" spans="1:31" ht="15.75" customHeight="1">
      <c r="A329" s="232"/>
      <c r="B329" s="233"/>
      <c r="C329" s="232"/>
      <c r="D329" s="233"/>
      <c r="E329" s="233"/>
      <c r="F329" s="235"/>
      <c r="G329" s="233"/>
      <c r="H329" s="233"/>
      <c r="I329" s="235"/>
      <c r="J329" s="235"/>
      <c r="K329" s="235"/>
      <c r="L329" s="233"/>
      <c r="M329" s="233"/>
      <c r="N329" s="233"/>
      <c r="O329" s="235"/>
      <c r="P329" s="235"/>
      <c r="Q329" s="235"/>
      <c r="R329" s="235"/>
      <c r="S329" s="233"/>
      <c r="T329" s="235"/>
      <c r="U329" s="235"/>
      <c r="V329" s="233"/>
      <c r="W329" s="235"/>
      <c r="X329" s="235"/>
      <c r="Y329" s="235"/>
      <c r="Z329" s="233"/>
      <c r="AA329" s="233"/>
      <c r="AB329" s="233"/>
      <c r="AC329" s="245"/>
      <c r="AD329" s="245"/>
      <c r="AE329" s="245"/>
    </row>
    <row r="330" spans="1:31" ht="15.75" customHeight="1">
      <c r="A330" s="232"/>
      <c r="B330" s="233"/>
      <c r="C330" s="232"/>
      <c r="D330" s="233"/>
      <c r="E330" s="233"/>
      <c r="F330" s="235"/>
      <c r="G330" s="233"/>
      <c r="H330" s="233"/>
      <c r="I330" s="235"/>
      <c r="J330" s="235"/>
      <c r="K330" s="235"/>
      <c r="L330" s="233"/>
      <c r="M330" s="233"/>
      <c r="N330" s="233"/>
      <c r="O330" s="235"/>
      <c r="P330" s="235"/>
      <c r="Q330" s="235"/>
      <c r="R330" s="235"/>
      <c r="S330" s="233"/>
      <c r="T330" s="235"/>
      <c r="U330" s="235"/>
      <c r="V330" s="233"/>
      <c r="W330" s="235"/>
      <c r="X330" s="235"/>
      <c r="Y330" s="235"/>
      <c r="Z330" s="233"/>
      <c r="AA330" s="233"/>
      <c r="AB330" s="233"/>
      <c r="AC330" s="245"/>
      <c r="AD330" s="245"/>
      <c r="AE330" s="245"/>
    </row>
    <row r="331" spans="1:31" ht="15.75" customHeight="1">
      <c r="A331" s="232"/>
      <c r="B331" s="233"/>
      <c r="C331" s="232"/>
      <c r="D331" s="233"/>
      <c r="E331" s="233"/>
      <c r="F331" s="235"/>
      <c r="G331" s="233"/>
      <c r="H331" s="233"/>
      <c r="I331" s="235"/>
      <c r="J331" s="235"/>
      <c r="K331" s="235"/>
      <c r="L331" s="233"/>
      <c r="M331" s="233"/>
      <c r="N331" s="233"/>
      <c r="O331" s="235"/>
      <c r="P331" s="235"/>
      <c r="Q331" s="235"/>
      <c r="R331" s="235"/>
      <c r="S331" s="233"/>
      <c r="T331" s="235"/>
      <c r="U331" s="235"/>
      <c r="V331" s="233"/>
      <c r="W331" s="235"/>
      <c r="X331" s="235"/>
      <c r="Y331" s="235"/>
      <c r="Z331" s="233"/>
      <c r="AA331" s="233"/>
      <c r="AB331" s="233"/>
      <c r="AC331" s="245"/>
      <c r="AD331" s="245"/>
      <c r="AE331" s="245"/>
    </row>
    <row r="332" spans="1:31" ht="15.75" customHeight="1">
      <c r="A332" s="232"/>
      <c r="B332" s="233"/>
      <c r="C332" s="232"/>
      <c r="D332" s="233"/>
      <c r="E332" s="233"/>
      <c r="F332" s="235"/>
      <c r="G332" s="233"/>
      <c r="H332" s="233"/>
      <c r="I332" s="235"/>
      <c r="J332" s="235"/>
      <c r="K332" s="235"/>
      <c r="L332" s="233"/>
      <c r="M332" s="233"/>
      <c r="N332" s="233"/>
      <c r="O332" s="235"/>
      <c r="P332" s="235"/>
      <c r="Q332" s="235"/>
      <c r="R332" s="235"/>
      <c r="S332" s="233"/>
      <c r="T332" s="235"/>
      <c r="U332" s="235"/>
      <c r="V332" s="233"/>
      <c r="W332" s="235"/>
      <c r="X332" s="235"/>
      <c r="Y332" s="235"/>
      <c r="Z332" s="233"/>
      <c r="AA332" s="233"/>
      <c r="AB332" s="233"/>
      <c r="AC332" s="245"/>
      <c r="AD332" s="245"/>
      <c r="AE332" s="245"/>
    </row>
    <row r="333" spans="1:31" ht="15.75" customHeight="1">
      <c r="A333" s="232"/>
      <c r="B333" s="233"/>
      <c r="C333" s="232"/>
      <c r="D333" s="233"/>
      <c r="E333" s="233"/>
      <c r="F333" s="235"/>
      <c r="G333" s="233"/>
      <c r="H333" s="233"/>
      <c r="I333" s="235"/>
      <c r="J333" s="235"/>
      <c r="K333" s="235"/>
      <c r="L333" s="233"/>
      <c r="M333" s="233"/>
      <c r="N333" s="233"/>
      <c r="O333" s="235"/>
      <c r="P333" s="235"/>
      <c r="Q333" s="235"/>
      <c r="R333" s="235"/>
      <c r="S333" s="233"/>
      <c r="T333" s="235"/>
      <c r="U333" s="235"/>
      <c r="V333" s="233"/>
      <c r="W333" s="235"/>
      <c r="X333" s="235"/>
      <c r="Y333" s="235"/>
      <c r="Z333" s="233"/>
      <c r="AA333" s="233"/>
      <c r="AB333" s="233"/>
      <c r="AC333" s="245"/>
      <c r="AD333" s="245"/>
      <c r="AE333" s="245"/>
    </row>
    <row r="334" spans="1:31" ht="15.75" customHeight="1">
      <c r="A334" s="232"/>
      <c r="B334" s="233"/>
      <c r="C334" s="232"/>
      <c r="D334" s="233"/>
      <c r="E334" s="233"/>
      <c r="F334" s="235"/>
      <c r="G334" s="233"/>
      <c r="H334" s="233"/>
      <c r="I334" s="235"/>
      <c r="J334" s="235"/>
      <c r="K334" s="235"/>
      <c r="L334" s="233"/>
      <c r="M334" s="233"/>
      <c r="N334" s="233"/>
      <c r="O334" s="235"/>
      <c r="P334" s="235"/>
      <c r="Q334" s="235"/>
      <c r="R334" s="235"/>
      <c r="S334" s="233"/>
      <c r="T334" s="235"/>
      <c r="U334" s="235"/>
      <c r="V334" s="233"/>
      <c r="W334" s="235"/>
      <c r="X334" s="235"/>
      <c r="Y334" s="235"/>
      <c r="Z334" s="233"/>
      <c r="AA334" s="233"/>
      <c r="AB334" s="233"/>
      <c r="AC334" s="245"/>
      <c r="AD334" s="245"/>
      <c r="AE334" s="245"/>
    </row>
    <row r="335" spans="1:31" ht="15.75" customHeight="1">
      <c r="A335" s="232"/>
      <c r="B335" s="233"/>
      <c r="C335" s="232"/>
      <c r="D335" s="233"/>
      <c r="E335" s="233"/>
      <c r="F335" s="235"/>
      <c r="G335" s="233"/>
      <c r="H335" s="233"/>
      <c r="I335" s="235"/>
      <c r="J335" s="235"/>
      <c r="K335" s="235"/>
      <c r="L335" s="233"/>
      <c r="M335" s="233"/>
      <c r="N335" s="233"/>
      <c r="O335" s="235"/>
      <c r="P335" s="235"/>
      <c r="Q335" s="235"/>
      <c r="R335" s="235"/>
      <c r="S335" s="233"/>
      <c r="T335" s="235"/>
      <c r="U335" s="235"/>
      <c r="V335" s="233"/>
      <c r="W335" s="235"/>
      <c r="X335" s="235"/>
      <c r="Y335" s="235"/>
      <c r="Z335" s="233"/>
      <c r="AA335" s="233"/>
      <c r="AB335" s="233"/>
      <c r="AC335" s="245"/>
      <c r="AD335" s="245"/>
      <c r="AE335" s="245"/>
    </row>
    <row r="336" spans="1:31" ht="15.75" customHeight="1">
      <c r="A336" s="232"/>
      <c r="B336" s="233"/>
      <c r="C336" s="232"/>
      <c r="D336" s="233"/>
      <c r="E336" s="233"/>
      <c r="F336" s="235"/>
      <c r="G336" s="233"/>
      <c r="H336" s="233"/>
      <c r="I336" s="235"/>
      <c r="J336" s="235"/>
      <c r="K336" s="235"/>
      <c r="L336" s="233"/>
      <c r="M336" s="233"/>
      <c r="N336" s="233"/>
      <c r="O336" s="235"/>
      <c r="P336" s="235"/>
      <c r="Q336" s="235"/>
      <c r="R336" s="235"/>
      <c r="S336" s="233"/>
      <c r="T336" s="235"/>
      <c r="U336" s="235"/>
      <c r="V336" s="233"/>
      <c r="W336" s="235"/>
      <c r="X336" s="235"/>
      <c r="Y336" s="235"/>
      <c r="Z336" s="233"/>
      <c r="AA336" s="233"/>
      <c r="AB336" s="233"/>
      <c r="AC336" s="245"/>
      <c r="AD336" s="245"/>
      <c r="AE336" s="245"/>
    </row>
    <row r="337" spans="1:31" ht="15.75" customHeight="1">
      <c r="A337" s="232"/>
      <c r="B337" s="233"/>
      <c r="C337" s="232"/>
      <c r="D337" s="233"/>
      <c r="E337" s="233"/>
      <c r="F337" s="235"/>
      <c r="G337" s="233"/>
      <c r="H337" s="233"/>
      <c r="I337" s="235"/>
      <c r="J337" s="235"/>
      <c r="K337" s="235"/>
      <c r="L337" s="233"/>
      <c r="M337" s="233"/>
      <c r="N337" s="233"/>
      <c r="O337" s="235"/>
      <c r="P337" s="235"/>
      <c r="Q337" s="235"/>
      <c r="R337" s="235"/>
      <c r="S337" s="233"/>
      <c r="T337" s="235"/>
      <c r="U337" s="235"/>
      <c r="V337" s="233"/>
      <c r="W337" s="235"/>
      <c r="X337" s="235"/>
      <c r="Y337" s="235"/>
      <c r="Z337" s="233"/>
      <c r="AA337" s="233"/>
      <c r="AB337" s="233"/>
      <c r="AC337" s="245"/>
      <c r="AD337" s="245"/>
      <c r="AE337" s="245"/>
    </row>
    <row r="338" spans="1:31" ht="15.75" customHeight="1">
      <c r="A338" s="232"/>
      <c r="B338" s="233"/>
      <c r="C338" s="232"/>
      <c r="D338" s="233"/>
      <c r="E338" s="233"/>
      <c r="F338" s="235"/>
      <c r="G338" s="233"/>
      <c r="H338" s="233"/>
      <c r="I338" s="235"/>
      <c r="J338" s="235"/>
      <c r="K338" s="235"/>
      <c r="L338" s="233"/>
      <c r="M338" s="233"/>
      <c r="N338" s="233"/>
      <c r="O338" s="235"/>
      <c r="P338" s="235"/>
      <c r="Q338" s="235"/>
      <c r="R338" s="235"/>
      <c r="S338" s="233"/>
      <c r="T338" s="235"/>
      <c r="U338" s="235"/>
      <c r="V338" s="233"/>
      <c r="W338" s="235"/>
      <c r="X338" s="235"/>
      <c r="Y338" s="235"/>
      <c r="Z338" s="233"/>
      <c r="AA338" s="233"/>
      <c r="AB338" s="233"/>
      <c r="AC338" s="245"/>
      <c r="AD338" s="245"/>
      <c r="AE338" s="245"/>
    </row>
    <row r="339" spans="1:31" ht="15.75" customHeight="1">
      <c r="A339" s="232"/>
      <c r="B339" s="233"/>
      <c r="C339" s="232"/>
      <c r="D339" s="233"/>
      <c r="E339" s="233"/>
      <c r="F339" s="235"/>
      <c r="G339" s="233"/>
      <c r="H339" s="233"/>
      <c r="I339" s="235"/>
      <c r="J339" s="235"/>
      <c r="K339" s="235"/>
      <c r="L339" s="233"/>
      <c r="M339" s="233"/>
      <c r="N339" s="233"/>
      <c r="O339" s="235"/>
      <c r="P339" s="235"/>
      <c r="Q339" s="235"/>
      <c r="R339" s="235"/>
      <c r="S339" s="233"/>
      <c r="T339" s="235"/>
      <c r="U339" s="235"/>
      <c r="V339" s="233"/>
      <c r="W339" s="235"/>
      <c r="X339" s="235"/>
      <c r="Y339" s="235"/>
      <c r="Z339" s="233"/>
      <c r="AA339" s="233"/>
      <c r="AB339" s="233"/>
      <c r="AC339" s="245"/>
      <c r="AD339" s="245"/>
      <c r="AE339" s="245"/>
    </row>
    <row r="340" spans="1:31" ht="15.75" customHeight="1">
      <c r="A340" s="232"/>
      <c r="B340" s="233"/>
      <c r="C340" s="232"/>
      <c r="D340" s="233"/>
      <c r="E340" s="233"/>
      <c r="F340" s="235"/>
      <c r="G340" s="233"/>
      <c r="H340" s="233"/>
      <c r="I340" s="235"/>
      <c r="J340" s="235"/>
      <c r="K340" s="235"/>
      <c r="L340" s="233"/>
      <c r="M340" s="233"/>
      <c r="N340" s="233"/>
      <c r="O340" s="235"/>
      <c r="P340" s="235"/>
      <c r="Q340" s="235"/>
      <c r="R340" s="235"/>
      <c r="S340" s="233"/>
      <c r="T340" s="235"/>
      <c r="U340" s="235"/>
      <c r="V340" s="233"/>
      <c r="W340" s="235"/>
      <c r="X340" s="235"/>
      <c r="Y340" s="235"/>
      <c r="Z340" s="233"/>
      <c r="AA340" s="233"/>
      <c r="AB340" s="233"/>
      <c r="AC340" s="245"/>
      <c r="AD340" s="245"/>
      <c r="AE340" s="245"/>
    </row>
    <row r="341" spans="1:31" ht="15.75" customHeight="1">
      <c r="A341" s="232"/>
      <c r="B341" s="233"/>
      <c r="C341" s="232"/>
      <c r="D341" s="233"/>
      <c r="E341" s="233"/>
      <c r="F341" s="235"/>
      <c r="G341" s="233"/>
      <c r="H341" s="233"/>
      <c r="I341" s="235"/>
      <c r="J341" s="235"/>
      <c r="K341" s="235"/>
      <c r="L341" s="233"/>
      <c r="M341" s="233"/>
      <c r="N341" s="233"/>
      <c r="O341" s="235"/>
      <c r="P341" s="235"/>
      <c r="Q341" s="235"/>
      <c r="R341" s="235"/>
      <c r="S341" s="233"/>
      <c r="T341" s="235"/>
      <c r="U341" s="235"/>
      <c r="V341" s="233"/>
      <c r="W341" s="235"/>
      <c r="X341" s="235"/>
      <c r="Y341" s="235"/>
      <c r="Z341" s="233"/>
      <c r="AA341" s="233"/>
      <c r="AB341" s="233"/>
      <c r="AC341" s="245"/>
      <c r="AD341" s="245"/>
      <c r="AE341" s="245"/>
    </row>
    <row r="342" spans="1:31" ht="15.75" customHeight="1">
      <c r="A342" s="232"/>
      <c r="B342" s="233"/>
      <c r="C342" s="232"/>
      <c r="D342" s="233"/>
      <c r="E342" s="233"/>
      <c r="F342" s="235"/>
      <c r="G342" s="233"/>
      <c r="H342" s="233"/>
      <c r="I342" s="235"/>
      <c r="J342" s="235"/>
      <c r="K342" s="235"/>
      <c r="L342" s="233"/>
      <c r="M342" s="233"/>
      <c r="N342" s="233"/>
      <c r="O342" s="235"/>
      <c r="P342" s="235"/>
      <c r="Q342" s="235"/>
      <c r="R342" s="235"/>
      <c r="S342" s="233"/>
      <c r="T342" s="235"/>
      <c r="U342" s="235"/>
      <c r="V342" s="233"/>
      <c r="W342" s="235"/>
      <c r="X342" s="235"/>
      <c r="Y342" s="235"/>
      <c r="Z342" s="233"/>
      <c r="AA342" s="233"/>
      <c r="AB342" s="233"/>
      <c r="AC342" s="245"/>
      <c r="AD342" s="245"/>
      <c r="AE342" s="245"/>
    </row>
    <row r="343" spans="1:31" ht="15.75" customHeight="1">
      <c r="A343" s="232"/>
      <c r="B343" s="233"/>
      <c r="C343" s="232"/>
      <c r="D343" s="233"/>
      <c r="E343" s="233"/>
      <c r="F343" s="235"/>
      <c r="G343" s="233"/>
      <c r="H343" s="233"/>
      <c r="I343" s="235"/>
      <c r="J343" s="235"/>
      <c r="K343" s="235"/>
      <c r="L343" s="233"/>
      <c r="M343" s="233"/>
      <c r="N343" s="233"/>
      <c r="O343" s="235"/>
      <c r="P343" s="235"/>
      <c r="Q343" s="235"/>
      <c r="R343" s="235"/>
      <c r="S343" s="233"/>
      <c r="T343" s="235"/>
      <c r="U343" s="235"/>
      <c r="V343" s="233"/>
      <c r="W343" s="235"/>
      <c r="X343" s="235"/>
      <c r="Y343" s="235"/>
      <c r="Z343" s="233"/>
      <c r="AA343" s="233"/>
      <c r="AB343" s="233"/>
      <c r="AC343" s="245"/>
      <c r="AD343" s="245"/>
      <c r="AE343" s="245"/>
    </row>
    <row r="344" spans="1:31" ht="15.75" customHeight="1">
      <c r="A344" s="232"/>
      <c r="B344" s="233"/>
      <c r="C344" s="232"/>
      <c r="D344" s="233"/>
      <c r="E344" s="233"/>
      <c r="F344" s="235"/>
      <c r="G344" s="233"/>
      <c r="H344" s="233"/>
      <c r="I344" s="235"/>
      <c r="J344" s="235"/>
      <c r="K344" s="235"/>
      <c r="L344" s="233"/>
      <c r="M344" s="233"/>
      <c r="N344" s="233"/>
      <c r="O344" s="235"/>
      <c r="P344" s="235"/>
      <c r="Q344" s="235"/>
      <c r="R344" s="235"/>
      <c r="S344" s="233"/>
      <c r="T344" s="235"/>
      <c r="U344" s="235"/>
      <c r="V344" s="233"/>
      <c r="W344" s="235"/>
      <c r="X344" s="235"/>
      <c r="Y344" s="235"/>
      <c r="Z344" s="233"/>
      <c r="AA344" s="233"/>
      <c r="AB344" s="233"/>
      <c r="AC344" s="245"/>
      <c r="AD344" s="245"/>
      <c r="AE344" s="245"/>
    </row>
    <row r="345" spans="1:31" ht="15.75" customHeight="1">
      <c r="A345" s="232"/>
      <c r="B345" s="233"/>
      <c r="C345" s="232"/>
      <c r="D345" s="233"/>
      <c r="E345" s="233"/>
      <c r="F345" s="235"/>
      <c r="G345" s="233"/>
      <c r="H345" s="233"/>
      <c r="I345" s="235"/>
      <c r="J345" s="235"/>
      <c r="K345" s="235"/>
      <c r="L345" s="233"/>
      <c r="M345" s="233"/>
      <c r="N345" s="233"/>
      <c r="O345" s="235"/>
      <c r="P345" s="235"/>
      <c r="Q345" s="235"/>
      <c r="R345" s="235"/>
      <c r="S345" s="233"/>
      <c r="T345" s="235"/>
      <c r="U345" s="235"/>
      <c r="V345" s="233"/>
      <c r="W345" s="235"/>
      <c r="X345" s="235"/>
      <c r="Y345" s="235"/>
      <c r="Z345" s="233"/>
      <c r="AA345" s="233"/>
      <c r="AB345" s="233"/>
      <c r="AC345" s="245"/>
      <c r="AD345" s="245"/>
      <c r="AE345" s="245"/>
    </row>
    <row r="346" spans="1:31" ht="15.75" customHeight="1">
      <c r="A346" s="232"/>
      <c r="B346" s="233"/>
      <c r="C346" s="232"/>
      <c r="D346" s="233"/>
      <c r="E346" s="233"/>
      <c r="F346" s="235"/>
      <c r="G346" s="233"/>
      <c r="H346" s="233"/>
      <c r="I346" s="235"/>
      <c r="J346" s="235"/>
      <c r="K346" s="235"/>
      <c r="L346" s="233"/>
      <c r="M346" s="233"/>
      <c r="N346" s="233"/>
      <c r="O346" s="235"/>
      <c r="P346" s="235"/>
      <c r="Q346" s="235"/>
      <c r="R346" s="235"/>
      <c r="S346" s="233"/>
      <c r="T346" s="235"/>
      <c r="U346" s="235"/>
      <c r="V346" s="233"/>
      <c r="W346" s="235"/>
      <c r="X346" s="235"/>
      <c r="Y346" s="235"/>
      <c r="Z346" s="233"/>
      <c r="AA346" s="233"/>
      <c r="AB346" s="233"/>
      <c r="AC346" s="245"/>
      <c r="AD346" s="245"/>
      <c r="AE346" s="245"/>
    </row>
    <row r="347" spans="1:31" ht="15.75" customHeight="1">
      <c r="A347" s="232"/>
      <c r="B347" s="233"/>
      <c r="C347" s="232"/>
      <c r="D347" s="233"/>
      <c r="E347" s="233"/>
      <c r="F347" s="235"/>
      <c r="G347" s="233"/>
      <c r="H347" s="233"/>
      <c r="I347" s="235"/>
      <c r="J347" s="235"/>
      <c r="K347" s="235"/>
      <c r="L347" s="233"/>
      <c r="M347" s="233"/>
      <c r="N347" s="233"/>
      <c r="O347" s="235"/>
      <c r="P347" s="235"/>
      <c r="Q347" s="235"/>
      <c r="R347" s="235"/>
      <c r="S347" s="233"/>
      <c r="T347" s="235"/>
      <c r="U347" s="235"/>
      <c r="V347" s="233"/>
      <c r="W347" s="235"/>
      <c r="X347" s="235"/>
      <c r="Y347" s="235"/>
      <c r="Z347" s="233"/>
      <c r="AA347" s="233"/>
      <c r="AB347" s="233"/>
      <c r="AC347" s="245"/>
      <c r="AD347" s="245"/>
      <c r="AE347" s="245"/>
    </row>
    <row r="348" spans="1:31" ht="15.75" customHeight="1">
      <c r="A348" s="232"/>
      <c r="B348" s="233"/>
      <c r="C348" s="232"/>
      <c r="D348" s="233"/>
      <c r="E348" s="233"/>
      <c r="F348" s="235"/>
      <c r="G348" s="233"/>
      <c r="H348" s="233"/>
      <c r="I348" s="235"/>
      <c r="J348" s="235"/>
      <c r="K348" s="235"/>
      <c r="L348" s="233"/>
      <c r="M348" s="233"/>
      <c r="N348" s="233"/>
      <c r="O348" s="235"/>
      <c r="P348" s="235"/>
      <c r="Q348" s="235"/>
      <c r="R348" s="235"/>
      <c r="S348" s="233"/>
      <c r="T348" s="235"/>
      <c r="U348" s="235"/>
      <c r="V348" s="233"/>
      <c r="W348" s="235"/>
      <c r="X348" s="235"/>
      <c r="Y348" s="235"/>
      <c r="Z348" s="233"/>
      <c r="AA348" s="233"/>
      <c r="AB348" s="233"/>
      <c r="AC348" s="245"/>
      <c r="AD348" s="245"/>
      <c r="AE348" s="245"/>
    </row>
    <row r="349" spans="1:31" ht="15.75" customHeight="1">
      <c r="A349" s="232"/>
      <c r="B349" s="233"/>
      <c r="C349" s="232"/>
      <c r="D349" s="233"/>
      <c r="E349" s="233"/>
      <c r="F349" s="235"/>
      <c r="G349" s="233"/>
      <c r="H349" s="233"/>
      <c r="I349" s="235"/>
      <c r="J349" s="235"/>
      <c r="K349" s="235"/>
      <c r="L349" s="233"/>
      <c r="M349" s="233"/>
      <c r="N349" s="233"/>
      <c r="O349" s="235"/>
      <c r="P349" s="235"/>
      <c r="Q349" s="235"/>
      <c r="R349" s="235"/>
      <c r="S349" s="233"/>
      <c r="T349" s="235"/>
      <c r="U349" s="235"/>
      <c r="V349" s="233"/>
      <c r="W349" s="235"/>
      <c r="X349" s="235"/>
      <c r="Y349" s="235"/>
      <c r="Z349" s="233"/>
      <c r="AA349" s="233"/>
      <c r="AB349" s="233"/>
      <c r="AC349" s="245"/>
      <c r="AD349" s="245"/>
      <c r="AE349" s="245"/>
    </row>
    <row r="350" spans="1:31" ht="15.75" customHeight="1">
      <c r="A350" s="232"/>
      <c r="B350" s="233"/>
      <c r="C350" s="232"/>
      <c r="D350" s="233"/>
      <c r="E350" s="233"/>
      <c r="F350" s="235"/>
      <c r="G350" s="233"/>
      <c r="H350" s="233"/>
      <c r="I350" s="235"/>
      <c r="J350" s="235"/>
      <c r="K350" s="235"/>
      <c r="L350" s="233"/>
      <c r="M350" s="233"/>
      <c r="N350" s="233"/>
      <c r="O350" s="235"/>
      <c r="P350" s="235"/>
      <c r="Q350" s="235"/>
      <c r="R350" s="235"/>
      <c r="S350" s="233"/>
      <c r="T350" s="235"/>
      <c r="U350" s="235"/>
      <c r="V350" s="233"/>
      <c r="W350" s="235"/>
      <c r="X350" s="235"/>
      <c r="Y350" s="235"/>
      <c r="Z350" s="233"/>
      <c r="AA350" s="233"/>
      <c r="AB350" s="233"/>
      <c r="AC350" s="245"/>
      <c r="AD350" s="245"/>
      <c r="AE350" s="245"/>
    </row>
    <row r="351" spans="1:31" ht="15.75" customHeight="1">
      <c r="A351" s="232"/>
      <c r="B351" s="233"/>
      <c r="C351" s="232"/>
      <c r="D351" s="233"/>
      <c r="E351" s="233"/>
      <c r="F351" s="235"/>
      <c r="G351" s="233"/>
      <c r="H351" s="233"/>
      <c r="I351" s="235"/>
      <c r="J351" s="235"/>
      <c r="K351" s="235"/>
      <c r="L351" s="233"/>
      <c r="M351" s="233"/>
      <c r="N351" s="233"/>
      <c r="O351" s="235"/>
      <c r="P351" s="235"/>
      <c r="Q351" s="235"/>
      <c r="R351" s="235"/>
      <c r="S351" s="233"/>
      <c r="T351" s="235"/>
      <c r="U351" s="235"/>
      <c r="V351" s="233"/>
      <c r="W351" s="235"/>
      <c r="X351" s="235"/>
      <c r="Y351" s="235"/>
      <c r="Z351" s="233"/>
      <c r="AA351" s="233"/>
      <c r="AB351" s="233"/>
      <c r="AC351" s="245"/>
      <c r="AD351" s="245"/>
      <c r="AE351" s="245"/>
    </row>
    <row r="352" spans="1:31" ht="15.75" customHeight="1">
      <c r="A352" s="232"/>
      <c r="B352" s="233"/>
      <c r="C352" s="232"/>
      <c r="D352" s="233"/>
      <c r="E352" s="233"/>
      <c r="F352" s="235"/>
      <c r="G352" s="233"/>
      <c r="H352" s="233"/>
      <c r="I352" s="235"/>
      <c r="J352" s="235"/>
      <c r="K352" s="235"/>
      <c r="L352" s="233"/>
      <c r="M352" s="233"/>
      <c r="N352" s="233"/>
      <c r="O352" s="235"/>
      <c r="P352" s="235"/>
      <c r="Q352" s="235"/>
      <c r="R352" s="235"/>
      <c r="S352" s="233"/>
      <c r="T352" s="235"/>
      <c r="U352" s="235"/>
      <c r="V352" s="233"/>
      <c r="W352" s="235"/>
      <c r="X352" s="235"/>
      <c r="Y352" s="235"/>
      <c r="Z352" s="233"/>
      <c r="AA352" s="233"/>
      <c r="AB352" s="233"/>
      <c r="AC352" s="245"/>
      <c r="AD352" s="245"/>
      <c r="AE352" s="245"/>
    </row>
    <row r="353" spans="1:31" ht="15.75" customHeight="1">
      <c r="A353" s="232"/>
      <c r="B353" s="233"/>
      <c r="C353" s="232"/>
      <c r="D353" s="233"/>
      <c r="E353" s="233"/>
      <c r="F353" s="235"/>
      <c r="G353" s="233"/>
      <c r="H353" s="233"/>
      <c r="I353" s="235"/>
      <c r="J353" s="235"/>
      <c r="K353" s="235"/>
      <c r="L353" s="233"/>
      <c r="M353" s="233"/>
      <c r="N353" s="233"/>
      <c r="O353" s="235"/>
      <c r="P353" s="235"/>
      <c r="Q353" s="235"/>
      <c r="R353" s="235"/>
      <c r="S353" s="233"/>
      <c r="T353" s="235"/>
      <c r="U353" s="235"/>
      <c r="V353" s="233"/>
      <c r="W353" s="235"/>
      <c r="X353" s="235"/>
      <c r="Y353" s="235"/>
      <c r="Z353" s="233"/>
      <c r="AA353" s="233"/>
      <c r="AB353" s="233"/>
      <c r="AC353" s="245"/>
      <c r="AD353" s="245"/>
      <c r="AE353" s="245"/>
    </row>
    <row r="354" spans="1:31" ht="15.75" customHeight="1">
      <c r="A354" s="232"/>
      <c r="B354" s="233"/>
      <c r="C354" s="232"/>
      <c r="D354" s="233"/>
      <c r="E354" s="233"/>
      <c r="F354" s="235"/>
      <c r="G354" s="233"/>
      <c r="H354" s="233"/>
      <c r="I354" s="235"/>
      <c r="J354" s="235"/>
      <c r="K354" s="235"/>
      <c r="L354" s="233"/>
      <c r="M354" s="233"/>
      <c r="N354" s="233"/>
      <c r="O354" s="235"/>
      <c r="P354" s="235"/>
      <c r="Q354" s="235"/>
      <c r="R354" s="235"/>
      <c r="S354" s="233"/>
      <c r="T354" s="235"/>
      <c r="U354" s="235"/>
      <c r="V354" s="233"/>
      <c r="W354" s="235"/>
      <c r="X354" s="235"/>
      <c r="Y354" s="235"/>
      <c r="Z354" s="233"/>
      <c r="AA354" s="233"/>
      <c r="AB354" s="233"/>
      <c r="AC354" s="245"/>
      <c r="AD354" s="245"/>
      <c r="AE354" s="245"/>
    </row>
    <row r="355" spans="1:31" ht="15.75" customHeight="1">
      <c r="A355" s="232"/>
      <c r="B355" s="233"/>
      <c r="C355" s="232"/>
      <c r="D355" s="233"/>
      <c r="E355" s="233"/>
      <c r="F355" s="235"/>
      <c r="G355" s="233"/>
      <c r="H355" s="233"/>
      <c r="I355" s="235"/>
      <c r="J355" s="235"/>
      <c r="K355" s="235"/>
      <c r="L355" s="233"/>
      <c r="M355" s="233"/>
      <c r="N355" s="233"/>
      <c r="O355" s="235"/>
      <c r="P355" s="235"/>
      <c r="Q355" s="235"/>
      <c r="R355" s="235"/>
      <c r="S355" s="233"/>
      <c r="T355" s="235"/>
      <c r="U355" s="235"/>
      <c r="V355" s="233"/>
      <c r="W355" s="235"/>
      <c r="X355" s="235"/>
      <c r="Y355" s="235"/>
      <c r="Z355" s="233"/>
      <c r="AA355" s="233"/>
      <c r="AB355" s="233"/>
      <c r="AC355" s="245"/>
      <c r="AD355" s="245"/>
      <c r="AE355" s="245"/>
    </row>
    <row r="356" spans="1:31" ht="15.75" customHeight="1">
      <c r="A356" s="232"/>
      <c r="B356" s="233"/>
      <c r="C356" s="232"/>
      <c r="D356" s="233"/>
      <c r="E356" s="233"/>
      <c r="F356" s="235"/>
      <c r="G356" s="233"/>
      <c r="H356" s="233"/>
      <c r="I356" s="235"/>
      <c r="J356" s="235"/>
      <c r="K356" s="235"/>
      <c r="L356" s="233"/>
      <c r="M356" s="233"/>
      <c r="N356" s="233"/>
      <c r="O356" s="235"/>
      <c r="P356" s="235"/>
      <c r="Q356" s="235"/>
      <c r="R356" s="235"/>
      <c r="S356" s="233"/>
      <c r="T356" s="235"/>
      <c r="U356" s="235"/>
      <c r="V356" s="233"/>
      <c r="W356" s="235"/>
      <c r="X356" s="235"/>
      <c r="Y356" s="235"/>
      <c r="Z356" s="233"/>
      <c r="AA356" s="233"/>
      <c r="AB356" s="233"/>
      <c r="AC356" s="245"/>
      <c r="AD356" s="245"/>
      <c r="AE356" s="245"/>
    </row>
    <row r="357" spans="1:31" ht="15.75" customHeight="1">
      <c r="A357" s="232"/>
      <c r="B357" s="233"/>
      <c r="C357" s="232"/>
      <c r="D357" s="233"/>
      <c r="E357" s="233"/>
      <c r="F357" s="235"/>
      <c r="G357" s="233"/>
      <c r="H357" s="233"/>
      <c r="I357" s="235"/>
      <c r="J357" s="235"/>
      <c r="K357" s="235"/>
      <c r="L357" s="233"/>
      <c r="M357" s="233"/>
      <c r="N357" s="233"/>
      <c r="O357" s="235"/>
      <c r="P357" s="235"/>
      <c r="Q357" s="235"/>
      <c r="R357" s="235"/>
      <c r="S357" s="233"/>
      <c r="T357" s="235"/>
      <c r="U357" s="235"/>
      <c r="V357" s="233"/>
      <c r="W357" s="235"/>
      <c r="X357" s="235"/>
      <c r="Y357" s="235"/>
      <c r="Z357" s="233"/>
      <c r="AA357" s="233"/>
      <c r="AB357" s="233"/>
      <c r="AC357" s="245"/>
      <c r="AD357" s="245"/>
      <c r="AE357" s="245"/>
    </row>
    <row r="358" spans="1:31" ht="15.75" customHeight="1">
      <c r="A358" s="232"/>
      <c r="B358" s="233"/>
      <c r="C358" s="232"/>
      <c r="D358" s="233"/>
      <c r="E358" s="233"/>
      <c r="F358" s="235"/>
      <c r="G358" s="233"/>
      <c r="H358" s="233"/>
      <c r="I358" s="235"/>
      <c r="J358" s="235"/>
      <c r="K358" s="235"/>
      <c r="L358" s="233"/>
      <c r="M358" s="233"/>
      <c r="N358" s="233"/>
      <c r="O358" s="235"/>
      <c r="P358" s="235"/>
      <c r="Q358" s="235"/>
      <c r="R358" s="235"/>
      <c r="S358" s="233"/>
      <c r="T358" s="235"/>
      <c r="U358" s="235"/>
      <c r="V358" s="233"/>
      <c r="W358" s="235"/>
      <c r="X358" s="235"/>
      <c r="Y358" s="235"/>
      <c r="Z358" s="233"/>
      <c r="AA358" s="233"/>
      <c r="AB358" s="233"/>
      <c r="AC358" s="245"/>
      <c r="AD358" s="245"/>
      <c r="AE358" s="245"/>
    </row>
    <row r="359" spans="1:31" ht="15.75" customHeight="1">
      <c r="A359" s="232"/>
      <c r="B359" s="233"/>
      <c r="C359" s="232"/>
      <c r="D359" s="233"/>
      <c r="E359" s="233"/>
      <c r="F359" s="235"/>
      <c r="G359" s="233"/>
      <c r="H359" s="233"/>
      <c r="I359" s="235"/>
      <c r="J359" s="235"/>
      <c r="K359" s="235"/>
      <c r="L359" s="233"/>
      <c r="M359" s="233"/>
      <c r="N359" s="233"/>
      <c r="O359" s="235"/>
      <c r="P359" s="235"/>
      <c r="Q359" s="235"/>
      <c r="R359" s="235"/>
      <c r="S359" s="233"/>
      <c r="T359" s="235"/>
      <c r="U359" s="235"/>
      <c r="V359" s="233"/>
      <c r="W359" s="235"/>
      <c r="X359" s="235"/>
      <c r="Y359" s="235"/>
      <c r="Z359" s="233"/>
      <c r="AA359" s="233"/>
      <c r="AB359" s="233"/>
      <c r="AC359" s="245"/>
      <c r="AD359" s="245"/>
      <c r="AE359" s="245"/>
    </row>
    <row r="360" spans="1:31" ht="15.75" customHeight="1">
      <c r="A360" s="232"/>
      <c r="B360" s="233"/>
      <c r="C360" s="232"/>
      <c r="D360" s="233"/>
      <c r="E360" s="233"/>
      <c r="F360" s="235"/>
      <c r="G360" s="233"/>
      <c r="H360" s="233"/>
      <c r="I360" s="235"/>
      <c r="J360" s="235"/>
      <c r="K360" s="235"/>
      <c r="L360" s="233"/>
      <c r="M360" s="233"/>
      <c r="N360" s="233"/>
      <c r="O360" s="235"/>
      <c r="P360" s="235"/>
      <c r="Q360" s="235"/>
      <c r="R360" s="235"/>
      <c r="S360" s="233"/>
      <c r="T360" s="235"/>
      <c r="U360" s="235"/>
      <c r="V360" s="233"/>
      <c r="W360" s="235"/>
      <c r="X360" s="235"/>
      <c r="Y360" s="235"/>
      <c r="Z360" s="233"/>
      <c r="AA360" s="233"/>
      <c r="AB360" s="233"/>
      <c r="AC360" s="245"/>
      <c r="AD360" s="245"/>
      <c r="AE360" s="245"/>
    </row>
    <row r="361" spans="1:31" ht="15.75" customHeight="1">
      <c r="A361" s="232"/>
      <c r="B361" s="233"/>
      <c r="C361" s="232"/>
      <c r="D361" s="233"/>
      <c r="E361" s="233"/>
      <c r="F361" s="235"/>
      <c r="G361" s="233"/>
      <c r="H361" s="233"/>
      <c r="I361" s="235"/>
      <c r="J361" s="235"/>
      <c r="K361" s="235"/>
      <c r="L361" s="233"/>
      <c r="M361" s="233"/>
      <c r="N361" s="233"/>
      <c r="O361" s="235"/>
      <c r="P361" s="235"/>
      <c r="Q361" s="235"/>
      <c r="R361" s="235"/>
      <c r="S361" s="233"/>
      <c r="T361" s="235"/>
      <c r="U361" s="235"/>
      <c r="V361" s="233"/>
      <c r="W361" s="235"/>
      <c r="X361" s="235"/>
      <c r="Y361" s="235"/>
      <c r="Z361" s="233"/>
      <c r="AA361" s="233"/>
      <c r="AB361" s="233"/>
      <c r="AC361" s="245"/>
      <c r="AD361" s="245"/>
      <c r="AE361" s="245"/>
    </row>
    <row r="362" spans="1:31" ht="15.75" customHeight="1">
      <c r="A362" s="232"/>
      <c r="B362" s="233"/>
      <c r="C362" s="232"/>
      <c r="D362" s="233"/>
      <c r="E362" s="233"/>
      <c r="F362" s="235"/>
      <c r="G362" s="233"/>
      <c r="H362" s="233"/>
      <c r="I362" s="235"/>
      <c r="J362" s="235"/>
      <c r="K362" s="235"/>
      <c r="L362" s="233"/>
      <c r="M362" s="233"/>
      <c r="N362" s="233"/>
      <c r="O362" s="235"/>
      <c r="P362" s="235"/>
      <c r="Q362" s="235"/>
      <c r="R362" s="235"/>
      <c r="S362" s="233"/>
      <c r="T362" s="235"/>
      <c r="U362" s="235"/>
      <c r="V362" s="233"/>
      <c r="W362" s="235"/>
      <c r="X362" s="235"/>
      <c r="Y362" s="235"/>
      <c r="Z362" s="233"/>
      <c r="AA362" s="233"/>
      <c r="AB362" s="233"/>
      <c r="AC362" s="245"/>
      <c r="AD362" s="245"/>
      <c r="AE362" s="245"/>
    </row>
    <row r="363" spans="1:31" ht="15.75" customHeight="1">
      <c r="A363" s="232"/>
      <c r="B363" s="233"/>
      <c r="C363" s="232"/>
      <c r="D363" s="233"/>
      <c r="E363" s="233"/>
      <c r="F363" s="235"/>
      <c r="G363" s="233"/>
      <c r="H363" s="233"/>
      <c r="I363" s="235"/>
      <c r="J363" s="235"/>
      <c r="K363" s="235"/>
      <c r="L363" s="233"/>
      <c r="M363" s="233"/>
      <c r="N363" s="233"/>
      <c r="O363" s="235"/>
      <c r="P363" s="235"/>
      <c r="Q363" s="235"/>
      <c r="R363" s="235"/>
      <c r="S363" s="233"/>
      <c r="T363" s="235"/>
      <c r="U363" s="235"/>
      <c r="V363" s="233"/>
      <c r="W363" s="235"/>
      <c r="X363" s="235"/>
      <c r="Y363" s="235"/>
      <c r="Z363" s="233"/>
      <c r="AA363" s="233"/>
      <c r="AB363" s="233"/>
      <c r="AC363" s="245"/>
      <c r="AD363" s="245"/>
      <c r="AE363" s="245"/>
    </row>
    <row r="364" spans="1:31" ht="15.75" customHeight="1">
      <c r="A364" s="232"/>
      <c r="B364" s="233"/>
      <c r="C364" s="232"/>
      <c r="D364" s="233"/>
      <c r="E364" s="233"/>
      <c r="F364" s="235"/>
      <c r="G364" s="233"/>
      <c r="H364" s="233"/>
      <c r="I364" s="235"/>
      <c r="J364" s="235"/>
      <c r="K364" s="235"/>
      <c r="L364" s="233"/>
      <c r="M364" s="233"/>
      <c r="N364" s="233"/>
      <c r="O364" s="235"/>
      <c r="P364" s="235"/>
      <c r="Q364" s="235"/>
      <c r="R364" s="235"/>
      <c r="S364" s="233"/>
      <c r="T364" s="235"/>
      <c r="U364" s="235"/>
      <c r="V364" s="233"/>
      <c r="W364" s="235"/>
      <c r="X364" s="235"/>
      <c r="Y364" s="235"/>
      <c r="Z364" s="233"/>
      <c r="AA364" s="233"/>
      <c r="AB364" s="233"/>
      <c r="AC364" s="245"/>
      <c r="AD364" s="245"/>
      <c r="AE364" s="245"/>
    </row>
    <row r="365" spans="1:31" ht="15.75" customHeight="1">
      <c r="A365" s="232"/>
      <c r="B365" s="233"/>
      <c r="C365" s="232"/>
      <c r="D365" s="233"/>
      <c r="E365" s="233"/>
      <c r="F365" s="235"/>
      <c r="G365" s="233"/>
      <c r="H365" s="233"/>
      <c r="I365" s="235"/>
      <c r="J365" s="235"/>
      <c r="K365" s="235"/>
      <c r="L365" s="233"/>
      <c r="M365" s="233"/>
      <c r="N365" s="233"/>
      <c r="O365" s="235"/>
      <c r="P365" s="235"/>
      <c r="Q365" s="235"/>
      <c r="R365" s="235"/>
      <c r="S365" s="233"/>
      <c r="T365" s="235"/>
      <c r="U365" s="235"/>
      <c r="V365" s="233"/>
      <c r="W365" s="235"/>
      <c r="X365" s="235"/>
      <c r="Y365" s="235"/>
      <c r="Z365" s="233"/>
      <c r="AA365" s="233"/>
      <c r="AB365" s="233"/>
      <c r="AC365" s="245"/>
      <c r="AD365" s="245"/>
      <c r="AE365" s="245"/>
    </row>
    <row r="366" spans="1:31" ht="15.75" customHeight="1">
      <c r="A366" s="232"/>
      <c r="B366" s="233"/>
      <c r="C366" s="232"/>
      <c r="D366" s="233"/>
      <c r="E366" s="233"/>
      <c r="F366" s="235"/>
      <c r="G366" s="233"/>
      <c r="H366" s="233"/>
      <c r="I366" s="235"/>
      <c r="J366" s="235"/>
      <c r="K366" s="235"/>
      <c r="L366" s="233"/>
      <c r="M366" s="233"/>
      <c r="N366" s="233"/>
      <c r="O366" s="235"/>
      <c r="P366" s="235"/>
      <c r="Q366" s="235"/>
      <c r="R366" s="235"/>
      <c r="S366" s="233"/>
      <c r="T366" s="235"/>
      <c r="U366" s="235"/>
      <c r="V366" s="233"/>
      <c r="W366" s="235"/>
      <c r="X366" s="235"/>
      <c r="Y366" s="235"/>
      <c r="Z366" s="233"/>
      <c r="AA366" s="233"/>
      <c r="AB366" s="233"/>
      <c r="AC366" s="245"/>
      <c r="AD366" s="245"/>
      <c r="AE366" s="245"/>
    </row>
    <row r="367" spans="1:31" ht="15.75" customHeight="1">
      <c r="A367" s="232"/>
      <c r="B367" s="233"/>
      <c r="C367" s="232"/>
      <c r="D367" s="233"/>
      <c r="E367" s="233"/>
      <c r="F367" s="235"/>
      <c r="G367" s="233"/>
      <c r="H367" s="233"/>
      <c r="I367" s="235"/>
      <c r="J367" s="235"/>
      <c r="K367" s="235"/>
      <c r="L367" s="233"/>
      <c r="M367" s="233"/>
      <c r="N367" s="233"/>
      <c r="O367" s="235"/>
      <c r="P367" s="235"/>
      <c r="Q367" s="235"/>
      <c r="R367" s="235"/>
      <c r="S367" s="233"/>
      <c r="T367" s="235"/>
      <c r="U367" s="235"/>
      <c r="V367" s="233"/>
      <c r="W367" s="235"/>
      <c r="X367" s="235"/>
      <c r="Y367" s="235"/>
      <c r="Z367" s="233"/>
      <c r="AA367" s="233"/>
      <c r="AB367" s="233"/>
      <c r="AC367" s="245"/>
      <c r="AD367" s="245"/>
      <c r="AE367" s="245"/>
    </row>
    <row r="368" spans="1:31" ht="15.75" customHeight="1">
      <c r="A368" s="232"/>
      <c r="B368" s="233"/>
      <c r="C368" s="232"/>
      <c r="D368" s="233"/>
      <c r="E368" s="233"/>
      <c r="F368" s="235"/>
      <c r="G368" s="233"/>
      <c r="H368" s="233"/>
      <c r="I368" s="235"/>
      <c r="J368" s="235"/>
      <c r="K368" s="235"/>
      <c r="L368" s="233"/>
      <c r="M368" s="233"/>
      <c r="N368" s="233"/>
      <c r="O368" s="235"/>
      <c r="P368" s="235"/>
      <c r="Q368" s="235"/>
      <c r="R368" s="235"/>
      <c r="S368" s="233"/>
      <c r="T368" s="235"/>
      <c r="U368" s="235"/>
      <c r="V368" s="233"/>
      <c r="W368" s="235"/>
      <c r="X368" s="235"/>
      <c r="Y368" s="235"/>
      <c r="Z368" s="233"/>
      <c r="AA368" s="233"/>
      <c r="AB368" s="233"/>
      <c r="AC368" s="245"/>
      <c r="AD368" s="245"/>
      <c r="AE368" s="245"/>
    </row>
    <row r="369" spans="1:31" ht="15.75" customHeight="1">
      <c r="A369" s="232"/>
      <c r="B369" s="233"/>
      <c r="C369" s="232"/>
      <c r="D369" s="233"/>
      <c r="E369" s="233"/>
      <c r="F369" s="235"/>
      <c r="G369" s="233"/>
      <c r="H369" s="233"/>
      <c r="I369" s="235"/>
      <c r="J369" s="235"/>
      <c r="K369" s="235"/>
      <c r="L369" s="233"/>
      <c r="M369" s="233"/>
      <c r="N369" s="233"/>
      <c r="O369" s="235"/>
      <c r="P369" s="235"/>
      <c r="Q369" s="235"/>
      <c r="R369" s="235"/>
      <c r="S369" s="233"/>
      <c r="T369" s="235"/>
      <c r="U369" s="235"/>
      <c r="V369" s="233"/>
      <c r="W369" s="235"/>
      <c r="X369" s="235"/>
      <c r="Y369" s="235"/>
      <c r="Z369" s="233"/>
      <c r="AA369" s="233"/>
      <c r="AB369" s="233"/>
      <c r="AC369" s="245"/>
      <c r="AD369" s="245"/>
      <c r="AE369" s="245"/>
    </row>
    <row r="370" spans="1:31" ht="15.75" customHeight="1">
      <c r="A370" s="232"/>
      <c r="B370" s="233"/>
      <c r="C370" s="232"/>
      <c r="D370" s="233"/>
      <c r="E370" s="233"/>
      <c r="F370" s="235"/>
      <c r="G370" s="233"/>
      <c r="H370" s="233"/>
      <c r="I370" s="235"/>
      <c r="J370" s="235"/>
      <c r="K370" s="235"/>
      <c r="L370" s="233"/>
      <c r="M370" s="233"/>
      <c r="N370" s="233"/>
      <c r="O370" s="235"/>
      <c r="P370" s="235"/>
      <c r="Q370" s="235"/>
      <c r="R370" s="235"/>
      <c r="S370" s="233"/>
      <c r="T370" s="235"/>
      <c r="U370" s="235"/>
      <c r="V370" s="233"/>
      <c r="W370" s="235"/>
      <c r="X370" s="235"/>
      <c r="Y370" s="235"/>
      <c r="Z370" s="233"/>
      <c r="AA370" s="233"/>
      <c r="AB370" s="233"/>
      <c r="AC370" s="245"/>
      <c r="AD370" s="245"/>
      <c r="AE370" s="245"/>
    </row>
    <row r="371" spans="1:31" ht="15.75" customHeight="1">
      <c r="A371" s="232"/>
      <c r="B371" s="233"/>
      <c r="C371" s="232"/>
      <c r="D371" s="233"/>
      <c r="E371" s="233"/>
      <c r="F371" s="235"/>
      <c r="G371" s="233"/>
      <c r="H371" s="233"/>
      <c r="I371" s="235"/>
      <c r="J371" s="235"/>
      <c r="K371" s="235"/>
      <c r="L371" s="233"/>
      <c r="M371" s="233"/>
      <c r="N371" s="233"/>
      <c r="O371" s="235"/>
      <c r="P371" s="235"/>
      <c r="Q371" s="235"/>
      <c r="R371" s="235"/>
      <c r="S371" s="233"/>
      <c r="T371" s="235"/>
      <c r="U371" s="235"/>
      <c r="V371" s="233"/>
      <c r="W371" s="235"/>
      <c r="X371" s="235"/>
      <c r="Y371" s="235"/>
      <c r="Z371" s="233"/>
      <c r="AA371" s="233"/>
      <c r="AB371" s="233"/>
      <c r="AC371" s="245"/>
      <c r="AD371" s="245"/>
      <c r="AE371" s="245"/>
    </row>
    <row r="372" spans="1:31" ht="15.75" customHeight="1">
      <c r="A372" s="232"/>
      <c r="B372" s="233"/>
      <c r="C372" s="232"/>
      <c r="D372" s="233"/>
      <c r="E372" s="233"/>
      <c r="F372" s="235"/>
      <c r="G372" s="233"/>
      <c r="H372" s="233"/>
      <c r="I372" s="235"/>
      <c r="J372" s="235"/>
      <c r="K372" s="235"/>
      <c r="L372" s="233"/>
      <c r="M372" s="233"/>
      <c r="N372" s="233"/>
      <c r="O372" s="235"/>
      <c r="P372" s="235"/>
      <c r="Q372" s="235"/>
      <c r="R372" s="235"/>
      <c r="S372" s="233"/>
      <c r="T372" s="235"/>
      <c r="U372" s="235"/>
      <c r="V372" s="233"/>
      <c r="W372" s="235"/>
      <c r="X372" s="235"/>
      <c r="Y372" s="235"/>
      <c r="Z372" s="233"/>
      <c r="AA372" s="233"/>
      <c r="AB372" s="233"/>
      <c r="AC372" s="245"/>
      <c r="AD372" s="245"/>
      <c r="AE372" s="245"/>
    </row>
    <row r="373" spans="1:31" ht="15.75" customHeight="1">
      <c r="A373" s="232"/>
      <c r="B373" s="233"/>
      <c r="C373" s="232"/>
      <c r="D373" s="233"/>
      <c r="E373" s="233"/>
      <c r="F373" s="235"/>
      <c r="G373" s="233"/>
      <c r="H373" s="233"/>
      <c r="I373" s="235"/>
      <c r="J373" s="235"/>
      <c r="K373" s="235"/>
      <c r="L373" s="233"/>
      <c r="M373" s="233"/>
      <c r="N373" s="233"/>
      <c r="O373" s="235"/>
      <c r="P373" s="235"/>
      <c r="Q373" s="235"/>
      <c r="R373" s="235"/>
      <c r="S373" s="233"/>
      <c r="T373" s="235"/>
      <c r="U373" s="235"/>
      <c r="V373" s="233"/>
      <c r="W373" s="235"/>
      <c r="X373" s="235"/>
      <c r="Y373" s="235"/>
      <c r="Z373" s="233"/>
      <c r="AA373" s="233"/>
      <c r="AB373" s="233"/>
      <c r="AC373" s="245"/>
      <c r="AD373" s="245"/>
      <c r="AE373" s="245"/>
    </row>
    <row r="374" spans="1:31" ht="15.75" customHeight="1">
      <c r="A374" s="232"/>
      <c r="B374" s="233"/>
      <c r="C374" s="232"/>
      <c r="D374" s="233"/>
      <c r="E374" s="233"/>
      <c r="F374" s="235"/>
      <c r="G374" s="233"/>
      <c r="H374" s="233"/>
      <c r="I374" s="235"/>
      <c r="J374" s="235"/>
      <c r="K374" s="235"/>
      <c r="L374" s="233"/>
      <c r="M374" s="233"/>
      <c r="N374" s="233"/>
      <c r="O374" s="235"/>
      <c r="P374" s="235"/>
      <c r="Q374" s="235"/>
      <c r="R374" s="235"/>
      <c r="S374" s="233"/>
      <c r="T374" s="235"/>
      <c r="U374" s="235"/>
      <c r="V374" s="233"/>
      <c r="W374" s="235"/>
      <c r="X374" s="235"/>
      <c r="Y374" s="235"/>
      <c r="Z374" s="233"/>
      <c r="AA374" s="233"/>
      <c r="AB374" s="233"/>
      <c r="AC374" s="245"/>
      <c r="AD374" s="245"/>
      <c r="AE374" s="245"/>
    </row>
    <row r="375" spans="1:31" ht="15.75" customHeight="1">
      <c r="A375" s="232"/>
      <c r="B375" s="233"/>
      <c r="C375" s="232"/>
      <c r="D375" s="233"/>
      <c r="E375" s="233"/>
      <c r="F375" s="235"/>
      <c r="G375" s="233"/>
      <c r="H375" s="233"/>
      <c r="I375" s="235"/>
      <c r="J375" s="235"/>
      <c r="K375" s="235"/>
      <c r="L375" s="233"/>
      <c r="M375" s="233"/>
      <c r="N375" s="233"/>
      <c r="O375" s="235"/>
      <c r="P375" s="235"/>
      <c r="Q375" s="235"/>
      <c r="R375" s="235"/>
      <c r="S375" s="233"/>
      <c r="T375" s="235"/>
      <c r="U375" s="235"/>
      <c r="V375" s="233"/>
      <c r="W375" s="235"/>
      <c r="X375" s="235"/>
      <c r="Y375" s="235"/>
      <c r="Z375" s="233"/>
      <c r="AA375" s="233"/>
      <c r="AB375" s="233"/>
      <c r="AC375" s="245"/>
      <c r="AD375" s="245"/>
      <c r="AE375" s="245"/>
    </row>
    <row r="376" spans="1:31" ht="15.75" customHeight="1">
      <c r="A376" s="232"/>
      <c r="B376" s="233"/>
      <c r="C376" s="232"/>
      <c r="D376" s="233"/>
      <c r="E376" s="233"/>
      <c r="F376" s="235"/>
      <c r="G376" s="233"/>
      <c r="H376" s="233"/>
      <c r="I376" s="235"/>
      <c r="J376" s="235"/>
      <c r="K376" s="235"/>
      <c r="L376" s="233"/>
      <c r="M376" s="233"/>
      <c r="N376" s="233"/>
      <c r="O376" s="235"/>
      <c r="P376" s="235"/>
      <c r="Q376" s="235"/>
      <c r="R376" s="235"/>
      <c r="S376" s="233"/>
      <c r="T376" s="235"/>
      <c r="U376" s="235"/>
      <c r="V376" s="233"/>
      <c r="W376" s="235"/>
      <c r="X376" s="235"/>
      <c r="Y376" s="235"/>
      <c r="Z376" s="233"/>
      <c r="AA376" s="233"/>
      <c r="AB376" s="233"/>
      <c r="AC376" s="245"/>
      <c r="AD376" s="245"/>
      <c r="AE376" s="245"/>
    </row>
    <row r="377" spans="1:31" ht="15.75" customHeight="1">
      <c r="A377" s="232"/>
      <c r="B377" s="233"/>
      <c r="C377" s="232"/>
      <c r="D377" s="233"/>
      <c r="E377" s="233"/>
      <c r="F377" s="235"/>
      <c r="G377" s="233"/>
      <c r="H377" s="233"/>
      <c r="I377" s="235"/>
      <c r="J377" s="235"/>
      <c r="K377" s="235"/>
      <c r="L377" s="233"/>
      <c r="M377" s="233"/>
      <c r="N377" s="233"/>
      <c r="O377" s="235"/>
      <c r="P377" s="235"/>
      <c r="Q377" s="235"/>
      <c r="R377" s="235"/>
      <c r="S377" s="233"/>
      <c r="T377" s="235"/>
      <c r="U377" s="235"/>
      <c r="V377" s="233"/>
      <c r="W377" s="235"/>
      <c r="X377" s="235"/>
      <c r="Y377" s="235"/>
      <c r="Z377" s="233"/>
      <c r="AA377" s="233"/>
      <c r="AB377" s="233"/>
      <c r="AC377" s="245"/>
      <c r="AD377" s="245"/>
      <c r="AE377" s="245"/>
    </row>
    <row r="378" spans="1:31" ht="15.75" customHeight="1">
      <c r="A378" s="232"/>
      <c r="B378" s="233"/>
      <c r="C378" s="232"/>
      <c r="D378" s="233"/>
      <c r="E378" s="233"/>
      <c r="F378" s="235"/>
      <c r="G378" s="233"/>
      <c r="H378" s="233"/>
      <c r="I378" s="235"/>
      <c r="J378" s="235"/>
      <c r="K378" s="235"/>
      <c r="L378" s="233"/>
      <c r="M378" s="233"/>
      <c r="N378" s="233"/>
      <c r="O378" s="235"/>
      <c r="P378" s="235"/>
      <c r="Q378" s="235"/>
      <c r="R378" s="235"/>
      <c r="S378" s="233"/>
      <c r="T378" s="235"/>
      <c r="U378" s="235"/>
      <c r="V378" s="233"/>
      <c r="W378" s="235"/>
      <c r="X378" s="235"/>
      <c r="Y378" s="235"/>
      <c r="Z378" s="233"/>
      <c r="AA378" s="233"/>
      <c r="AB378" s="233"/>
      <c r="AC378" s="245"/>
      <c r="AD378" s="245"/>
      <c r="AE378" s="245"/>
    </row>
    <row r="379" spans="1:31" ht="15.75" customHeight="1">
      <c r="A379" s="232"/>
      <c r="B379" s="233"/>
      <c r="C379" s="232"/>
      <c r="D379" s="233"/>
      <c r="E379" s="233"/>
      <c r="F379" s="235"/>
      <c r="G379" s="233"/>
      <c r="H379" s="233"/>
      <c r="I379" s="235"/>
      <c r="J379" s="235"/>
      <c r="K379" s="235"/>
      <c r="L379" s="233"/>
      <c r="M379" s="233"/>
      <c r="N379" s="233"/>
      <c r="O379" s="235"/>
      <c r="P379" s="235"/>
      <c r="Q379" s="235"/>
      <c r="R379" s="235"/>
      <c r="S379" s="233"/>
      <c r="T379" s="235"/>
      <c r="U379" s="235"/>
      <c r="V379" s="233"/>
      <c r="W379" s="235"/>
      <c r="X379" s="235"/>
      <c r="Y379" s="235"/>
      <c r="Z379" s="233"/>
      <c r="AA379" s="233"/>
      <c r="AB379" s="233"/>
      <c r="AC379" s="245"/>
      <c r="AD379" s="245"/>
      <c r="AE379" s="245"/>
    </row>
    <row r="380" spans="1:31" ht="15.75" customHeight="1">
      <c r="A380" s="232"/>
      <c r="B380" s="233"/>
      <c r="C380" s="232"/>
      <c r="D380" s="233"/>
      <c r="E380" s="233"/>
      <c r="F380" s="235"/>
      <c r="G380" s="233"/>
      <c r="H380" s="233"/>
      <c r="I380" s="235"/>
      <c r="J380" s="235"/>
      <c r="K380" s="235"/>
      <c r="L380" s="233"/>
      <c r="M380" s="233"/>
      <c r="N380" s="233"/>
      <c r="O380" s="235"/>
      <c r="P380" s="235"/>
      <c r="Q380" s="235"/>
      <c r="R380" s="235"/>
      <c r="S380" s="233"/>
      <c r="T380" s="235"/>
      <c r="U380" s="235"/>
      <c r="V380" s="233"/>
      <c r="W380" s="235"/>
      <c r="X380" s="235"/>
      <c r="Y380" s="235"/>
      <c r="Z380" s="233"/>
      <c r="AA380" s="233"/>
      <c r="AB380" s="233"/>
      <c r="AC380" s="245"/>
      <c r="AD380" s="245"/>
      <c r="AE380" s="245"/>
    </row>
    <row r="381" spans="1:31" ht="15.75" customHeight="1">
      <c r="A381" s="232"/>
      <c r="B381" s="233"/>
      <c r="C381" s="232"/>
      <c r="D381" s="233"/>
      <c r="E381" s="233"/>
      <c r="F381" s="235"/>
      <c r="G381" s="233"/>
      <c r="H381" s="233"/>
      <c r="I381" s="235"/>
      <c r="J381" s="235"/>
      <c r="K381" s="235"/>
      <c r="L381" s="233"/>
      <c r="M381" s="233"/>
      <c r="N381" s="233"/>
      <c r="O381" s="235"/>
      <c r="P381" s="235"/>
      <c r="Q381" s="235"/>
      <c r="R381" s="235"/>
      <c r="S381" s="233"/>
      <c r="T381" s="235"/>
      <c r="U381" s="235"/>
      <c r="V381" s="233"/>
      <c r="W381" s="235"/>
      <c r="X381" s="235"/>
      <c r="Y381" s="235"/>
      <c r="Z381" s="233"/>
      <c r="AA381" s="233"/>
      <c r="AB381" s="233"/>
      <c r="AC381" s="245"/>
      <c r="AD381" s="245"/>
      <c r="AE381" s="245"/>
    </row>
    <row r="382" spans="1:31" ht="15.75" customHeight="1">
      <c r="A382" s="232"/>
      <c r="B382" s="233"/>
      <c r="C382" s="232"/>
      <c r="D382" s="233"/>
      <c r="E382" s="233"/>
      <c r="F382" s="235"/>
      <c r="G382" s="233"/>
      <c r="H382" s="233"/>
      <c r="I382" s="235"/>
      <c r="J382" s="235"/>
      <c r="K382" s="235"/>
      <c r="L382" s="233"/>
      <c r="M382" s="233"/>
      <c r="N382" s="233"/>
      <c r="O382" s="235"/>
      <c r="P382" s="235"/>
      <c r="Q382" s="235"/>
      <c r="R382" s="235"/>
      <c r="S382" s="233"/>
      <c r="T382" s="235"/>
      <c r="U382" s="235"/>
      <c r="V382" s="233"/>
      <c r="W382" s="235"/>
      <c r="X382" s="235"/>
      <c r="Y382" s="235"/>
      <c r="Z382" s="233"/>
      <c r="AA382" s="233"/>
      <c r="AB382" s="233"/>
      <c r="AC382" s="245"/>
      <c r="AD382" s="245"/>
      <c r="AE382" s="245"/>
    </row>
    <row r="383" spans="1:31" ht="15.75" customHeight="1">
      <c r="A383" s="232"/>
      <c r="B383" s="233"/>
      <c r="C383" s="232"/>
      <c r="D383" s="233"/>
      <c r="E383" s="233"/>
      <c r="F383" s="235"/>
      <c r="G383" s="233"/>
      <c r="H383" s="233"/>
      <c r="I383" s="235"/>
      <c r="J383" s="235"/>
      <c r="K383" s="235"/>
      <c r="L383" s="233"/>
      <c r="M383" s="233"/>
      <c r="N383" s="233"/>
      <c r="O383" s="235"/>
      <c r="P383" s="235"/>
      <c r="Q383" s="235"/>
      <c r="R383" s="235"/>
      <c r="S383" s="233"/>
      <c r="T383" s="235"/>
      <c r="U383" s="235"/>
      <c r="V383" s="233"/>
      <c r="W383" s="235"/>
      <c r="X383" s="235"/>
      <c r="Y383" s="235"/>
      <c r="Z383" s="233"/>
      <c r="AA383" s="233"/>
      <c r="AB383" s="233"/>
      <c r="AC383" s="245"/>
      <c r="AD383" s="245"/>
      <c r="AE383" s="245"/>
    </row>
    <row r="384" spans="1:31" ht="15.75" customHeight="1">
      <c r="A384" s="232"/>
      <c r="B384" s="233"/>
      <c r="C384" s="232"/>
      <c r="D384" s="233"/>
      <c r="E384" s="233"/>
      <c r="F384" s="235"/>
      <c r="G384" s="233"/>
      <c r="H384" s="233"/>
      <c r="I384" s="235"/>
      <c r="J384" s="235"/>
      <c r="K384" s="235"/>
      <c r="L384" s="233"/>
      <c r="M384" s="233"/>
      <c r="N384" s="233"/>
      <c r="O384" s="235"/>
      <c r="P384" s="235"/>
      <c r="Q384" s="235"/>
      <c r="R384" s="235"/>
      <c r="S384" s="233"/>
      <c r="T384" s="235"/>
      <c r="U384" s="235"/>
      <c r="V384" s="233"/>
      <c r="W384" s="235"/>
      <c r="X384" s="235"/>
      <c r="Y384" s="235"/>
      <c r="Z384" s="233"/>
      <c r="AA384" s="233"/>
      <c r="AB384" s="233"/>
      <c r="AC384" s="245"/>
      <c r="AD384" s="245"/>
      <c r="AE384" s="245"/>
    </row>
    <row r="385" spans="1:31" ht="15.75" customHeight="1">
      <c r="A385" s="232"/>
      <c r="B385" s="233"/>
      <c r="C385" s="232"/>
      <c r="D385" s="233"/>
      <c r="E385" s="233"/>
      <c r="F385" s="235"/>
      <c r="G385" s="233"/>
      <c r="H385" s="233"/>
      <c r="I385" s="235"/>
      <c r="J385" s="235"/>
      <c r="K385" s="235"/>
      <c r="L385" s="233"/>
      <c r="M385" s="233"/>
      <c r="N385" s="233"/>
      <c r="O385" s="235"/>
      <c r="P385" s="235"/>
      <c r="Q385" s="235"/>
      <c r="R385" s="235"/>
      <c r="S385" s="233"/>
      <c r="T385" s="235"/>
      <c r="U385" s="235"/>
      <c r="V385" s="233"/>
      <c r="W385" s="235"/>
      <c r="X385" s="235"/>
      <c r="Y385" s="235"/>
      <c r="Z385" s="233"/>
      <c r="AA385" s="233"/>
      <c r="AB385" s="233"/>
      <c r="AC385" s="245"/>
      <c r="AD385" s="245"/>
      <c r="AE385" s="245"/>
    </row>
    <row r="386" spans="1:31" ht="15.75" customHeight="1">
      <c r="A386" s="232"/>
      <c r="B386" s="233"/>
      <c r="C386" s="232"/>
      <c r="D386" s="233"/>
      <c r="E386" s="233"/>
      <c r="F386" s="235"/>
      <c r="G386" s="233"/>
      <c r="H386" s="233"/>
      <c r="I386" s="235"/>
      <c r="J386" s="235"/>
      <c r="K386" s="235"/>
      <c r="L386" s="233"/>
      <c r="M386" s="233"/>
      <c r="N386" s="233"/>
      <c r="O386" s="235"/>
      <c r="P386" s="235"/>
      <c r="Q386" s="235"/>
      <c r="R386" s="235"/>
      <c r="S386" s="233"/>
      <c r="T386" s="235"/>
      <c r="U386" s="235"/>
      <c r="V386" s="233"/>
      <c r="W386" s="235"/>
      <c r="X386" s="235"/>
      <c r="Y386" s="235"/>
      <c r="Z386" s="233"/>
      <c r="AA386" s="233"/>
      <c r="AB386" s="233"/>
      <c r="AC386" s="245"/>
      <c r="AD386" s="245"/>
      <c r="AE386" s="245"/>
    </row>
    <row r="387" spans="1:31" ht="15.75" customHeight="1">
      <c r="A387" s="232"/>
      <c r="B387" s="233"/>
      <c r="C387" s="232"/>
      <c r="D387" s="233"/>
      <c r="E387" s="233"/>
      <c r="F387" s="235"/>
      <c r="G387" s="233"/>
      <c r="H387" s="233"/>
      <c r="I387" s="235"/>
      <c r="J387" s="235"/>
      <c r="K387" s="235"/>
      <c r="L387" s="233"/>
      <c r="M387" s="233"/>
      <c r="N387" s="233"/>
      <c r="O387" s="235"/>
      <c r="P387" s="235"/>
      <c r="Q387" s="235"/>
      <c r="R387" s="235"/>
      <c r="S387" s="233"/>
      <c r="T387" s="235"/>
      <c r="U387" s="235"/>
      <c r="V387" s="233"/>
      <c r="W387" s="235"/>
      <c r="X387" s="235"/>
      <c r="Y387" s="235"/>
      <c r="Z387" s="233"/>
      <c r="AA387" s="233"/>
      <c r="AB387" s="233"/>
      <c r="AC387" s="245"/>
      <c r="AD387" s="245"/>
      <c r="AE387" s="245"/>
    </row>
    <row r="388" spans="1:31" ht="15.75" customHeight="1">
      <c r="A388" s="232"/>
      <c r="B388" s="233"/>
      <c r="C388" s="232"/>
      <c r="D388" s="233"/>
      <c r="E388" s="233"/>
      <c r="F388" s="235"/>
      <c r="G388" s="233"/>
      <c r="H388" s="233"/>
      <c r="I388" s="235"/>
      <c r="J388" s="235"/>
      <c r="K388" s="235"/>
      <c r="L388" s="233"/>
      <c r="M388" s="233"/>
      <c r="N388" s="233"/>
      <c r="O388" s="235"/>
      <c r="P388" s="235"/>
      <c r="Q388" s="235"/>
      <c r="R388" s="235"/>
      <c r="S388" s="233"/>
      <c r="T388" s="235"/>
      <c r="U388" s="235"/>
      <c r="V388" s="233"/>
      <c r="W388" s="235"/>
      <c r="X388" s="235"/>
      <c r="Y388" s="235"/>
      <c r="Z388" s="233"/>
      <c r="AA388" s="233"/>
      <c r="AB388" s="233"/>
      <c r="AC388" s="245"/>
      <c r="AD388" s="245"/>
      <c r="AE388" s="245"/>
    </row>
    <row r="389" spans="1:31" ht="15.75" customHeight="1">
      <c r="A389" s="232"/>
      <c r="B389" s="233"/>
      <c r="C389" s="232"/>
      <c r="D389" s="233"/>
      <c r="E389" s="233"/>
      <c r="F389" s="235"/>
      <c r="G389" s="233"/>
      <c r="H389" s="233"/>
      <c r="I389" s="235"/>
      <c r="J389" s="235"/>
      <c r="K389" s="235"/>
      <c r="L389" s="233"/>
      <c r="M389" s="233"/>
      <c r="N389" s="233"/>
      <c r="O389" s="235"/>
      <c r="P389" s="235"/>
      <c r="Q389" s="235"/>
      <c r="R389" s="235"/>
      <c r="S389" s="233"/>
      <c r="T389" s="235"/>
      <c r="U389" s="235"/>
      <c r="V389" s="233"/>
      <c r="W389" s="235"/>
      <c r="X389" s="235"/>
      <c r="Y389" s="235"/>
      <c r="Z389" s="233"/>
      <c r="AA389" s="233"/>
      <c r="AB389" s="233"/>
      <c r="AC389" s="245"/>
      <c r="AD389" s="245"/>
      <c r="AE389" s="245"/>
    </row>
    <row r="390" spans="1:31" ht="15.75" customHeight="1">
      <c r="A390" s="232"/>
      <c r="B390" s="233"/>
      <c r="C390" s="232"/>
      <c r="D390" s="233"/>
      <c r="E390" s="233"/>
      <c r="F390" s="235"/>
      <c r="G390" s="233"/>
      <c r="H390" s="233"/>
      <c r="I390" s="235"/>
      <c r="J390" s="235"/>
      <c r="K390" s="235"/>
      <c r="L390" s="233"/>
      <c r="M390" s="233"/>
      <c r="N390" s="233"/>
      <c r="O390" s="235"/>
      <c r="P390" s="235"/>
      <c r="Q390" s="235"/>
      <c r="R390" s="235"/>
      <c r="S390" s="233"/>
      <c r="T390" s="235"/>
      <c r="U390" s="235"/>
      <c r="V390" s="233"/>
      <c r="W390" s="235"/>
      <c r="X390" s="235"/>
      <c r="Y390" s="235"/>
      <c r="Z390" s="233"/>
      <c r="AA390" s="233"/>
      <c r="AB390" s="233"/>
      <c r="AC390" s="245"/>
      <c r="AD390" s="245"/>
      <c r="AE390" s="245"/>
    </row>
    <row r="391" spans="1:31" ht="15.75" customHeight="1">
      <c r="A391" s="232"/>
      <c r="B391" s="233"/>
      <c r="C391" s="232"/>
      <c r="D391" s="233"/>
      <c r="E391" s="233"/>
      <c r="F391" s="235"/>
      <c r="G391" s="233"/>
      <c r="H391" s="233"/>
      <c r="I391" s="235"/>
      <c r="J391" s="235"/>
      <c r="K391" s="235"/>
      <c r="L391" s="233"/>
      <c r="M391" s="233"/>
      <c r="N391" s="233"/>
      <c r="O391" s="235"/>
      <c r="P391" s="235"/>
      <c r="Q391" s="235"/>
      <c r="R391" s="235"/>
      <c r="S391" s="233"/>
      <c r="T391" s="235"/>
      <c r="U391" s="235"/>
      <c r="V391" s="233"/>
      <c r="W391" s="235"/>
      <c r="X391" s="235"/>
      <c r="Y391" s="235"/>
      <c r="Z391" s="233"/>
      <c r="AA391" s="233"/>
      <c r="AB391" s="233"/>
      <c r="AC391" s="245"/>
      <c r="AD391" s="245"/>
      <c r="AE391" s="245"/>
    </row>
    <row r="392" spans="1:31" ht="15.75" customHeight="1">
      <c r="A392" s="232"/>
      <c r="B392" s="233"/>
      <c r="C392" s="232"/>
      <c r="D392" s="233"/>
      <c r="E392" s="233"/>
      <c r="F392" s="235"/>
      <c r="G392" s="233"/>
      <c r="H392" s="233"/>
      <c r="I392" s="235"/>
      <c r="J392" s="235"/>
      <c r="K392" s="235"/>
      <c r="L392" s="233"/>
      <c r="M392" s="233"/>
      <c r="N392" s="233"/>
      <c r="O392" s="235"/>
      <c r="P392" s="235"/>
      <c r="Q392" s="235"/>
      <c r="R392" s="235"/>
      <c r="S392" s="233"/>
      <c r="T392" s="235"/>
      <c r="U392" s="235"/>
      <c r="V392" s="233"/>
      <c r="W392" s="235"/>
      <c r="X392" s="235"/>
      <c r="Y392" s="235"/>
      <c r="Z392" s="233"/>
      <c r="AA392" s="233"/>
      <c r="AB392" s="233"/>
      <c r="AC392" s="245"/>
      <c r="AD392" s="245"/>
      <c r="AE392" s="245"/>
    </row>
    <row r="393" spans="1:31" ht="15.75" customHeight="1">
      <c r="A393" s="232"/>
      <c r="B393" s="233"/>
      <c r="C393" s="232"/>
      <c r="D393" s="233"/>
      <c r="E393" s="233"/>
      <c r="F393" s="235"/>
      <c r="G393" s="233"/>
      <c r="H393" s="233"/>
      <c r="I393" s="235"/>
      <c r="J393" s="235"/>
      <c r="K393" s="235"/>
      <c r="L393" s="233"/>
      <c r="M393" s="233"/>
      <c r="N393" s="233"/>
      <c r="O393" s="235"/>
      <c r="P393" s="235"/>
      <c r="Q393" s="235"/>
      <c r="R393" s="235"/>
      <c r="S393" s="233"/>
      <c r="T393" s="235"/>
      <c r="U393" s="235"/>
      <c r="V393" s="233"/>
      <c r="W393" s="235"/>
      <c r="X393" s="235"/>
      <c r="Y393" s="235"/>
      <c r="Z393" s="233"/>
      <c r="AA393" s="233"/>
      <c r="AB393" s="233"/>
      <c r="AC393" s="245"/>
      <c r="AD393" s="245"/>
      <c r="AE393" s="245"/>
    </row>
    <row r="394" spans="1:31" ht="15.75" customHeight="1">
      <c r="A394" s="232"/>
      <c r="B394" s="233"/>
      <c r="C394" s="232"/>
      <c r="D394" s="233"/>
      <c r="E394" s="233"/>
      <c r="F394" s="235"/>
      <c r="G394" s="233"/>
      <c r="H394" s="233"/>
      <c r="I394" s="235"/>
      <c r="J394" s="235"/>
      <c r="K394" s="235"/>
      <c r="L394" s="233"/>
      <c r="M394" s="233"/>
      <c r="N394" s="233"/>
      <c r="O394" s="235"/>
      <c r="P394" s="235"/>
      <c r="Q394" s="235"/>
      <c r="R394" s="235"/>
      <c r="S394" s="233"/>
      <c r="T394" s="235"/>
      <c r="U394" s="235"/>
      <c r="V394" s="233"/>
      <c r="W394" s="235"/>
      <c r="X394" s="235"/>
      <c r="Y394" s="235"/>
      <c r="Z394" s="233"/>
      <c r="AA394" s="233"/>
      <c r="AB394" s="233"/>
      <c r="AC394" s="245"/>
      <c r="AD394" s="245"/>
      <c r="AE394" s="245"/>
    </row>
    <row r="395" spans="1:31" ht="15.75" customHeight="1">
      <c r="A395" s="232"/>
      <c r="B395" s="233"/>
      <c r="C395" s="232"/>
      <c r="D395" s="233"/>
      <c r="E395" s="233"/>
      <c r="F395" s="235"/>
      <c r="G395" s="233"/>
      <c r="H395" s="233"/>
      <c r="I395" s="235"/>
      <c r="J395" s="235"/>
      <c r="K395" s="235"/>
      <c r="L395" s="233"/>
      <c r="M395" s="233"/>
      <c r="N395" s="233"/>
      <c r="O395" s="235"/>
      <c r="P395" s="235"/>
      <c r="Q395" s="235"/>
      <c r="R395" s="235"/>
      <c r="S395" s="233"/>
      <c r="T395" s="235"/>
      <c r="U395" s="235"/>
      <c r="V395" s="233"/>
      <c r="W395" s="235"/>
      <c r="X395" s="235"/>
      <c r="Y395" s="235"/>
      <c r="Z395" s="233"/>
      <c r="AA395" s="233"/>
      <c r="AB395" s="233"/>
      <c r="AC395" s="245"/>
      <c r="AD395" s="245"/>
      <c r="AE395" s="245"/>
    </row>
    <row r="396" spans="1:31" ht="15.75" customHeight="1">
      <c r="A396" s="232"/>
      <c r="B396" s="233"/>
      <c r="C396" s="232"/>
      <c r="D396" s="233"/>
      <c r="E396" s="233"/>
      <c r="F396" s="235"/>
      <c r="G396" s="233"/>
      <c r="H396" s="233"/>
      <c r="I396" s="235"/>
      <c r="J396" s="235"/>
      <c r="K396" s="235"/>
      <c r="L396" s="233"/>
      <c r="M396" s="233"/>
      <c r="N396" s="233"/>
      <c r="O396" s="235"/>
      <c r="P396" s="235"/>
      <c r="Q396" s="235"/>
      <c r="R396" s="235"/>
      <c r="S396" s="233"/>
      <c r="T396" s="235"/>
      <c r="U396" s="235"/>
      <c r="V396" s="233"/>
      <c r="W396" s="235"/>
      <c r="X396" s="235"/>
      <c r="Y396" s="235"/>
      <c r="Z396" s="233"/>
      <c r="AA396" s="233"/>
      <c r="AB396" s="233"/>
      <c r="AC396" s="245"/>
      <c r="AD396" s="245"/>
      <c r="AE396" s="245"/>
    </row>
    <row r="397" spans="1:31" ht="15.75" customHeight="1">
      <c r="A397" s="232"/>
      <c r="B397" s="233"/>
      <c r="C397" s="232"/>
      <c r="D397" s="233"/>
      <c r="E397" s="233"/>
      <c r="F397" s="235"/>
      <c r="G397" s="233"/>
      <c r="H397" s="233"/>
      <c r="I397" s="235"/>
      <c r="J397" s="235"/>
      <c r="K397" s="235"/>
      <c r="L397" s="233"/>
      <c r="M397" s="233"/>
      <c r="N397" s="233"/>
      <c r="O397" s="235"/>
      <c r="P397" s="235"/>
      <c r="Q397" s="235"/>
      <c r="R397" s="235"/>
      <c r="S397" s="233"/>
      <c r="T397" s="235"/>
      <c r="U397" s="235"/>
      <c r="V397" s="233"/>
      <c r="W397" s="235"/>
      <c r="X397" s="235"/>
      <c r="Y397" s="235"/>
      <c r="Z397" s="233"/>
      <c r="AA397" s="233"/>
      <c r="AB397" s="233"/>
      <c r="AC397" s="245"/>
      <c r="AD397" s="245"/>
      <c r="AE397" s="245"/>
    </row>
    <row r="398" spans="1:31" ht="15.75" customHeight="1">
      <c r="A398" s="232"/>
      <c r="B398" s="233"/>
      <c r="C398" s="232"/>
      <c r="D398" s="233"/>
      <c r="E398" s="233"/>
      <c r="F398" s="235"/>
      <c r="G398" s="233"/>
      <c r="H398" s="233"/>
      <c r="I398" s="235"/>
      <c r="J398" s="235"/>
      <c r="K398" s="235"/>
      <c r="L398" s="233"/>
      <c r="M398" s="233"/>
      <c r="N398" s="233"/>
      <c r="O398" s="235"/>
      <c r="P398" s="235"/>
      <c r="Q398" s="235"/>
      <c r="R398" s="235"/>
      <c r="S398" s="233"/>
      <c r="T398" s="235"/>
      <c r="U398" s="235"/>
      <c r="V398" s="233"/>
      <c r="W398" s="235"/>
      <c r="X398" s="235"/>
      <c r="Y398" s="235"/>
      <c r="Z398" s="233"/>
      <c r="AA398" s="233"/>
      <c r="AB398" s="233"/>
      <c r="AC398" s="245"/>
      <c r="AD398" s="245"/>
      <c r="AE398" s="245"/>
    </row>
    <row r="399" spans="1:31" ht="15.75" customHeight="1">
      <c r="A399" s="232"/>
      <c r="B399" s="233"/>
      <c r="C399" s="232"/>
      <c r="D399" s="233"/>
      <c r="E399" s="233"/>
      <c r="F399" s="235"/>
      <c r="G399" s="233"/>
      <c r="H399" s="233"/>
      <c r="I399" s="235"/>
      <c r="J399" s="235"/>
      <c r="K399" s="235"/>
      <c r="L399" s="233"/>
      <c r="M399" s="233"/>
      <c r="N399" s="233"/>
      <c r="O399" s="235"/>
      <c r="P399" s="235"/>
      <c r="Q399" s="235"/>
      <c r="R399" s="235"/>
      <c r="S399" s="233"/>
      <c r="T399" s="235"/>
      <c r="U399" s="235"/>
      <c r="V399" s="233"/>
      <c r="W399" s="235"/>
      <c r="X399" s="235"/>
      <c r="Y399" s="235"/>
      <c r="Z399" s="233"/>
      <c r="AA399" s="233"/>
      <c r="AB399" s="233"/>
      <c r="AC399" s="245"/>
      <c r="AD399" s="245"/>
      <c r="AE399" s="245"/>
    </row>
    <row r="400" spans="1:31" ht="15.75" customHeight="1">
      <c r="A400" s="232"/>
      <c r="B400" s="233"/>
      <c r="C400" s="232"/>
      <c r="D400" s="233"/>
      <c r="E400" s="233"/>
      <c r="F400" s="235"/>
      <c r="G400" s="233"/>
      <c r="H400" s="233"/>
      <c r="I400" s="235"/>
      <c r="J400" s="235"/>
      <c r="K400" s="235"/>
      <c r="L400" s="233"/>
      <c r="M400" s="233"/>
      <c r="N400" s="233"/>
      <c r="O400" s="235"/>
      <c r="P400" s="235"/>
      <c r="Q400" s="235"/>
      <c r="R400" s="235"/>
      <c r="S400" s="233"/>
      <c r="T400" s="235"/>
      <c r="U400" s="235"/>
      <c r="V400" s="233"/>
      <c r="W400" s="235"/>
      <c r="X400" s="235"/>
      <c r="Y400" s="235"/>
      <c r="Z400" s="233"/>
      <c r="AA400" s="233"/>
      <c r="AB400" s="233"/>
      <c r="AC400" s="245"/>
      <c r="AD400" s="245"/>
      <c r="AE400" s="245"/>
    </row>
    <row r="401" spans="1:31" ht="15.75" customHeight="1">
      <c r="A401" s="232"/>
      <c r="B401" s="233"/>
      <c r="C401" s="232"/>
      <c r="D401" s="233"/>
      <c r="E401" s="233"/>
      <c r="F401" s="235"/>
      <c r="G401" s="233"/>
      <c r="H401" s="233"/>
      <c r="I401" s="235"/>
      <c r="J401" s="235"/>
      <c r="K401" s="235"/>
      <c r="L401" s="233"/>
      <c r="M401" s="233"/>
      <c r="N401" s="233"/>
      <c r="O401" s="235"/>
      <c r="P401" s="235"/>
      <c r="Q401" s="235"/>
      <c r="R401" s="235"/>
      <c r="S401" s="233"/>
      <c r="T401" s="235"/>
      <c r="U401" s="235"/>
      <c r="V401" s="233"/>
      <c r="W401" s="235"/>
      <c r="X401" s="235"/>
      <c r="Y401" s="235"/>
      <c r="Z401" s="233"/>
      <c r="AA401" s="233"/>
      <c r="AB401" s="233"/>
      <c r="AC401" s="245"/>
      <c r="AD401" s="245"/>
      <c r="AE401" s="245"/>
    </row>
    <row r="402" spans="1:31" ht="15.75" customHeight="1">
      <c r="A402" s="232"/>
      <c r="B402" s="233"/>
      <c r="C402" s="232"/>
      <c r="D402" s="233"/>
      <c r="E402" s="233"/>
      <c r="F402" s="235"/>
      <c r="G402" s="233"/>
      <c r="H402" s="233"/>
      <c r="I402" s="235"/>
      <c r="J402" s="235"/>
      <c r="K402" s="235"/>
      <c r="L402" s="233"/>
      <c r="M402" s="233"/>
      <c r="N402" s="233"/>
      <c r="O402" s="235"/>
      <c r="P402" s="235"/>
      <c r="Q402" s="235"/>
      <c r="R402" s="235"/>
      <c r="S402" s="233"/>
      <c r="T402" s="235"/>
      <c r="U402" s="235"/>
      <c r="V402" s="233"/>
      <c r="W402" s="235"/>
      <c r="X402" s="235"/>
      <c r="Y402" s="235"/>
      <c r="Z402" s="233"/>
      <c r="AA402" s="233"/>
      <c r="AB402" s="233"/>
      <c r="AC402" s="245"/>
      <c r="AD402" s="245"/>
      <c r="AE402" s="245"/>
    </row>
    <row r="403" spans="1:31" ht="15.75" customHeight="1">
      <c r="A403" s="232"/>
      <c r="B403" s="233"/>
      <c r="C403" s="232"/>
      <c r="D403" s="233"/>
      <c r="E403" s="233"/>
      <c r="F403" s="235"/>
      <c r="G403" s="233"/>
      <c r="H403" s="233"/>
      <c r="I403" s="235"/>
      <c r="J403" s="235"/>
      <c r="K403" s="235"/>
      <c r="L403" s="233"/>
      <c r="M403" s="233"/>
      <c r="N403" s="233"/>
      <c r="O403" s="235"/>
      <c r="P403" s="235"/>
      <c r="Q403" s="235"/>
      <c r="R403" s="235"/>
      <c r="S403" s="233"/>
      <c r="T403" s="235"/>
      <c r="U403" s="235"/>
      <c r="V403" s="233"/>
      <c r="W403" s="235"/>
      <c r="X403" s="235"/>
      <c r="Y403" s="235"/>
      <c r="Z403" s="233"/>
      <c r="AA403" s="233"/>
      <c r="AB403" s="233"/>
      <c r="AC403" s="245"/>
      <c r="AD403" s="245"/>
      <c r="AE403" s="245"/>
    </row>
    <row r="404" spans="1:31" ht="15.75" customHeight="1">
      <c r="A404" s="232"/>
      <c r="B404" s="233"/>
      <c r="C404" s="232"/>
      <c r="D404" s="233"/>
      <c r="E404" s="233"/>
      <c r="F404" s="235"/>
      <c r="G404" s="233"/>
      <c r="H404" s="233"/>
      <c r="I404" s="235"/>
      <c r="J404" s="235"/>
      <c r="K404" s="235"/>
      <c r="L404" s="233"/>
      <c r="M404" s="233"/>
      <c r="N404" s="233"/>
      <c r="O404" s="235"/>
      <c r="P404" s="235"/>
      <c r="Q404" s="235"/>
      <c r="R404" s="235"/>
      <c r="S404" s="233"/>
      <c r="T404" s="235"/>
      <c r="U404" s="235"/>
      <c r="V404" s="233"/>
      <c r="W404" s="235"/>
      <c r="X404" s="235"/>
      <c r="Y404" s="235"/>
      <c r="Z404" s="233"/>
      <c r="AA404" s="233"/>
      <c r="AB404" s="233"/>
      <c r="AC404" s="245"/>
      <c r="AD404" s="245"/>
      <c r="AE404" s="245"/>
    </row>
    <row r="405" spans="1:31" ht="15.75" customHeight="1">
      <c r="A405" s="232"/>
      <c r="B405" s="233"/>
      <c r="C405" s="232"/>
      <c r="D405" s="233"/>
      <c r="E405" s="233"/>
      <c r="F405" s="235"/>
      <c r="G405" s="233"/>
      <c r="H405" s="233"/>
      <c r="I405" s="235"/>
      <c r="J405" s="235"/>
      <c r="K405" s="235"/>
      <c r="L405" s="233"/>
      <c r="M405" s="233"/>
      <c r="N405" s="233"/>
      <c r="O405" s="235"/>
      <c r="P405" s="235"/>
      <c r="Q405" s="235"/>
      <c r="R405" s="235"/>
      <c r="S405" s="233"/>
      <c r="T405" s="235"/>
      <c r="U405" s="235"/>
      <c r="V405" s="233"/>
      <c r="W405" s="235"/>
      <c r="X405" s="235"/>
      <c r="Y405" s="235"/>
      <c r="Z405" s="233"/>
      <c r="AA405" s="233"/>
      <c r="AB405" s="233"/>
      <c r="AC405" s="245"/>
      <c r="AD405" s="245"/>
      <c r="AE405" s="245"/>
    </row>
    <row r="406" spans="1:31" ht="15.75" customHeight="1">
      <c r="A406" s="232"/>
      <c r="B406" s="233"/>
      <c r="C406" s="232"/>
      <c r="D406" s="233"/>
      <c r="E406" s="233"/>
      <c r="F406" s="235"/>
      <c r="G406" s="233"/>
      <c r="H406" s="233"/>
      <c r="I406" s="235"/>
      <c r="J406" s="235"/>
      <c r="K406" s="235"/>
      <c r="L406" s="233"/>
      <c r="M406" s="233"/>
      <c r="N406" s="233"/>
      <c r="O406" s="235"/>
      <c r="P406" s="235"/>
      <c r="Q406" s="235"/>
      <c r="R406" s="235"/>
      <c r="S406" s="233"/>
      <c r="T406" s="235"/>
      <c r="U406" s="235"/>
      <c r="V406" s="233"/>
      <c r="W406" s="235"/>
      <c r="X406" s="235"/>
      <c r="Y406" s="235"/>
      <c r="Z406" s="233"/>
      <c r="AA406" s="233"/>
      <c r="AB406" s="233"/>
      <c r="AC406" s="245"/>
      <c r="AD406" s="245"/>
      <c r="AE406" s="245"/>
    </row>
    <row r="407" spans="1:31" ht="15.75" customHeight="1">
      <c r="A407" s="232"/>
      <c r="B407" s="233"/>
      <c r="C407" s="232"/>
      <c r="D407" s="233"/>
      <c r="E407" s="233"/>
      <c r="F407" s="235"/>
      <c r="G407" s="233"/>
      <c r="H407" s="233"/>
      <c r="I407" s="235"/>
      <c r="J407" s="235"/>
      <c r="K407" s="235"/>
      <c r="L407" s="233"/>
      <c r="M407" s="233"/>
      <c r="N407" s="233"/>
      <c r="O407" s="235"/>
      <c r="P407" s="235"/>
      <c r="Q407" s="235"/>
      <c r="R407" s="235"/>
      <c r="S407" s="233"/>
      <c r="T407" s="235"/>
      <c r="U407" s="235"/>
      <c r="V407" s="233"/>
      <c r="W407" s="235"/>
      <c r="X407" s="235"/>
      <c r="Y407" s="235"/>
      <c r="Z407" s="233"/>
      <c r="AA407" s="233"/>
      <c r="AB407" s="233"/>
      <c r="AC407" s="245"/>
      <c r="AD407" s="245"/>
      <c r="AE407" s="245"/>
    </row>
    <row r="408" spans="1:31" ht="15.75" customHeight="1">
      <c r="A408" s="232"/>
      <c r="B408" s="233"/>
      <c r="C408" s="232"/>
      <c r="D408" s="233"/>
      <c r="E408" s="233"/>
      <c r="F408" s="235"/>
      <c r="G408" s="233"/>
      <c r="H408" s="233"/>
      <c r="I408" s="235"/>
      <c r="J408" s="235"/>
      <c r="K408" s="235"/>
      <c r="L408" s="233"/>
      <c r="M408" s="233"/>
      <c r="N408" s="233"/>
      <c r="O408" s="235"/>
      <c r="P408" s="235"/>
      <c r="Q408" s="235"/>
      <c r="R408" s="235"/>
      <c r="S408" s="233"/>
      <c r="T408" s="235"/>
      <c r="U408" s="235"/>
      <c r="V408" s="233"/>
      <c r="W408" s="235"/>
      <c r="X408" s="235"/>
      <c r="Y408" s="235"/>
      <c r="Z408" s="233"/>
      <c r="AA408" s="233"/>
      <c r="AB408" s="233"/>
      <c r="AC408" s="245"/>
      <c r="AD408" s="245"/>
      <c r="AE408" s="245"/>
    </row>
    <row r="409" spans="1:31" ht="15.75" customHeight="1">
      <c r="A409" s="232"/>
      <c r="B409" s="233"/>
      <c r="C409" s="232"/>
      <c r="D409" s="233"/>
      <c r="E409" s="233"/>
      <c r="F409" s="235"/>
      <c r="G409" s="233"/>
      <c r="H409" s="233"/>
      <c r="I409" s="235"/>
      <c r="J409" s="235"/>
      <c r="K409" s="235"/>
      <c r="L409" s="233"/>
      <c r="M409" s="233"/>
      <c r="N409" s="233"/>
      <c r="O409" s="235"/>
      <c r="P409" s="235"/>
      <c r="Q409" s="235"/>
      <c r="R409" s="235"/>
      <c r="S409" s="233"/>
      <c r="T409" s="235"/>
      <c r="U409" s="235"/>
      <c r="V409" s="233"/>
      <c r="W409" s="235"/>
      <c r="X409" s="235"/>
      <c r="Y409" s="235"/>
      <c r="Z409" s="233"/>
      <c r="AA409" s="233"/>
      <c r="AB409" s="233"/>
      <c r="AC409" s="245"/>
      <c r="AD409" s="245"/>
      <c r="AE409" s="245"/>
    </row>
    <row r="410" spans="1:31" ht="15.75" customHeight="1">
      <c r="A410" s="232"/>
      <c r="B410" s="233"/>
      <c r="C410" s="232"/>
      <c r="D410" s="233"/>
      <c r="E410" s="233"/>
      <c r="F410" s="235"/>
      <c r="G410" s="233"/>
      <c r="H410" s="233"/>
      <c r="I410" s="235"/>
      <c r="J410" s="235"/>
      <c r="K410" s="235"/>
      <c r="L410" s="233"/>
      <c r="M410" s="233"/>
      <c r="N410" s="233"/>
      <c r="O410" s="235"/>
      <c r="P410" s="235"/>
      <c r="Q410" s="235"/>
      <c r="R410" s="235"/>
      <c r="S410" s="233"/>
      <c r="T410" s="235"/>
      <c r="U410" s="235"/>
      <c r="V410" s="233"/>
      <c r="W410" s="235"/>
      <c r="X410" s="235"/>
      <c r="Y410" s="235"/>
      <c r="Z410" s="233"/>
      <c r="AA410" s="233"/>
      <c r="AB410" s="233"/>
      <c r="AC410" s="245"/>
      <c r="AD410" s="245"/>
      <c r="AE410" s="245"/>
    </row>
    <row r="411" spans="1:31" ht="15.75" customHeight="1">
      <c r="A411" s="232"/>
      <c r="B411" s="233"/>
      <c r="C411" s="232"/>
      <c r="D411" s="233"/>
      <c r="E411" s="233"/>
      <c r="F411" s="235"/>
      <c r="G411" s="233"/>
      <c r="H411" s="233"/>
      <c r="I411" s="235"/>
      <c r="J411" s="235"/>
      <c r="K411" s="235"/>
      <c r="L411" s="233"/>
      <c r="M411" s="233"/>
      <c r="N411" s="233"/>
      <c r="O411" s="235"/>
      <c r="P411" s="235"/>
      <c r="Q411" s="235"/>
      <c r="R411" s="235"/>
      <c r="S411" s="233"/>
      <c r="T411" s="235"/>
      <c r="U411" s="235"/>
      <c r="V411" s="233"/>
      <c r="W411" s="235"/>
      <c r="X411" s="235"/>
      <c r="Y411" s="235"/>
      <c r="Z411" s="233"/>
      <c r="AA411" s="233"/>
      <c r="AB411" s="233"/>
      <c r="AC411" s="245"/>
      <c r="AD411" s="245"/>
      <c r="AE411" s="245"/>
    </row>
    <row r="412" spans="1:31" ht="15.75" customHeight="1">
      <c r="A412" s="232"/>
      <c r="B412" s="233"/>
      <c r="C412" s="232"/>
      <c r="D412" s="233"/>
      <c r="E412" s="233"/>
      <c r="F412" s="235"/>
      <c r="G412" s="233"/>
      <c r="H412" s="233"/>
      <c r="I412" s="235"/>
      <c r="J412" s="235"/>
      <c r="K412" s="235"/>
      <c r="L412" s="233"/>
      <c r="M412" s="233"/>
      <c r="N412" s="233"/>
      <c r="O412" s="235"/>
      <c r="P412" s="235"/>
      <c r="Q412" s="235"/>
      <c r="R412" s="235"/>
      <c r="S412" s="233"/>
      <c r="T412" s="235"/>
      <c r="U412" s="235"/>
      <c r="V412" s="233"/>
      <c r="W412" s="235"/>
      <c r="X412" s="235"/>
      <c r="Y412" s="235"/>
      <c r="Z412" s="233"/>
      <c r="AA412" s="233"/>
      <c r="AB412" s="233"/>
      <c r="AC412" s="245"/>
      <c r="AD412" s="245"/>
      <c r="AE412" s="245"/>
    </row>
    <row r="413" spans="1:31" ht="15.75" customHeight="1">
      <c r="A413" s="232"/>
      <c r="B413" s="233"/>
      <c r="C413" s="232"/>
      <c r="D413" s="233"/>
      <c r="E413" s="233"/>
      <c r="F413" s="235"/>
      <c r="G413" s="233"/>
      <c r="H413" s="233"/>
      <c r="I413" s="235"/>
      <c r="J413" s="235"/>
      <c r="K413" s="235"/>
      <c r="L413" s="233"/>
      <c r="M413" s="233"/>
      <c r="N413" s="233"/>
      <c r="O413" s="235"/>
      <c r="P413" s="235"/>
      <c r="Q413" s="235"/>
      <c r="R413" s="235"/>
      <c r="S413" s="233"/>
      <c r="T413" s="235"/>
      <c r="U413" s="235"/>
      <c r="V413" s="233"/>
      <c r="W413" s="235"/>
      <c r="X413" s="235"/>
      <c r="Y413" s="235"/>
      <c r="Z413" s="233"/>
      <c r="AA413" s="233"/>
      <c r="AB413" s="233"/>
      <c r="AC413" s="245"/>
      <c r="AD413" s="245"/>
      <c r="AE413" s="245"/>
    </row>
    <row r="414" spans="1:31" ht="15.75" customHeight="1">
      <c r="A414" s="232"/>
      <c r="B414" s="233"/>
      <c r="C414" s="232"/>
      <c r="D414" s="233"/>
      <c r="E414" s="233"/>
      <c r="F414" s="235"/>
      <c r="G414" s="233"/>
      <c r="H414" s="233"/>
      <c r="I414" s="235"/>
      <c r="J414" s="235"/>
      <c r="K414" s="235"/>
      <c r="L414" s="233"/>
      <c r="M414" s="233"/>
      <c r="N414" s="233"/>
      <c r="O414" s="235"/>
      <c r="P414" s="235"/>
      <c r="Q414" s="235"/>
      <c r="R414" s="235"/>
      <c r="S414" s="233"/>
      <c r="T414" s="235"/>
      <c r="U414" s="235"/>
      <c r="V414" s="233"/>
      <c r="W414" s="235"/>
      <c r="X414" s="235"/>
      <c r="Y414" s="235"/>
      <c r="Z414" s="233"/>
      <c r="AA414" s="233"/>
      <c r="AB414" s="233"/>
      <c r="AC414" s="245"/>
      <c r="AD414" s="245"/>
      <c r="AE414" s="245"/>
    </row>
    <row r="415" spans="1:31" ht="15.75" customHeight="1">
      <c r="A415" s="232"/>
      <c r="B415" s="233"/>
      <c r="C415" s="232"/>
      <c r="D415" s="233"/>
      <c r="E415" s="233"/>
      <c r="F415" s="235"/>
      <c r="G415" s="233"/>
      <c r="H415" s="233"/>
      <c r="I415" s="235"/>
      <c r="J415" s="235"/>
      <c r="K415" s="235"/>
      <c r="L415" s="233"/>
      <c r="M415" s="233"/>
      <c r="N415" s="233"/>
      <c r="O415" s="235"/>
      <c r="P415" s="235"/>
      <c r="Q415" s="235"/>
      <c r="R415" s="235"/>
      <c r="S415" s="233"/>
      <c r="T415" s="235"/>
      <c r="U415" s="235"/>
      <c r="V415" s="233"/>
      <c r="W415" s="235"/>
      <c r="X415" s="235"/>
      <c r="Y415" s="235"/>
      <c r="Z415" s="233"/>
      <c r="AA415" s="233"/>
      <c r="AB415" s="233"/>
      <c r="AC415" s="245"/>
      <c r="AD415" s="245"/>
      <c r="AE415" s="245"/>
    </row>
    <row r="416" spans="1:31" ht="15.75" customHeight="1">
      <c r="A416" s="232"/>
      <c r="B416" s="233"/>
      <c r="C416" s="232"/>
      <c r="D416" s="233"/>
      <c r="E416" s="233"/>
      <c r="F416" s="235"/>
      <c r="G416" s="233"/>
      <c r="H416" s="233"/>
      <c r="I416" s="235"/>
      <c r="J416" s="235"/>
      <c r="K416" s="235"/>
      <c r="L416" s="233"/>
      <c r="M416" s="233"/>
      <c r="N416" s="233"/>
      <c r="O416" s="235"/>
      <c r="P416" s="235"/>
      <c r="Q416" s="235"/>
      <c r="R416" s="235"/>
      <c r="S416" s="233"/>
      <c r="T416" s="235"/>
      <c r="U416" s="235"/>
      <c r="V416" s="233"/>
      <c r="W416" s="235"/>
      <c r="X416" s="235"/>
      <c r="Y416" s="235"/>
      <c r="Z416" s="233"/>
      <c r="AA416" s="233"/>
      <c r="AB416" s="233"/>
      <c r="AC416" s="245"/>
      <c r="AD416" s="245"/>
      <c r="AE416" s="245"/>
    </row>
    <row r="417" spans="1:31" ht="15.75" customHeight="1">
      <c r="A417" s="232"/>
      <c r="B417" s="233"/>
      <c r="C417" s="232"/>
      <c r="D417" s="233"/>
      <c r="E417" s="233"/>
      <c r="F417" s="235"/>
      <c r="G417" s="233"/>
      <c r="H417" s="233"/>
      <c r="I417" s="235"/>
      <c r="J417" s="235"/>
      <c r="K417" s="235"/>
      <c r="L417" s="233"/>
      <c r="M417" s="233"/>
      <c r="N417" s="233"/>
      <c r="O417" s="235"/>
      <c r="P417" s="235"/>
      <c r="Q417" s="235"/>
      <c r="R417" s="235"/>
      <c r="S417" s="233"/>
      <c r="T417" s="235"/>
      <c r="U417" s="235"/>
      <c r="V417" s="233"/>
      <c r="W417" s="235"/>
      <c r="X417" s="235"/>
      <c r="Y417" s="235"/>
      <c r="Z417" s="233"/>
      <c r="AA417" s="233"/>
      <c r="AB417" s="233"/>
      <c r="AC417" s="245"/>
      <c r="AD417" s="245"/>
      <c r="AE417" s="245"/>
    </row>
    <row r="418" spans="1:31" ht="15.75" customHeight="1">
      <c r="A418" s="232"/>
      <c r="B418" s="233"/>
      <c r="C418" s="232"/>
      <c r="D418" s="233"/>
      <c r="E418" s="233"/>
      <c r="F418" s="235"/>
      <c r="G418" s="233"/>
      <c r="H418" s="233"/>
      <c r="I418" s="235"/>
      <c r="J418" s="235"/>
      <c r="K418" s="235"/>
      <c r="L418" s="233"/>
      <c r="M418" s="233"/>
      <c r="N418" s="233"/>
      <c r="O418" s="235"/>
      <c r="P418" s="235"/>
      <c r="Q418" s="235"/>
      <c r="R418" s="235"/>
      <c r="S418" s="233"/>
      <c r="T418" s="235"/>
      <c r="U418" s="235"/>
      <c r="V418" s="233"/>
      <c r="W418" s="235"/>
      <c r="X418" s="235"/>
      <c r="Y418" s="235"/>
      <c r="Z418" s="233"/>
      <c r="AA418" s="233"/>
      <c r="AB418" s="233"/>
      <c r="AC418" s="245"/>
      <c r="AD418" s="245"/>
      <c r="AE418" s="245"/>
    </row>
    <row r="419" spans="1:31" ht="15.75" customHeight="1">
      <c r="A419" s="232"/>
      <c r="B419" s="233"/>
      <c r="C419" s="232"/>
      <c r="D419" s="233"/>
      <c r="E419" s="233"/>
      <c r="F419" s="235"/>
      <c r="G419" s="233"/>
      <c r="H419" s="233"/>
      <c r="I419" s="235"/>
      <c r="J419" s="235"/>
      <c r="K419" s="235"/>
      <c r="L419" s="233"/>
      <c r="M419" s="233"/>
      <c r="N419" s="233"/>
      <c r="O419" s="235"/>
      <c r="P419" s="235"/>
      <c r="Q419" s="235"/>
      <c r="R419" s="235"/>
      <c r="S419" s="233"/>
      <c r="T419" s="235"/>
      <c r="U419" s="235"/>
      <c r="V419" s="233"/>
      <c r="W419" s="235"/>
      <c r="X419" s="235"/>
      <c r="Y419" s="235"/>
      <c r="Z419" s="233"/>
      <c r="AA419" s="233"/>
      <c r="AB419" s="233"/>
      <c r="AC419" s="245"/>
      <c r="AD419" s="245"/>
      <c r="AE419" s="245"/>
    </row>
    <row r="420" spans="1:31" ht="15.75" customHeight="1">
      <c r="A420" s="232"/>
      <c r="B420" s="233"/>
      <c r="C420" s="232"/>
      <c r="D420" s="233"/>
      <c r="E420" s="233"/>
      <c r="F420" s="235"/>
      <c r="G420" s="233"/>
      <c r="H420" s="233"/>
      <c r="I420" s="235"/>
      <c r="J420" s="235"/>
      <c r="K420" s="235"/>
      <c r="L420" s="233"/>
      <c r="M420" s="233"/>
      <c r="N420" s="233"/>
      <c r="O420" s="235"/>
      <c r="P420" s="235"/>
      <c r="Q420" s="235"/>
      <c r="R420" s="235"/>
      <c r="S420" s="233"/>
      <c r="T420" s="235"/>
      <c r="U420" s="235"/>
      <c r="V420" s="233"/>
      <c r="W420" s="235"/>
      <c r="X420" s="235"/>
      <c r="Y420" s="235"/>
      <c r="Z420" s="233"/>
      <c r="AA420" s="233"/>
      <c r="AB420" s="233"/>
      <c r="AC420" s="245"/>
      <c r="AD420" s="245"/>
      <c r="AE420" s="245"/>
    </row>
    <row r="421" spans="1:31" ht="15.75" customHeight="1">
      <c r="A421" s="232"/>
      <c r="B421" s="233"/>
      <c r="C421" s="232"/>
      <c r="D421" s="233"/>
      <c r="E421" s="233"/>
      <c r="F421" s="235"/>
      <c r="G421" s="233"/>
      <c r="H421" s="233"/>
      <c r="I421" s="235"/>
      <c r="J421" s="235"/>
      <c r="K421" s="235"/>
      <c r="L421" s="233"/>
      <c r="M421" s="233"/>
      <c r="N421" s="233"/>
      <c r="O421" s="235"/>
      <c r="P421" s="235"/>
      <c r="Q421" s="235"/>
      <c r="R421" s="235"/>
      <c r="S421" s="233"/>
      <c r="T421" s="235"/>
      <c r="U421" s="235"/>
      <c r="V421" s="233"/>
      <c r="W421" s="235"/>
      <c r="X421" s="235"/>
      <c r="Y421" s="235"/>
      <c r="Z421" s="233"/>
      <c r="AA421" s="233"/>
      <c r="AB421" s="233"/>
      <c r="AC421" s="245"/>
      <c r="AD421" s="245"/>
      <c r="AE421" s="245"/>
    </row>
    <row r="422" spans="1:31" ht="15.75" customHeight="1">
      <c r="A422" s="232"/>
      <c r="B422" s="233"/>
      <c r="C422" s="232"/>
      <c r="D422" s="233"/>
      <c r="E422" s="233"/>
      <c r="F422" s="235"/>
      <c r="G422" s="233"/>
      <c r="H422" s="233"/>
      <c r="I422" s="235"/>
      <c r="J422" s="235"/>
      <c r="K422" s="235"/>
      <c r="L422" s="233"/>
      <c r="M422" s="233"/>
      <c r="N422" s="233"/>
      <c r="O422" s="235"/>
      <c r="P422" s="235"/>
      <c r="Q422" s="235"/>
      <c r="R422" s="235"/>
      <c r="S422" s="233"/>
      <c r="T422" s="235"/>
      <c r="U422" s="235"/>
      <c r="V422" s="233"/>
      <c r="W422" s="235"/>
      <c r="X422" s="235"/>
      <c r="Y422" s="235"/>
      <c r="Z422" s="233"/>
      <c r="AA422" s="233"/>
      <c r="AB422" s="233"/>
      <c r="AC422" s="245"/>
      <c r="AD422" s="245"/>
      <c r="AE422" s="245"/>
    </row>
    <row r="423" spans="1:31" ht="15.75" customHeight="1">
      <c r="A423" s="232"/>
      <c r="B423" s="233"/>
      <c r="C423" s="232"/>
      <c r="D423" s="233"/>
      <c r="E423" s="233"/>
      <c r="F423" s="235"/>
      <c r="G423" s="233"/>
      <c r="H423" s="233"/>
      <c r="I423" s="235"/>
      <c r="J423" s="235"/>
      <c r="K423" s="235"/>
      <c r="L423" s="233"/>
      <c r="M423" s="233"/>
      <c r="N423" s="233"/>
      <c r="O423" s="235"/>
      <c r="P423" s="235"/>
      <c r="Q423" s="235"/>
      <c r="R423" s="235"/>
      <c r="S423" s="233"/>
      <c r="T423" s="235"/>
      <c r="U423" s="235"/>
      <c r="V423" s="233"/>
      <c r="W423" s="235"/>
      <c r="X423" s="235"/>
      <c r="Y423" s="235"/>
      <c r="Z423" s="233"/>
      <c r="AA423" s="233"/>
      <c r="AB423" s="233"/>
      <c r="AC423" s="245"/>
      <c r="AD423" s="245"/>
      <c r="AE423" s="245"/>
    </row>
    <row r="424" spans="1:31" ht="15.75" customHeight="1">
      <c r="A424" s="232"/>
      <c r="B424" s="233"/>
      <c r="C424" s="232"/>
      <c r="D424" s="233"/>
      <c r="E424" s="233"/>
      <c r="F424" s="235"/>
      <c r="G424" s="233"/>
      <c r="H424" s="233"/>
      <c r="I424" s="235"/>
      <c r="J424" s="235"/>
      <c r="K424" s="235"/>
      <c r="L424" s="233"/>
      <c r="M424" s="233"/>
      <c r="N424" s="233"/>
      <c r="O424" s="235"/>
      <c r="P424" s="235"/>
      <c r="Q424" s="235"/>
      <c r="R424" s="235"/>
      <c r="S424" s="233"/>
      <c r="T424" s="235"/>
      <c r="U424" s="235"/>
      <c r="V424" s="233"/>
      <c r="W424" s="235"/>
      <c r="X424" s="235"/>
      <c r="Y424" s="235"/>
      <c r="Z424" s="233"/>
      <c r="AA424" s="233"/>
      <c r="AB424" s="233"/>
      <c r="AC424" s="245"/>
      <c r="AD424" s="245"/>
      <c r="AE424" s="245"/>
    </row>
    <row r="425" spans="1:31" ht="15.75" customHeight="1">
      <c r="A425" s="232"/>
      <c r="B425" s="233"/>
      <c r="C425" s="232"/>
      <c r="D425" s="233"/>
      <c r="E425" s="233"/>
      <c r="F425" s="235"/>
      <c r="G425" s="233"/>
      <c r="H425" s="233"/>
      <c r="I425" s="235"/>
      <c r="J425" s="235"/>
      <c r="K425" s="235"/>
      <c r="L425" s="233"/>
      <c r="M425" s="233"/>
      <c r="N425" s="233"/>
      <c r="O425" s="235"/>
      <c r="P425" s="235"/>
      <c r="Q425" s="235"/>
      <c r="R425" s="235"/>
      <c r="S425" s="233"/>
      <c r="T425" s="235"/>
      <c r="U425" s="235"/>
      <c r="V425" s="233"/>
      <c r="W425" s="235"/>
      <c r="X425" s="235"/>
      <c r="Y425" s="235"/>
      <c r="Z425" s="233"/>
      <c r="AA425" s="233"/>
      <c r="AB425" s="233"/>
      <c r="AC425" s="245"/>
      <c r="AD425" s="245"/>
      <c r="AE425" s="245"/>
    </row>
    <row r="426" spans="1:31" ht="15.75" customHeight="1">
      <c r="A426" s="232"/>
      <c r="B426" s="233"/>
      <c r="C426" s="232"/>
      <c r="D426" s="233"/>
      <c r="E426" s="233"/>
      <c r="F426" s="235"/>
      <c r="G426" s="233"/>
      <c r="H426" s="233"/>
      <c r="I426" s="235"/>
      <c r="J426" s="235"/>
      <c r="K426" s="235"/>
      <c r="L426" s="233"/>
      <c r="M426" s="233"/>
      <c r="N426" s="233"/>
      <c r="O426" s="235"/>
      <c r="P426" s="235"/>
      <c r="Q426" s="235"/>
      <c r="R426" s="235"/>
      <c r="S426" s="233"/>
      <c r="T426" s="235"/>
      <c r="U426" s="235"/>
      <c r="V426" s="233"/>
      <c r="W426" s="235"/>
      <c r="X426" s="235"/>
      <c r="Y426" s="235"/>
      <c r="Z426" s="233"/>
      <c r="AA426" s="233"/>
      <c r="AB426" s="233"/>
      <c r="AC426" s="245"/>
      <c r="AD426" s="245"/>
      <c r="AE426" s="245"/>
    </row>
    <row r="427" spans="1:31" ht="15.75" customHeight="1">
      <c r="A427" s="232"/>
      <c r="B427" s="233"/>
      <c r="C427" s="232"/>
      <c r="D427" s="233"/>
      <c r="E427" s="233"/>
      <c r="F427" s="235"/>
      <c r="G427" s="233"/>
      <c r="H427" s="233"/>
      <c r="I427" s="235"/>
      <c r="J427" s="235"/>
      <c r="K427" s="235"/>
      <c r="L427" s="233"/>
      <c r="M427" s="233"/>
      <c r="N427" s="233"/>
      <c r="O427" s="235"/>
      <c r="P427" s="235"/>
      <c r="Q427" s="235"/>
      <c r="R427" s="235"/>
      <c r="S427" s="233"/>
      <c r="T427" s="235"/>
      <c r="U427" s="235"/>
      <c r="V427" s="233"/>
      <c r="W427" s="235"/>
      <c r="X427" s="235"/>
      <c r="Y427" s="235"/>
      <c r="Z427" s="233"/>
      <c r="AA427" s="233"/>
      <c r="AB427" s="233"/>
      <c r="AC427" s="245"/>
      <c r="AD427" s="245"/>
      <c r="AE427" s="245"/>
    </row>
    <row r="428" spans="1:31" ht="15.75" customHeight="1">
      <c r="A428" s="232"/>
      <c r="B428" s="233"/>
      <c r="C428" s="232"/>
      <c r="D428" s="233"/>
      <c r="E428" s="233"/>
      <c r="F428" s="235"/>
      <c r="G428" s="233"/>
      <c r="H428" s="233"/>
      <c r="I428" s="235"/>
      <c r="J428" s="235"/>
      <c r="K428" s="235"/>
      <c r="L428" s="233"/>
      <c r="M428" s="233"/>
      <c r="N428" s="233"/>
      <c r="O428" s="235"/>
      <c r="P428" s="235"/>
      <c r="Q428" s="235"/>
      <c r="R428" s="235"/>
      <c r="S428" s="233"/>
      <c r="T428" s="235"/>
      <c r="U428" s="235"/>
      <c r="V428" s="233"/>
      <c r="W428" s="235"/>
      <c r="X428" s="235"/>
      <c r="Y428" s="235"/>
      <c r="Z428" s="233"/>
      <c r="AA428" s="233"/>
      <c r="AB428" s="233"/>
      <c r="AC428" s="245"/>
      <c r="AD428" s="245"/>
      <c r="AE428" s="245"/>
    </row>
    <row r="429" spans="1:31" ht="15.75" customHeight="1">
      <c r="A429" s="232"/>
      <c r="B429" s="233"/>
      <c r="C429" s="232"/>
      <c r="D429" s="233"/>
      <c r="E429" s="233"/>
      <c r="F429" s="235"/>
      <c r="G429" s="233"/>
      <c r="H429" s="233"/>
      <c r="I429" s="235"/>
      <c r="J429" s="235"/>
      <c r="K429" s="235"/>
      <c r="L429" s="233"/>
      <c r="M429" s="233"/>
      <c r="N429" s="233"/>
      <c r="O429" s="235"/>
      <c r="P429" s="235"/>
      <c r="Q429" s="235"/>
      <c r="R429" s="235"/>
      <c r="S429" s="233"/>
      <c r="T429" s="235"/>
      <c r="U429" s="235"/>
      <c r="V429" s="233"/>
      <c r="W429" s="235"/>
      <c r="X429" s="235"/>
      <c r="Y429" s="235"/>
      <c r="Z429" s="233"/>
      <c r="AA429" s="233"/>
      <c r="AB429" s="233"/>
      <c r="AC429" s="245"/>
      <c r="AD429" s="245"/>
      <c r="AE429" s="245"/>
    </row>
    <row r="430" spans="1:31" ht="15.75" customHeight="1">
      <c r="A430" s="232"/>
      <c r="B430" s="233"/>
      <c r="C430" s="232"/>
      <c r="D430" s="233"/>
      <c r="E430" s="233"/>
      <c r="F430" s="235"/>
      <c r="G430" s="233"/>
      <c r="H430" s="233"/>
      <c r="I430" s="235"/>
      <c r="J430" s="235"/>
      <c r="K430" s="235"/>
      <c r="L430" s="233"/>
      <c r="M430" s="233"/>
      <c r="N430" s="233"/>
      <c r="O430" s="235"/>
      <c r="P430" s="235"/>
      <c r="Q430" s="235"/>
      <c r="R430" s="235"/>
      <c r="S430" s="233"/>
      <c r="T430" s="235"/>
      <c r="U430" s="235"/>
      <c r="V430" s="233"/>
      <c r="W430" s="235"/>
      <c r="X430" s="235"/>
      <c r="Y430" s="235"/>
      <c r="Z430" s="233"/>
      <c r="AA430" s="233"/>
      <c r="AB430" s="233"/>
      <c r="AC430" s="245"/>
      <c r="AD430" s="245"/>
      <c r="AE430" s="245"/>
    </row>
    <row r="431" spans="1:31" ht="15.75" customHeight="1">
      <c r="A431" s="232"/>
      <c r="B431" s="233"/>
      <c r="C431" s="232"/>
      <c r="D431" s="233"/>
      <c r="E431" s="233"/>
      <c r="F431" s="235"/>
      <c r="G431" s="233"/>
      <c r="H431" s="233"/>
      <c r="I431" s="235"/>
      <c r="J431" s="235"/>
      <c r="K431" s="235"/>
      <c r="L431" s="233"/>
      <c r="M431" s="233"/>
      <c r="N431" s="233"/>
      <c r="O431" s="235"/>
      <c r="P431" s="235"/>
      <c r="Q431" s="235"/>
      <c r="R431" s="235"/>
      <c r="S431" s="233"/>
      <c r="T431" s="235"/>
      <c r="U431" s="235"/>
      <c r="V431" s="233"/>
      <c r="W431" s="235"/>
      <c r="X431" s="235"/>
      <c r="Y431" s="235"/>
      <c r="Z431" s="233"/>
      <c r="AA431" s="233"/>
      <c r="AB431" s="233"/>
      <c r="AC431" s="245"/>
      <c r="AD431" s="245"/>
      <c r="AE431" s="245"/>
    </row>
    <row r="432" spans="1:31" ht="15.75" customHeight="1">
      <c r="A432" s="232"/>
      <c r="B432" s="233"/>
      <c r="C432" s="232"/>
      <c r="D432" s="233"/>
      <c r="E432" s="233"/>
      <c r="F432" s="235"/>
      <c r="G432" s="233"/>
      <c r="H432" s="233"/>
      <c r="I432" s="235"/>
      <c r="J432" s="235"/>
      <c r="K432" s="235"/>
      <c r="L432" s="233"/>
      <c r="M432" s="233"/>
      <c r="N432" s="233"/>
      <c r="O432" s="235"/>
      <c r="P432" s="235"/>
      <c r="Q432" s="235"/>
      <c r="R432" s="235"/>
      <c r="S432" s="233"/>
      <c r="T432" s="235"/>
      <c r="U432" s="235"/>
      <c r="V432" s="233"/>
      <c r="W432" s="235"/>
      <c r="X432" s="235"/>
      <c r="Y432" s="235"/>
      <c r="Z432" s="233"/>
      <c r="AA432" s="233"/>
      <c r="AB432" s="233"/>
      <c r="AC432" s="245"/>
      <c r="AD432" s="245"/>
      <c r="AE432" s="245"/>
    </row>
    <row r="433" spans="1:31" ht="15.75" customHeight="1">
      <c r="A433" s="232"/>
      <c r="B433" s="233"/>
      <c r="C433" s="232"/>
      <c r="D433" s="233"/>
      <c r="E433" s="233"/>
      <c r="F433" s="235"/>
      <c r="G433" s="233"/>
      <c r="H433" s="233"/>
      <c r="I433" s="235"/>
      <c r="J433" s="235"/>
      <c r="K433" s="235"/>
      <c r="L433" s="233"/>
      <c r="M433" s="233"/>
      <c r="N433" s="233"/>
      <c r="O433" s="235"/>
      <c r="P433" s="235"/>
      <c r="Q433" s="235"/>
      <c r="R433" s="235"/>
      <c r="S433" s="233"/>
      <c r="T433" s="235"/>
      <c r="U433" s="235"/>
      <c r="V433" s="233"/>
      <c r="W433" s="235"/>
      <c r="X433" s="235"/>
      <c r="Y433" s="235"/>
      <c r="Z433" s="233"/>
      <c r="AA433" s="233"/>
      <c r="AB433" s="233"/>
      <c r="AC433" s="245"/>
      <c r="AD433" s="245"/>
      <c r="AE433" s="245"/>
    </row>
    <row r="434" spans="1:31" ht="15.75" customHeight="1">
      <c r="A434" s="232"/>
      <c r="B434" s="233"/>
      <c r="C434" s="232"/>
      <c r="D434" s="233"/>
      <c r="E434" s="233"/>
      <c r="F434" s="235"/>
      <c r="G434" s="233"/>
      <c r="H434" s="233"/>
      <c r="I434" s="235"/>
      <c r="J434" s="235"/>
      <c r="K434" s="235"/>
      <c r="L434" s="233"/>
      <c r="M434" s="233"/>
      <c r="N434" s="233"/>
      <c r="O434" s="235"/>
      <c r="P434" s="235"/>
      <c r="Q434" s="235"/>
      <c r="R434" s="235"/>
      <c r="S434" s="233"/>
      <c r="T434" s="235"/>
      <c r="U434" s="235"/>
      <c r="V434" s="233"/>
      <c r="W434" s="235"/>
      <c r="X434" s="235"/>
      <c r="Y434" s="235"/>
      <c r="Z434" s="233"/>
      <c r="AA434" s="233"/>
      <c r="AB434" s="233"/>
      <c r="AC434" s="245"/>
      <c r="AD434" s="245"/>
      <c r="AE434" s="245"/>
    </row>
    <row r="435" spans="1:31" ht="15.75" customHeight="1">
      <c r="A435" s="232"/>
      <c r="B435" s="233"/>
      <c r="C435" s="232"/>
      <c r="D435" s="233"/>
      <c r="E435" s="233"/>
      <c r="F435" s="235"/>
      <c r="G435" s="233"/>
      <c r="H435" s="233"/>
      <c r="I435" s="235"/>
      <c r="J435" s="235"/>
      <c r="K435" s="235"/>
      <c r="L435" s="233"/>
      <c r="M435" s="233"/>
      <c r="N435" s="233"/>
      <c r="O435" s="235"/>
      <c r="P435" s="235"/>
      <c r="Q435" s="235"/>
      <c r="R435" s="235"/>
      <c r="S435" s="233"/>
      <c r="T435" s="235"/>
      <c r="U435" s="235"/>
      <c r="V435" s="233"/>
      <c r="W435" s="235"/>
      <c r="X435" s="235"/>
      <c r="Y435" s="235"/>
      <c r="Z435" s="233"/>
      <c r="AA435" s="233"/>
      <c r="AB435" s="233"/>
      <c r="AC435" s="245"/>
      <c r="AD435" s="245"/>
      <c r="AE435" s="245"/>
    </row>
    <row r="436" spans="1:31" ht="15.75" customHeight="1">
      <c r="A436" s="232"/>
      <c r="B436" s="233"/>
      <c r="C436" s="232"/>
      <c r="D436" s="233"/>
      <c r="E436" s="233"/>
      <c r="F436" s="235"/>
      <c r="G436" s="233"/>
      <c r="H436" s="233"/>
      <c r="I436" s="235"/>
      <c r="J436" s="235"/>
      <c r="K436" s="235"/>
      <c r="L436" s="233"/>
      <c r="M436" s="233"/>
      <c r="N436" s="233"/>
      <c r="O436" s="235"/>
      <c r="P436" s="235"/>
      <c r="Q436" s="235"/>
      <c r="R436" s="235"/>
      <c r="S436" s="233"/>
      <c r="T436" s="235"/>
      <c r="U436" s="235"/>
      <c r="V436" s="233"/>
      <c r="W436" s="235"/>
      <c r="X436" s="235"/>
      <c r="Y436" s="235"/>
      <c r="Z436" s="233"/>
      <c r="AA436" s="233"/>
      <c r="AB436" s="233"/>
      <c r="AC436" s="245"/>
      <c r="AD436" s="245"/>
      <c r="AE436" s="245"/>
    </row>
    <row r="437" spans="1:31" ht="15.75" customHeight="1">
      <c r="A437" s="232"/>
      <c r="B437" s="233"/>
      <c r="C437" s="232"/>
      <c r="D437" s="233"/>
      <c r="E437" s="233"/>
      <c r="F437" s="235"/>
      <c r="G437" s="233"/>
      <c r="H437" s="233"/>
      <c r="I437" s="235"/>
      <c r="J437" s="235"/>
      <c r="K437" s="235"/>
      <c r="L437" s="233"/>
      <c r="M437" s="233"/>
      <c r="N437" s="233"/>
      <c r="O437" s="235"/>
      <c r="P437" s="235"/>
      <c r="Q437" s="235"/>
      <c r="R437" s="235"/>
      <c r="S437" s="233"/>
      <c r="T437" s="235"/>
      <c r="U437" s="235"/>
      <c r="V437" s="233"/>
      <c r="W437" s="235"/>
      <c r="X437" s="235"/>
      <c r="Y437" s="235"/>
      <c r="Z437" s="233"/>
      <c r="AA437" s="233"/>
      <c r="AB437" s="233"/>
      <c r="AC437" s="245"/>
      <c r="AD437" s="245"/>
      <c r="AE437" s="245"/>
    </row>
    <row r="438" spans="1:31" ht="15.75" customHeight="1">
      <c r="A438" s="232"/>
      <c r="B438" s="233"/>
      <c r="C438" s="232"/>
      <c r="D438" s="233"/>
      <c r="E438" s="233"/>
      <c r="F438" s="235"/>
      <c r="G438" s="233"/>
      <c r="H438" s="233"/>
      <c r="I438" s="235"/>
      <c r="J438" s="235"/>
      <c r="K438" s="235"/>
      <c r="L438" s="233"/>
      <c r="M438" s="233"/>
      <c r="N438" s="233"/>
      <c r="O438" s="235"/>
      <c r="P438" s="235"/>
      <c r="Q438" s="235"/>
      <c r="R438" s="235"/>
      <c r="S438" s="233"/>
      <c r="T438" s="235"/>
      <c r="U438" s="235"/>
      <c r="V438" s="233"/>
      <c r="W438" s="235"/>
      <c r="X438" s="235"/>
      <c r="Y438" s="235"/>
      <c r="Z438" s="233"/>
      <c r="AA438" s="233"/>
      <c r="AB438" s="233"/>
      <c r="AC438" s="245"/>
      <c r="AD438" s="245"/>
      <c r="AE438" s="245"/>
    </row>
    <row r="439" spans="1:31" ht="15.75" customHeight="1">
      <c r="A439" s="232"/>
      <c r="B439" s="233"/>
      <c r="C439" s="232"/>
      <c r="D439" s="233"/>
      <c r="E439" s="233"/>
      <c r="F439" s="235"/>
      <c r="G439" s="233"/>
      <c r="H439" s="233"/>
      <c r="I439" s="235"/>
      <c r="J439" s="235"/>
      <c r="K439" s="235"/>
      <c r="L439" s="233"/>
      <c r="M439" s="233"/>
      <c r="N439" s="233"/>
      <c r="O439" s="235"/>
      <c r="P439" s="235"/>
      <c r="Q439" s="235"/>
      <c r="R439" s="235"/>
      <c r="S439" s="233"/>
      <c r="T439" s="235"/>
      <c r="U439" s="235"/>
      <c r="V439" s="233"/>
      <c r="W439" s="235"/>
      <c r="X439" s="235"/>
      <c r="Y439" s="235"/>
      <c r="Z439" s="233"/>
      <c r="AA439" s="233"/>
      <c r="AB439" s="233"/>
      <c r="AC439" s="245"/>
      <c r="AD439" s="245"/>
      <c r="AE439" s="245"/>
    </row>
    <row r="440" spans="1:31" ht="15.75" customHeight="1">
      <c r="A440" s="232"/>
      <c r="B440" s="233"/>
      <c r="C440" s="232"/>
      <c r="D440" s="233"/>
      <c r="E440" s="233"/>
      <c r="F440" s="235"/>
      <c r="G440" s="233"/>
      <c r="H440" s="233"/>
      <c r="I440" s="235"/>
      <c r="J440" s="235"/>
      <c r="K440" s="235"/>
      <c r="L440" s="233"/>
      <c r="M440" s="233"/>
      <c r="N440" s="233"/>
      <c r="O440" s="235"/>
      <c r="P440" s="235"/>
      <c r="Q440" s="235"/>
      <c r="R440" s="235"/>
      <c r="S440" s="233"/>
      <c r="T440" s="235"/>
      <c r="U440" s="235"/>
      <c r="V440" s="233"/>
      <c r="W440" s="235"/>
      <c r="X440" s="235"/>
      <c r="Y440" s="235"/>
      <c r="Z440" s="233"/>
      <c r="AA440" s="233"/>
      <c r="AB440" s="233"/>
      <c r="AC440" s="245"/>
      <c r="AD440" s="245"/>
      <c r="AE440" s="245"/>
    </row>
    <row r="441" spans="1:31" ht="15.75" customHeight="1">
      <c r="A441" s="232"/>
      <c r="B441" s="233"/>
      <c r="C441" s="232"/>
      <c r="D441" s="233"/>
      <c r="E441" s="233"/>
      <c r="F441" s="235"/>
      <c r="G441" s="233"/>
      <c r="H441" s="233"/>
      <c r="I441" s="235"/>
      <c r="J441" s="235"/>
      <c r="K441" s="235"/>
      <c r="L441" s="233"/>
      <c r="M441" s="233"/>
      <c r="N441" s="233"/>
      <c r="O441" s="235"/>
      <c r="P441" s="235"/>
      <c r="Q441" s="235"/>
      <c r="R441" s="235"/>
      <c r="S441" s="233"/>
      <c r="T441" s="235"/>
      <c r="U441" s="235"/>
      <c r="V441" s="233"/>
      <c r="W441" s="235"/>
      <c r="X441" s="235"/>
      <c r="Y441" s="235"/>
      <c r="Z441" s="233"/>
      <c r="AA441" s="233"/>
      <c r="AB441" s="233"/>
      <c r="AC441" s="245"/>
      <c r="AD441" s="245"/>
      <c r="AE441" s="245"/>
    </row>
    <row r="442" spans="1:31" ht="15.75" customHeight="1">
      <c r="A442" s="232"/>
      <c r="B442" s="233"/>
      <c r="C442" s="232"/>
      <c r="D442" s="233"/>
      <c r="E442" s="233"/>
      <c r="F442" s="235"/>
      <c r="G442" s="233"/>
      <c r="H442" s="233"/>
      <c r="I442" s="235"/>
      <c r="J442" s="235"/>
      <c r="K442" s="235"/>
      <c r="L442" s="233"/>
      <c r="M442" s="233"/>
      <c r="N442" s="233"/>
      <c r="O442" s="235"/>
      <c r="P442" s="235"/>
      <c r="Q442" s="235"/>
      <c r="R442" s="235"/>
      <c r="S442" s="233"/>
      <c r="T442" s="235"/>
      <c r="U442" s="235"/>
      <c r="V442" s="233"/>
      <c r="W442" s="235"/>
      <c r="X442" s="235"/>
      <c r="Y442" s="235"/>
      <c r="Z442" s="233"/>
      <c r="AA442" s="233"/>
      <c r="AB442" s="233"/>
      <c r="AC442" s="245"/>
      <c r="AD442" s="245"/>
      <c r="AE442" s="245"/>
    </row>
    <row r="443" spans="1:31" ht="15.75" customHeight="1">
      <c r="A443" s="232"/>
      <c r="B443" s="233"/>
      <c r="C443" s="232"/>
      <c r="D443" s="233"/>
      <c r="E443" s="233"/>
      <c r="F443" s="235"/>
      <c r="G443" s="233"/>
      <c r="H443" s="233"/>
      <c r="I443" s="235"/>
      <c r="J443" s="235"/>
      <c r="K443" s="235"/>
      <c r="L443" s="233"/>
      <c r="M443" s="233"/>
      <c r="N443" s="233"/>
      <c r="O443" s="235"/>
      <c r="P443" s="235"/>
      <c r="Q443" s="235"/>
      <c r="R443" s="235"/>
      <c r="S443" s="233"/>
      <c r="T443" s="235"/>
      <c r="U443" s="235"/>
      <c r="V443" s="233"/>
      <c r="W443" s="235"/>
      <c r="X443" s="235"/>
      <c r="Y443" s="235"/>
      <c r="Z443" s="233"/>
      <c r="AA443" s="233"/>
      <c r="AB443" s="233"/>
      <c r="AC443" s="245"/>
      <c r="AD443" s="245"/>
      <c r="AE443" s="245"/>
    </row>
    <row r="444" spans="1:31" ht="15.75" customHeight="1">
      <c r="A444" s="232"/>
      <c r="B444" s="233"/>
      <c r="C444" s="232"/>
      <c r="D444" s="233"/>
      <c r="E444" s="233"/>
      <c r="F444" s="235"/>
      <c r="G444" s="233"/>
      <c r="H444" s="233"/>
      <c r="I444" s="235"/>
      <c r="J444" s="235"/>
      <c r="K444" s="235"/>
      <c r="L444" s="233"/>
      <c r="M444" s="233"/>
      <c r="N444" s="233"/>
      <c r="O444" s="235"/>
      <c r="P444" s="235"/>
      <c r="Q444" s="235"/>
      <c r="R444" s="235"/>
      <c r="S444" s="233"/>
      <c r="T444" s="235"/>
      <c r="U444" s="235"/>
      <c r="V444" s="233"/>
      <c r="W444" s="235"/>
      <c r="X444" s="235"/>
      <c r="Y444" s="235"/>
      <c r="Z444" s="233"/>
      <c r="AA444" s="233"/>
      <c r="AB444" s="233"/>
      <c r="AC444" s="245"/>
      <c r="AD444" s="245"/>
      <c r="AE444" s="245"/>
    </row>
    <row r="445" spans="1:31" ht="15.75" customHeight="1">
      <c r="A445" s="232"/>
      <c r="B445" s="233"/>
      <c r="C445" s="232"/>
      <c r="D445" s="233"/>
      <c r="E445" s="233"/>
      <c r="F445" s="235"/>
      <c r="G445" s="233"/>
      <c r="H445" s="233"/>
      <c r="I445" s="235"/>
      <c r="J445" s="235"/>
      <c r="K445" s="235"/>
      <c r="L445" s="233"/>
      <c r="M445" s="233"/>
      <c r="N445" s="233"/>
      <c r="O445" s="235"/>
      <c r="P445" s="235"/>
      <c r="Q445" s="235"/>
      <c r="R445" s="235"/>
      <c r="S445" s="233"/>
      <c r="T445" s="235"/>
      <c r="U445" s="235"/>
      <c r="V445" s="233"/>
      <c r="W445" s="235"/>
      <c r="X445" s="235"/>
      <c r="Y445" s="235"/>
      <c r="Z445" s="233"/>
      <c r="AA445" s="233"/>
      <c r="AB445" s="233"/>
      <c r="AC445" s="245"/>
      <c r="AD445" s="245"/>
      <c r="AE445" s="245"/>
    </row>
    <row r="446" spans="1:31" ht="15.75" customHeight="1">
      <c r="A446" s="232"/>
      <c r="B446" s="233"/>
      <c r="C446" s="232"/>
      <c r="D446" s="233"/>
      <c r="E446" s="233"/>
      <c r="F446" s="235"/>
      <c r="G446" s="233"/>
      <c r="H446" s="233"/>
      <c r="I446" s="235"/>
      <c r="J446" s="235"/>
      <c r="K446" s="235"/>
      <c r="L446" s="233"/>
      <c r="M446" s="233"/>
      <c r="N446" s="233"/>
      <c r="O446" s="235"/>
      <c r="P446" s="235"/>
      <c r="Q446" s="235"/>
      <c r="R446" s="235"/>
      <c r="S446" s="233"/>
      <c r="T446" s="235"/>
      <c r="U446" s="235"/>
      <c r="V446" s="233"/>
      <c r="W446" s="235"/>
      <c r="X446" s="235"/>
      <c r="Y446" s="235"/>
      <c r="Z446" s="233"/>
      <c r="AA446" s="233"/>
      <c r="AB446" s="233"/>
      <c r="AC446" s="245"/>
      <c r="AD446" s="245"/>
      <c r="AE446" s="245"/>
    </row>
    <row r="447" spans="1:31" ht="15.75" customHeight="1">
      <c r="A447" s="232"/>
      <c r="B447" s="233"/>
      <c r="C447" s="232"/>
      <c r="D447" s="233"/>
      <c r="E447" s="233"/>
      <c r="F447" s="235"/>
      <c r="G447" s="233"/>
      <c r="H447" s="233"/>
      <c r="I447" s="235"/>
      <c r="J447" s="235"/>
      <c r="K447" s="235"/>
      <c r="L447" s="233"/>
      <c r="M447" s="233"/>
      <c r="N447" s="233"/>
      <c r="O447" s="235"/>
      <c r="P447" s="235"/>
      <c r="Q447" s="235"/>
      <c r="R447" s="235"/>
      <c r="S447" s="233"/>
      <c r="T447" s="235"/>
      <c r="U447" s="235"/>
      <c r="V447" s="233"/>
      <c r="W447" s="235"/>
      <c r="X447" s="235"/>
      <c r="Y447" s="235"/>
      <c r="Z447" s="233"/>
      <c r="AA447" s="233"/>
      <c r="AB447" s="233"/>
      <c r="AC447" s="245"/>
      <c r="AD447" s="245"/>
      <c r="AE447" s="245"/>
    </row>
    <row r="448" spans="1:31" ht="15.75" customHeight="1">
      <c r="A448" s="232"/>
      <c r="B448" s="233"/>
      <c r="C448" s="232"/>
      <c r="D448" s="233"/>
      <c r="E448" s="233"/>
      <c r="F448" s="235"/>
      <c r="G448" s="233"/>
      <c r="H448" s="233"/>
      <c r="I448" s="235"/>
      <c r="J448" s="235"/>
      <c r="K448" s="235"/>
      <c r="L448" s="233"/>
      <c r="M448" s="233"/>
      <c r="N448" s="233"/>
      <c r="O448" s="235"/>
      <c r="P448" s="235"/>
      <c r="Q448" s="235"/>
      <c r="R448" s="235"/>
      <c r="S448" s="233"/>
      <c r="T448" s="235"/>
      <c r="U448" s="235"/>
      <c r="V448" s="233"/>
      <c r="W448" s="235"/>
      <c r="X448" s="235"/>
      <c r="Y448" s="235"/>
      <c r="Z448" s="233"/>
      <c r="AA448" s="233"/>
      <c r="AB448" s="233"/>
      <c r="AC448" s="245"/>
      <c r="AD448" s="245"/>
      <c r="AE448" s="245"/>
    </row>
    <row r="449" spans="1:31" ht="15.75" customHeight="1">
      <c r="A449" s="232"/>
      <c r="B449" s="233"/>
      <c r="C449" s="232"/>
      <c r="D449" s="233"/>
      <c r="E449" s="233"/>
      <c r="F449" s="235"/>
      <c r="G449" s="233"/>
      <c r="H449" s="233"/>
      <c r="I449" s="235"/>
      <c r="J449" s="235"/>
      <c r="K449" s="235"/>
      <c r="L449" s="233"/>
      <c r="M449" s="233"/>
      <c r="N449" s="233"/>
      <c r="O449" s="235"/>
      <c r="P449" s="235"/>
      <c r="Q449" s="235"/>
      <c r="R449" s="235"/>
      <c r="S449" s="233"/>
      <c r="T449" s="235"/>
      <c r="U449" s="235"/>
      <c r="V449" s="233"/>
      <c r="W449" s="235"/>
      <c r="X449" s="235"/>
      <c r="Y449" s="235"/>
      <c r="Z449" s="233"/>
      <c r="AA449" s="233"/>
      <c r="AB449" s="233"/>
      <c r="AC449" s="245"/>
      <c r="AD449" s="245"/>
      <c r="AE449" s="245"/>
    </row>
    <row r="450" spans="1:31" ht="15.75" customHeight="1">
      <c r="A450" s="232"/>
      <c r="B450" s="233"/>
      <c r="C450" s="232"/>
      <c r="D450" s="233"/>
      <c r="E450" s="233"/>
      <c r="F450" s="235"/>
      <c r="G450" s="233"/>
      <c r="H450" s="233"/>
      <c r="I450" s="235"/>
      <c r="J450" s="235"/>
      <c r="K450" s="235"/>
      <c r="L450" s="233"/>
      <c r="M450" s="233"/>
      <c r="N450" s="233"/>
      <c r="O450" s="235"/>
      <c r="P450" s="235"/>
      <c r="Q450" s="235"/>
      <c r="R450" s="235"/>
      <c r="S450" s="233"/>
      <c r="T450" s="235"/>
      <c r="U450" s="235"/>
      <c r="V450" s="233"/>
      <c r="W450" s="235"/>
      <c r="X450" s="235"/>
      <c r="Y450" s="235"/>
      <c r="Z450" s="233"/>
      <c r="AA450" s="233"/>
      <c r="AB450" s="233"/>
      <c r="AC450" s="245"/>
      <c r="AD450" s="245"/>
      <c r="AE450" s="245"/>
    </row>
    <row r="451" spans="1:31" ht="15.75" customHeight="1">
      <c r="A451" s="232"/>
      <c r="B451" s="233"/>
      <c r="C451" s="232"/>
      <c r="D451" s="233"/>
      <c r="E451" s="233"/>
      <c r="F451" s="235"/>
      <c r="G451" s="233"/>
      <c r="H451" s="233"/>
      <c r="I451" s="235"/>
      <c r="J451" s="235"/>
      <c r="K451" s="235"/>
      <c r="L451" s="233"/>
      <c r="M451" s="233"/>
      <c r="N451" s="233"/>
      <c r="O451" s="235"/>
      <c r="P451" s="235"/>
      <c r="Q451" s="235"/>
      <c r="R451" s="235"/>
      <c r="S451" s="233"/>
      <c r="T451" s="235"/>
      <c r="U451" s="235"/>
      <c r="V451" s="233"/>
      <c r="W451" s="235"/>
      <c r="X451" s="235"/>
      <c r="Y451" s="235"/>
      <c r="Z451" s="233"/>
      <c r="AA451" s="233"/>
      <c r="AB451" s="233"/>
      <c r="AC451" s="245"/>
      <c r="AD451" s="245"/>
      <c r="AE451" s="245"/>
    </row>
    <row r="452" spans="1:31" ht="15.75" customHeight="1">
      <c r="A452" s="232"/>
      <c r="B452" s="233"/>
      <c r="C452" s="232"/>
      <c r="D452" s="233"/>
      <c r="E452" s="233"/>
      <c r="F452" s="235"/>
      <c r="G452" s="233"/>
      <c r="H452" s="233"/>
      <c r="I452" s="235"/>
      <c r="J452" s="235"/>
      <c r="K452" s="235"/>
      <c r="L452" s="233"/>
      <c r="M452" s="233"/>
      <c r="N452" s="233"/>
      <c r="O452" s="235"/>
      <c r="P452" s="235"/>
      <c r="Q452" s="235"/>
      <c r="R452" s="235"/>
      <c r="S452" s="233"/>
      <c r="T452" s="235"/>
      <c r="U452" s="235"/>
      <c r="V452" s="233"/>
      <c r="W452" s="235"/>
      <c r="X452" s="235"/>
      <c r="Y452" s="235"/>
      <c r="Z452" s="233"/>
      <c r="AA452" s="233"/>
      <c r="AB452" s="233"/>
      <c r="AC452" s="245"/>
      <c r="AD452" s="245"/>
      <c r="AE452" s="245"/>
    </row>
    <row r="453" spans="1:31" ht="15.75" customHeight="1">
      <c r="A453" s="232"/>
      <c r="B453" s="233"/>
      <c r="C453" s="232"/>
      <c r="D453" s="233"/>
      <c r="E453" s="233"/>
      <c r="F453" s="235"/>
      <c r="G453" s="233"/>
      <c r="H453" s="233"/>
      <c r="I453" s="235"/>
      <c r="J453" s="235"/>
      <c r="K453" s="235"/>
      <c r="L453" s="233"/>
      <c r="M453" s="233"/>
      <c r="N453" s="233"/>
      <c r="O453" s="235"/>
      <c r="P453" s="235"/>
      <c r="Q453" s="235"/>
      <c r="R453" s="235"/>
      <c r="S453" s="233"/>
      <c r="T453" s="235"/>
      <c r="U453" s="235"/>
      <c r="V453" s="233"/>
      <c r="W453" s="235"/>
      <c r="X453" s="235"/>
      <c r="Y453" s="235"/>
      <c r="Z453" s="233"/>
      <c r="AA453" s="233"/>
      <c r="AB453" s="233"/>
      <c r="AC453" s="245"/>
      <c r="AD453" s="245"/>
      <c r="AE453" s="245"/>
    </row>
    <row r="454" spans="1:31" ht="15.75" customHeight="1">
      <c r="A454" s="232"/>
      <c r="B454" s="233"/>
      <c r="C454" s="232"/>
      <c r="D454" s="233"/>
      <c r="E454" s="233"/>
      <c r="F454" s="235"/>
      <c r="G454" s="233"/>
      <c r="H454" s="233"/>
      <c r="I454" s="235"/>
      <c r="J454" s="235"/>
      <c r="K454" s="235"/>
      <c r="L454" s="233"/>
      <c r="M454" s="233"/>
      <c r="N454" s="233"/>
      <c r="O454" s="235"/>
      <c r="P454" s="235"/>
      <c r="Q454" s="235"/>
      <c r="R454" s="235"/>
      <c r="S454" s="233"/>
      <c r="T454" s="235"/>
      <c r="U454" s="235"/>
      <c r="V454" s="233"/>
      <c r="W454" s="235"/>
      <c r="X454" s="235"/>
      <c r="Y454" s="235"/>
      <c r="Z454" s="233"/>
      <c r="AA454" s="233"/>
      <c r="AB454" s="233"/>
      <c r="AC454" s="245"/>
      <c r="AD454" s="245"/>
      <c r="AE454" s="245"/>
    </row>
    <row r="455" spans="1:31" ht="15.75" customHeight="1">
      <c r="A455" s="232"/>
      <c r="B455" s="233"/>
      <c r="C455" s="232"/>
      <c r="D455" s="233"/>
      <c r="E455" s="233"/>
      <c r="F455" s="235"/>
      <c r="G455" s="233"/>
      <c r="H455" s="233"/>
      <c r="I455" s="235"/>
      <c r="J455" s="235"/>
      <c r="K455" s="235"/>
      <c r="L455" s="233"/>
      <c r="M455" s="233"/>
      <c r="N455" s="233"/>
      <c r="O455" s="235"/>
      <c r="P455" s="235"/>
      <c r="Q455" s="235"/>
      <c r="R455" s="235"/>
      <c r="S455" s="233"/>
      <c r="T455" s="235"/>
      <c r="U455" s="235"/>
      <c r="V455" s="233"/>
      <c r="W455" s="235"/>
      <c r="X455" s="235"/>
      <c r="Y455" s="235"/>
      <c r="Z455" s="233"/>
      <c r="AA455" s="233"/>
      <c r="AB455" s="233"/>
      <c r="AC455" s="245"/>
      <c r="AD455" s="245"/>
      <c r="AE455" s="245"/>
    </row>
    <row r="456" spans="1:31" ht="15.75" customHeight="1">
      <c r="A456" s="232"/>
      <c r="B456" s="233"/>
      <c r="C456" s="232"/>
      <c r="D456" s="233"/>
      <c r="E456" s="233"/>
      <c r="F456" s="235"/>
      <c r="G456" s="233"/>
      <c r="H456" s="233"/>
      <c r="I456" s="235"/>
      <c r="J456" s="235"/>
      <c r="K456" s="235"/>
      <c r="L456" s="233"/>
      <c r="M456" s="233"/>
      <c r="N456" s="233"/>
      <c r="O456" s="235"/>
      <c r="P456" s="235"/>
      <c r="Q456" s="235"/>
      <c r="R456" s="235"/>
      <c r="S456" s="233"/>
      <c r="T456" s="235"/>
      <c r="U456" s="235"/>
      <c r="V456" s="233"/>
      <c r="W456" s="235"/>
      <c r="X456" s="235"/>
      <c r="Y456" s="235"/>
      <c r="Z456" s="233"/>
      <c r="AA456" s="233"/>
      <c r="AB456" s="233"/>
      <c r="AC456" s="245"/>
      <c r="AD456" s="245"/>
      <c r="AE456" s="245"/>
    </row>
    <row r="457" spans="1:31" ht="15.75" customHeight="1">
      <c r="A457" s="232"/>
      <c r="B457" s="233"/>
      <c r="C457" s="232"/>
      <c r="D457" s="233"/>
      <c r="E457" s="233"/>
      <c r="F457" s="235"/>
      <c r="G457" s="233"/>
      <c r="H457" s="233"/>
      <c r="I457" s="235"/>
      <c r="J457" s="235"/>
      <c r="K457" s="235"/>
      <c r="L457" s="233"/>
      <c r="M457" s="233"/>
      <c r="N457" s="233"/>
      <c r="O457" s="235"/>
      <c r="P457" s="235"/>
      <c r="Q457" s="235"/>
      <c r="R457" s="235"/>
      <c r="S457" s="233"/>
      <c r="T457" s="235"/>
      <c r="U457" s="235"/>
      <c r="V457" s="233"/>
      <c r="W457" s="235"/>
      <c r="X457" s="235"/>
      <c r="Y457" s="235"/>
      <c r="Z457" s="233"/>
      <c r="AA457" s="233"/>
      <c r="AB457" s="233"/>
      <c r="AC457" s="245"/>
      <c r="AD457" s="245"/>
      <c r="AE457" s="245"/>
    </row>
    <row r="458" spans="1:31" ht="15.75" customHeight="1">
      <c r="A458" s="232"/>
      <c r="B458" s="233"/>
      <c r="C458" s="232"/>
      <c r="D458" s="233"/>
      <c r="E458" s="233"/>
      <c r="F458" s="235"/>
      <c r="G458" s="233"/>
      <c r="H458" s="233"/>
      <c r="I458" s="235"/>
      <c r="J458" s="235"/>
      <c r="K458" s="235"/>
      <c r="L458" s="233"/>
      <c r="M458" s="233"/>
      <c r="N458" s="233"/>
      <c r="O458" s="235"/>
      <c r="P458" s="235"/>
      <c r="Q458" s="235"/>
      <c r="R458" s="235"/>
      <c r="S458" s="233"/>
      <c r="T458" s="235"/>
      <c r="U458" s="235"/>
      <c r="V458" s="233"/>
      <c r="W458" s="235"/>
      <c r="X458" s="235"/>
      <c r="Y458" s="235"/>
      <c r="Z458" s="233"/>
      <c r="AA458" s="233"/>
      <c r="AB458" s="233"/>
      <c r="AC458" s="245"/>
      <c r="AD458" s="245"/>
      <c r="AE458" s="245"/>
    </row>
    <row r="459" spans="1:31" ht="15.75" customHeight="1">
      <c r="A459" s="232"/>
      <c r="B459" s="233"/>
      <c r="C459" s="232"/>
      <c r="D459" s="233"/>
      <c r="E459" s="233"/>
      <c r="F459" s="235"/>
      <c r="G459" s="233"/>
      <c r="H459" s="233"/>
      <c r="I459" s="235"/>
      <c r="J459" s="235"/>
      <c r="K459" s="235"/>
      <c r="L459" s="233"/>
      <c r="M459" s="233"/>
      <c r="N459" s="233"/>
      <c r="O459" s="235"/>
      <c r="P459" s="235"/>
      <c r="Q459" s="235"/>
      <c r="R459" s="235"/>
      <c r="S459" s="233"/>
      <c r="T459" s="235"/>
      <c r="U459" s="235"/>
      <c r="V459" s="233"/>
      <c r="W459" s="235"/>
      <c r="X459" s="235"/>
      <c r="Y459" s="235"/>
      <c r="Z459" s="233"/>
      <c r="AA459" s="233"/>
      <c r="AB459" s="233"/>
      <c r="AC459" s="245"/>
      <c r="AD459" s="245"/>
      <c r="AE459" s="245"/>
    </row>
    <row r="460" spans="1:31" ht="15.75" customHeight="1">
      <c r="A460" s="232"/>
      <c r="B460" s="233"/>
      <c r="C460" s="232"/>
      <c r="D460" s="233"/>
      <c r="E460" s="233"/>
      <c r="F460" s="235"/>
      <c r="G460" s="233"/>
      <c r="H460" s="233"/>
      <c r="I460" s="235"/>
      <c r="J460" s="235"/>
      <c r="K460" s="235"/>
      <c r="L460" s="233"/>
      <c r="M460" s="233"/>
      <c r="N460" s="233"/>
      <c r="O460" s="235"/>
      <c r="P460" s="235"/>
      <c r="Q460" s="235"/>
      <c r="R460" s="235"/>
      <c r="S460" s="233"/>
      <c r="T460" s="235"/>
      <c r="U460" s="235"/>
      <c r="V460" s="233"/>
      <c r="W460" s="235"/>
      <c r="X460" s="235"/>
      <c r="Y460" s="235"/>
      <c r="Z460" s="233"/>
      <c r="AA460" s="233"/>
      <c r="AB460" s="233"/>
      <c r="AC460" s="245"/>
      <c r="AD460" s="245"/>
      <c r="AE460" s="245"/>
    </row>
    <row r="461" spans="1:31" ht="15.75" customHeight="1">
      <c r="A461" s="232"/>
      <c r="B461" s="233"/>
      <c r="C461" s="232"/>
      <c r="D461" s="233"/>
      <c r="E461" s="233"/>
      <c r="F461" s="235"/>
      <c r="G461" s="233"/>
      <c r="H461" s="233"/>
      <c r="I461" s="235"/>
      <c r="J461" s="235"/>
      <c r="K461" s="235"/>
      <c r="L461" s="233"/>
      <c r="M461" s="233"/>
      <c r="N461" s="233"/>
      <c r="O461" s="235"/>
      <c r="P461" s="235"/>
      <c r="Q461" s="235"/>
      <c r="R461" s="235"/>
      <c r="S461" s="233"/>
      <c r="T461" s="235"/>
      <c r="U461" s="235"/>
      <c r="V461" s="233"/>
      <c r="W461" s="235"/>
      <c r="X461" s="235"/>
      <c r="Y461" s="235"/>
      <c r="Z461" s="233"/>
      <c r="AA461" s="233"/>
      <c r="AB461" s="233"/>
      <c r="AC461" s="245"/>
      <c r="AD461" s="245"/>
      <c r="AE461" s="245"/>
    </row>
    <row r="462" spans="1:31" ht="15.75" customHeight="1">
      <c r="A462" s="232"/>
      <c r="B462" s="233"/>
      <c r="C462" s="232"/>
      <c r="D462" s="233"/>
      <c r="E462" s="233"/>
      <c r="F462" s="235"/>
      <c r="G462" s="233"/>
      <c r="H462" s="233"/>
      <c r="I462" s="235"/>
      <c r="J462" s="235"/>
      <c r="K462" s="235"/>
      <c r="L462" s="233"/>
      <c r="M462" s="233"/>
      <c r="N462" s="233"/>
      <c r="O462" s="235"/>
      <c r="P462" s="235"/>
      <c r="Q462" s="235"/>
      <c r="R462" s="235"/>
      <c r="S462" s="233"/>
      <c r="T462" s="235"/>
      <c r="U462" s="235"/>
      <c r="V462" s="233"/>
      <c r="W462" s="235"/>
      <c r="X462" s="235"/>
      <c r="Y462" s="235"/>
      <c r="Z462" s="233"/>
      <c r="AA462" s="233"/>
      <c r="AB462" s="233"/>
      <c r="AC462" s="245"/>
      <c r="AD462" s="245"/>
      <c r="AE462" s="245"/>
    </row>
    <row r="463" spans="1:31" ht="15.75" customHeight="1">
      <c r="A463" s="232"/>
      <c r="B463" s="233"/>
      <c r="C463" s="232"/>
      <c r="D463" s="233"/>
      <c r="E463" s="233"/>
      <c r="F463" s="235"/>
      <c r="G463" s="233"/>
      <c r="H463" s="233"/>
      <c r="I463" s="235"/>
      <c r="J463" s="235"/>
      <c r="K463" s="235"/>
      <c r="L463" s="233"/>
      <c r="M463" s="233"/>
      <c r="N463" s="233"/>
      <c r="O463" s="235"/>
      <c r="P463" s="235"/>
      <c r="Q463" s="235"/>
      <c r="R463" s="235"/>
      <c r="S463" s="233"/>
      <c r="T463" s="235"/>
      <c r="U463" s="235"/>
      <c r="V463" s="233"/>
      <c r="W463" s="235"/>
      <c r="X463" s="235"/>
      <c r="Y463" s="235"/>
      <c r="Z463" s="233"/>
      <c r="AA463" s="233"/>
      <c r="AB463" s="233"/>
      <c r="AC463" s="245"/>
      <c r="AD463" s="245"/>
      <c r="AE463" s="245"/>
    </row>
    <row r="464" spans="1:31" ht="15.75" customHeight="1">
      <c r="A464" s="232"/>
      <c r="B464" s="233"/>
      <c r="C464" s="232"/>
      <c r="D464" s="233"/>
      <c r="E464" s="233"/>
      <c r="F464" s="235"/>
      <c r="G464" s="233"/>
      <c r="H464" s="233"/>
      <c r="I464" s="235"/>
      <c r="J464" s="235"/>
      <c r="K464" s="235"/>
      <c r="L464" s="233"/>
      <c r="M464" s="233"/>
      <c r="N464" s="233"/>
      <c r="O464" s="235"/>
      <c r="P464" s="235"/>
      <c r="Q464" s="235"/>
      <c r="R464" s="235"/>
      <c r="S464" s="233"/>
      <c r="T464" s="235"/>
      <c r="U464" s="235"/>
      <c r="V464" s="233"/>
      <c r="W464" s="235"/>
      <c r="X464" s="235"/>
      <c r="Y464" s="235"/>
      <c r="Z464" s="233"/>
      <c r="AA464" s="233"/>
      <c r="AB464" s="233"/>
      <c r="AC464" s="245"/>
      <c r="AD464" s="245"/>
      <c r="AE464" s="245"/>
    </row>
    <row r="465" spans="1:31" ht="15.75" customHeight="1">
      <c r="A465" s="232"/>
      <c r="B465" s="233"/>
      <c r="C465" s="232"/>
      <c r="D465" s="233"/>
      <c r="E465" s="233"/>
      <c r="F465" s="235"/>
      <c r="G465" s="233"/>
      <c r="H465" s="233"/>
      <c r="I465" s="235"/>
      <c r="J465" s="235"/>
      <c r="K465" s="235"/>
      <c r="L465" s="233"/>
      <c r="M465" s="233"/>
      <c r="N465" s="233"/>
      <c r="O465" s="235"/>
      <c r="P465" s="235"/>
      <c r="Q465" s="235"/>
      <c r="R465" s="235"/>
      <c r="S465" s="233"/>
      <c r="T465" s="235"/>
      <c r="U465" s="235"/>
      <c r="V465" s="233"/>
      <c r="W465" s="235"/>
      <c r="X465" s="235"/>
      <c r="Y465" s="235"/>
      <c r="Z465" s="233"/>
      <c r="AA465" s="233"/>
      <c r="AB465" s="233"/>
      <c r="AC465" s="245"/>
      <c r="AD465" s="245"/>
      <c r="AE465" s="245"/>
    </row>
    <row r="466" spans="1:31" ht="15.75" customHeight="1">
      <c r="A466" s="232"/>
      <c r="B466" s="233"/>
      <c r="C466" s="232"/>
      <c r="D466" s="233"/>
      <c r="E466" s="233"/>
      <c r="F466" s="235"/>
      <c r="G466" s="233"/>
      <c r="H466" s="233"/>
      <c r="I466" s="235"/>
      <c r="J466" s="235"/>
      <c r="K466" s="235"/>
      <c r="L466" s="233"/>
      <c r="M466" s="233"/>
      <c r="N466" s="233"/>
      <c r="O466" s="235"/>
      <c r="P466" s="235"/>
      <c r="Q466" s="235"/>
      <c r="R466" s="235"/>
      <c r="S466" s="233"/>
      <c r="T466" s="235"/>
      <c r="U466" s="235"/>
      <c r="V466" s="233"/>
      <c r="W466" s="235"/>
      <c r="X466" s="235"/>
      <c r="Y466" s="235"/>
      <c r="Z466" s="233"/>
      <c r="AA466" s="233"/>
      <c r="AB466" s="233"/>
      <c r="AC466" s="245"/>
      <c r="AD466" s="245"/>
      <c r="AE466" s="245"/>
    </row>
    <row r="467" spans="1:31" ht="15.75" customHeight="1">
      <c r="A467" s="232"/>
      <c r="B467" s="233"/>
      <c r="C467" s="232"/>
      <c r="D467" s="233"/>
      <c r="E467" s="233"/>
      <c r="F467" s="235"/>
      <c r="G467" s="233"/>
      <c r="H467" s="233"/>
      <c r="I467" s="235"/>
      <c r="J467" s="235"/>
      <c r="K467" s="235"/>
      <c r="L467" s="233"/>
      <c r="M467" s="233"/>
      <c r="N467" s="233"/>
      <c r="O467" s="235"/>
      <c r="P467" s="235"/>
      <c r="Q467" s="235"/>
      <c r="R467" s="235"/>
      <c r="S467" s="233"/>
      <c r="T467" s="235"/>
      <c r="U467" s="235"/>
      <c r="V467" s="233"/>
      <c r="W467" s="235"/>
      <c r="X467" s="235"/>
      <c r="Y467" s="235"/>
      <c r="Z467" s="233"/>
      <c r="AA467" s="233"/>
      <c r="AB467" s="233"/>
      <c r="AC467" s="245"/>
      <c r="AD467" s="245"/>
      <c r="AE467" s="245"/>
    </row>
    <row r="468" spans="1:31" ht="15.75" customHeight="1">
      <c r="A468" s="232"/>
      <c r="B468" s="233"/>
      <c r="C468" s="232"/>
      <c r="D468" s="233"/>
      <c r="E468" s="233"/>
      <c r="F468" s="235"/>
      <c r="G468" s="233"/>
      <c r="H468" s="233"/>
      <c r="I468" s="235"/>
      <c r="J468" s="235"/>
      <c r="K468" s="235"/>
      <c r="L468" s="233"/>
      <c r="M468" s="233"/>
      <c r="N468" s="233"/>
      <c r="O468" s="235"/>
      <c r="P468" s="235"/>
      <c r="Q468" s="235"/>
      <c r="R468" s="235"/>
      <c r="S468" s="233"/>
      <c r="T468" s="235"/>
      <c r="U468" s="235"/>
      <c r="V468" s="233"/>
      <c r="W468" s="235"/>
      <c r="X468" s="235"/>
      <c r="Y468" s="235"/>
      <c r="Z468" s="233"/>
      <c r="AA468" s="233"/>
      <c r="AB468" s="233"/>
      <c r="AC468" s="245"/>
      <c r="AD468" s="245"/>
      <c r="AE468" s="245"/>
    </row>
    <row r="469" spans="1:31" ht="15.75" customHeight="1">
      <c r="A469" s="232"/>
      <c r="B469" s="233"/>
      <c r="C469" s="232"/>
      <c r="D469" s="233"/>
      <c r="E469" s="233"/>
      <c r="F469" s="235"/>
      <c r="G469" s="233"/>
      <c r="H469" s="233"/>
      <c r="I469" s="235"/>
      <c r="J469" s="235"/>
      <c r="K469" s="235"/>
      <c r="L469" s="233"/>
      <c r="M469" s="233"/>
      <c r="N469" s="233"/>
      <c r="O469" s="235"/>
      <c r="P469" s="235"/>
      <c r="Q469" s="235"/>
      <c r="R469" s="235"/>
      <c r="S469" s="233"/>
      <c r="T469" s="235"/>
      <c r="U469" s="235"/>
      <c r="V469" s="233"/>
      <c r="W469" s="235"/>
      <c r="X469" s="235"/>
      <c r="Y469" s="235"/>
      <c r="Z469" s="233"/>
      <c r="AA469" s="233"/>
      <c r="AB469" s="233"/>
      <c r="AC469" s="245"/>
      <c r="AD469" s="245"/>
      <c r="AE469" s="245"/>
    </row>
    <row r="470" spans="1:31" ht="15.75" customHeight="1">
      <c r="A470" s="232"/>
      <c r="B470" s="233"/>
      <c r="C470" s="232"/>
      <c r="D470" s="233"/>
      <c r="E470" s="233"/>
      <c r="F470" s="235"/>
      <c r="G470" s="233"/>
      <c r="H470" s="233"/>
      <c r="I470" s="235"/>
      <c r="J470" s="235"/>
      <c r="K470" s="235"/>
      <c r="L470" s="233"/>
      <c r="M470" s="233"/>
      <c r="N470" s="233"/>
      <c r="O470" s="235"/>
      <c r="P470" s="235"/>
      <c r="Q470" s="235"/>
      <c r="R470" s="235"/>
      <c r="S470" s="233"/>
      <c r="T470" s="235"/>
      <c r="U470" s="235"/>
      <c r="V470" s="233"/>
      <c r="W470" s="235"/>
      <c r="X470" s="235"/>
      <c r="Y470" s="235"/>
      <c r="Z470" s="233"/>
      <c r="AA470" s="233"/>
      <c r="AB470" s="233"/>
      <c r="AC470" s="245"/>
      <c r="AD470" s="245"/>
      <c r="AE470" s="245"/>
    </row>
    <row r="471" spans="1:31" ht="15.75" customHeight="1">
      <c r="A471" s="232"/>
      <c r="B471" s="233"/>
      <c r="C471" s="232"/>
      <c r="D471" s="233"/>
      <c r="E471" s="233"/>
      <c r="F471" s="235"/>
      <c r="G471" s="233"/>
      <c r="H471" s="233"/>
      <c r="I471" s="235"/>
      <c r="J471" s="235"/>
      <c r="K471" s="235"/>
      <c r="L471" s="233"/>
      <c r="M471" s="233"/>
      <c r="N471" s="233"/>
      <c r="O471" s="235"/>
      <c r="P471" s="235"/>
      <c r="Q471" s="235"/>
      <c r="R471" s="235"/>
      <c r="S471" s="233"/>
      <c r="T471" s="235"/>
      <c r="U471" s="235"/>
      <c r="V471" s="233"/>
      <c r="W471" s="235"/>
      <c r="X471" s="235"/>
      <c r="Y471" s="235"/>
      <c r="Z471" s="233"/>
      <c r="AA471" s="233"/>
      <c r="AB471" s="233"/>
      <c r="AC471" s="245"/>
      <c r="AD471" s="245"/>
      <c r="AE471" s="245"/>
    </row>
    <row r="472" spans="1:31" ht="15.75" customHeight="1">
      <c r="A472" s="232"/>
      <c r="B472" s="233"/>
      <c r="C472" s="232"/>
      <c r="D472" s="233"/>
      <c r="E472" s="233"/>
      <c r="F472" s="235"/>
      <c r="G472" s="233"/>
      <c r="H472" s="233"/>
      <c r="I472" s="235"/>
      <c r="J472" s="235"/>
      <c r="K472" s="235"/>
      <c r="L472" s="233"/>
      <c r="M472" s="233"/>
      <c r="N472" s="233"/>
      <c r="O472" s="235"/>
      <c r="P472" s="235"/>
      <c r="Q472" s="235"/>
      <c r="R472" s="235"/>
      <c r="S472" s="233"/>
      <c r="T472" s="235"/>
      <c r="U472" s="235"/>
      <c r="V472" s="233"/>
      <c r="W472" s="235"/>
      <c r="X472" s="235"/>
      <c r="Y472" s="235"/>
      <c r="Z472" s="233"/>
      <c r="AA472" s="233"/>
      <c r="AB472" s="233"/>
      <c r="AC472" s="245"/>
      <c r="AD472" s="245"/>
      <c r="AE472" s="245"/>
    </row>
    <row r="473" spans="1:31" ht="15.75" customHeight="1">
      <c r="A473" s="232"/>
      <c r="B473" s="233"/>
      <c r="C473" s="232"/>
      <c r="D473" s="233"/>
      <c r="E473" s="233"/>
      <c r="F473" s="235"/>
      <c r="G473" s="233"/>
      <c r="H473" s="233"/>
      <c r="I473" s="235"/>
      <c r="J473" s="235"/>
      <c r="K473" s="235"/>
      <c r="L473" s="233"/>
      <c r="M473" s="233"/>
      <c r="N473" s="233"/>
      <c r="O473" s="235"/>
      <c r="P473" s="235"/>
      <c r="Q473" s="235"/>
      <c r="R473" s="235"/>
      <c r="S473" s="233"/>
      <c r="T473" s="235"/>
      <c r="U473" s="235"/>
      <c r="V473" s="233"/>
      <c r="W473" s="235"/>
      <c r="X473" s="235"/>
      <c r="Y473" s="235"/>
      <c r="Z473" s="233"/>
      <c r="AA473" s="233"/>
      <c r="AB473" s="233"/>
      <c r="AC473" s="245"/>
      <c r="AD473" s="245"/>
      <c r="AE473" s="245"/>
    </row>
    <row r="474" spans="1:31" ht="15.75" customHeight="1">
      <c r="A474" s="232"/>
      <c r="B474" s="233"/>
      <c r="C474" s="232"/>
      <c r="D474" s="233"/>
      <c r="E474" s="233"/>
      <c r="F474" s="235"/>
      <c r="G474" s="233"/>
      <c r="H474" s="233"/>
      <c r="I474" s="235"/>
      <c r="J474" s="235"/>
      <c r="K474" s="235"/>
      <c r="L474" s="233"/>
      <c r="M474" s="233"/>
      <c r="N474" s="233"/>
      <c r="O474" s="235"/>
      <c r="P474" s="235"/>
      <c r="Q474" s="235"/>
      <c r="R474" s="235"/>
      <c r="S474" s="233"/>
      <c r="T474" s="235"/>
      <c r="U474" s="235"/>
      <c r="V474" s="233"/>
      <c r="W474" s="235"/>
      <c r="X474" s="235"/>
      <c r="Y474" s="235"/>
      <c r="Z474" s="233"/>
      <c r="AA474" s="233"/>
      <c r="AB474" s="233"/>
      <c r="AC474" s="245"/>
      <c r="AD474" s="245"/>
      <c r="AE474" s="245"/>
    </row>
    <row r="475" spans="1:31" ht="15.75" customHeight="1">
      <c r="A475" s="232"/>
      <c r="B475" s="233"/>
      <c r="C475" s="232"/>
      <c r="D475" s="233"/>
      <c r="E475" s="233"/>
      <c r="F475" s="235"/>
      <c r="G475" s="233"/>
      <c r="H475" s="233"/>
      <c r="I475" s="235"/>
      <c r="J475" s="235"/>
      <c r="K475" s="235"/>
      <c r="L475" s="233"/>
      <c r="M475" s="233"/>
      <c r="N475" s="233"/>
      <c r="O475" s="235"/>
      <c r="P475" s="235"/>
      <c r="Q475" s="235"/>
      <c r="R475" s="235"/>
      <c r="S475" s="233"/>
      <c r="T475" s="235"/>
      <c r="U475" s="235"/>
      <c r="V475" s="233"/>
      <c r="W475" s="235"/>
      <c r="X475" s="235"/>
      <c r="Y475" s="235"/>
      <c r="Z475" s="233"/>
      <c r="AA475" s="233"/>
      <c r="AB475" s="233"/>
      <c r="AC475" s="245"/>
      <c r="AD475" s="245"/>
      <c r="AE475" s="245"/>
    </row>
    <row r="476" spans="1:31" ht="15.75" customHeight="1">
      <c r="A476" s="232"/>
      <c r="B476" s="233"/>
      <c r="C476" s="232"/>
      <c r="D476" s="233"/>
      <c r="E476" s="233"/>
      <c r="F476" s="235"/>
      <c r="G476" s="233"/>
      <c r="H476" s="233"/>
      <c r="I476" s="235"/>
      <c r="J476" s="235"/>
      <c r="K476" s="235"/>
      <c r="L476" s="233"/>
      <c r="M476" s="233"/>
      <c r="N476" s="233"/>
      <c r="O476" s="235"/>
      <c r="P476" s="235"/>
      <c r="Q476" s="235"/>
      <c r="R476" s="235"/>
      <c r="S476" s="233"/>
      <c r="T476" s="235"/>
      <c r="U476" s="235"/>
      <c r="V476" s="233"/>
      <c r="W476" s="235"/>
      <c r="X476" s="235"/>
      <c r="Y476" s="235"/>
      <c r="Z476" s="233"/>
      <c r="AA476" s="233"/>
      <c r="AB476" s="233"/>
      <c r="AC476" s="245"/>
      <c r="AD476" s="245"/>
      <c r="AE476" s="245"/>
    </row>
    <row r="477" spans="1:31" ht="15.75" customHeight="1">
      <c r="A477" s="232"/>
      <c r="B477" s="233"/>
      <c r="C477" s="232"/>
      <c r="D477" s="233"/>
      <c r="E477" s="233"/>
      <c r="F477" s="235"/>
      <c r="G477" s="233"/>
      <c r="H477" s="233"/>
      <c r="I477" s="235"/>
      <c r="J477" s="235"/>
      <c r="K477" s="235"/>
      <c r="L477" s="233"/>
      <c r="M477" s="233"/>
      <c r="N477" s="233"/>
      <c r="O477" s="235"/>
      <c r="P477" s="235"/>
      <c r="Q477" s="235"/>
      <c r="R477" s="235"/>
      <c r="S477" s="233"/>
      <c r="T477" s="235"/>
      <c r="U477" s="235"/>
      <c r="V477" s="233"/>
      <c r="W477" s="235"/>
      <c r="X477" s="235"/>
      <c r="Y477" s="235"/>
      <c r="Z477" s="233"/>
      <c r="AA477" s="233"/>
      <c r="AB477" s="233"/>
      <c r="AC477" s="245"/>
      <c r="AD477" s="245"/>
      <c r="AE477" s="245"/>
    </row>
    <row r="478" spans="1:31" ht="15.75" customHeight="1">
      <c r="A478" s="232"/>
      <c r="B478" s="233"/>
      <c r="C478" s="232"/>
      <c r="D478" s="233"/>
      <c r="E478" s="233"/>
      <c r="F478" s="235"/>
      <c r="G478" s="233"/>
      <c r="H478" s="233"/>
      <c r="I478" s="235"/>
      <c r="J478" s="235"/>
      <c r="K478" s="235"/>
      <c r="L478" s="233"/>
      <c r="M478" s="233"/>
      <c r="N478" s="233"/>
      <c r="O478" s="235"/>
      <c r="P478" s="235"/>
      <c r="Q478" s="235"/>
      <c r="R478" s="235"/>
      <c r="S478" s="233"/>
      <c r="T478" s="235"/>
      <c r="U478" s="235"/>
      <c r="V478" s="233"/>
      <c r="W478" s="235"/>
      <c r="X478" s="235"/>
      <c r="Y478" s="235"/>
      <c r="Z478" s="233"/>
      <c r="AA478" s="233"/>
      <c r="AB478" s="233"/>
      <c r="AC478" s="245"/>
      <c r="AD478" s="245"/>
      <c r="AE478" s="245"/>
    </row>
    <row r="479" spans="1:31" ht="15.75" customHeight="1">
      <c r="A479" s="232"/>
      <c r="B479" s="233"/>
      <c r="C479" s="232"/>
      <c r="D479" s="233"/>
      <c r="E479" s="233"/>
      <c r="F479" s="235"/>
      <c r="G479" s="233"/>
      <c r="H479" s="233"/>
      <c r="I479" s="235"/>
      <c r="J479" s="235"/>
      <c r="K479" s="235"/>
      <c r="L479" s="233"/>
      <c r="M479" s="233"/>
      <c r="N479" s="233"/>
      <c r="O479" s="235"/>
      <c r="P479" s="235"/>
      <c r="Q479" s="235"/>
      <c r="R479" s="235"/>
      <c r="S479" s="233"/>
      <c r="T479" s="235"/>
      <c r="U479" s="235"/>
      <c r="V479" s="233"/>
      <c r="W479" s="235"/>
      <c r="X479" s="235"/>
      <c r="Y479" s="235"/>
      <c r="Z479" s="233"/>
      <c r="AA479" s="233"/>
      <c r="AB479" s="233"/>
      <c r="AC479" s="245"/>
      <c r="AD479" s="245"/>
      <c r="AE479" s="245"/>
    </row>
    <row r="480" spans="1:31" ht="15.75" customHeight="1">
      <c r="A480" s="232"/>
      <c r="B480" s="233"/>
      <c r="C480" s="232"/>
      <c r="D480" s="233"/>
      <c r="E480" s="233"/>
      <c r="F480" s="235"/>
      <c r="G480" s="233"/>
      <c r="H480" s="233"/>
      <c r="I480" s="235"/>
      <c r="J480" s="235"/>
      <c r="K480" s="235"/>
      <c r="L480" s="233"/>
      <c r="M480" s="233"/>
      <c r="N480" s="233"/>
      <c r="O480" s="235"/>
      <c r="P480" s="235"/>
      <c r="Q480" s="235"/>
      <c r="R480" s="235"/>
      <c r="S480" s="233"/>
      <c r="T480" s="235"/>
      <c r="U480" s="235"/>
      <c r="V480" s="233"/>
      <c r="W480" s="235"/>
      <c r="X480" s="235"/>
      <c r="Y480" s="235"/>
      <c r="Z480" s="233"/>
      <c r="AA480" s="233"/>
      <c r="AB480" s="233"/>
      <c r="AC480" s="245"/>
      <c r="AD480" s="245"/>
      <c r="AE480" s="245"/>
    </row>
    <row r="481" spans="1:31" ht="15.75" customHeight="1">
      <c r="A481" s="232"/>
      <c r="B481" s="233"/>
      <c r="C481" s="232"/>
      <c r="D481" s="233"/>
      <c r="E481" s="233"/>
      <c r="F481" s="235"/>
      <c r="G481" s="233"/>
      <c r="H481" s="233"/>
      <c r="I481" s="235"/>
      <c r="J481" s="235"/>
      <c r="K481" s="235"/>
      <c r="L481" s="233"/>
      <c r="M481" s="233"/>
      <c r="N481" s="233"/>
      <c r="O481" s="235"/>
      <c r="P481" s="235"/>
      <c r="Q481" s="235"/>
      <c r="R481" s="235"/>
      <c r="S481" s="233"/>
      <c r="T481" s="235"/>
      <c r="U481" s="235"/>
      <c r="V481" s="233"/>
      <c r="W481" s="235"/>
      <c r="X481" s="235"/>
      <c r="Y481" s="235"/>
      <c r="Z481" s="233"/>
      <c r="AA481" s="233"/>
      <c r="AB481" s="233"/>
      <c r="AC481" s="245"/>
      <c r="AD481" s="245"/>
      <c r="AE481" s="245"/>
    </row>
    <row r="482" spans="1:31" ht="15.75" customHeight="1">
      <c r="A482" s="232"/>
      <c r="B482" s="233"/>
      <c r="C482" s="232"/>
      <c r="D482" s="233"/>
      <c r="E482" s="233"/>
      <c r="F482" s="235"/>
      <c r="G482" s="233"/>
      <c r="H482" s="233"/>
      <c r="I482" s="235"/>
      <c r="J482" s="235"/>
      <c r="K482" s="235"/>
      <c r="L482" s="233"/>
      <c r="M482" s="233"/>
      <c r="N482" s="233"/>
      <c r="O482" s="235"/>
      <c r="P482" s="235"/>
      <c r="Q482" s="235"/>
      <c r="R482" s="235"/>
      <c r="S482" s="233"/>
      <c r="T482" s="235"/>
      <c r="U482" s="235"/>
      <c r="V482" s="233"/>
      <c r="W482" s="235"/>
      <c r="X482" s="235"/>
      <c r="Y482" s="235"/>
      <c r="Z482" s="233"/>
      <c r="AA482" s="233"/>
      <c r="AB482" s="233"/>
      <c r="AC482" s="245"/>
      <c r="AD482" s="245"/>
      <c r="AE482" s="245"/>
    </row>
    <row r="483" spans="1:31" ht="15.75" customHeight="1">
      <c r="A483" s="232"/>
      <c r="B483" s="233"/>
      <c r="C483" s="232"/>
      <c r="D483" s="233"/>
      <c r="E483" s="233"/>
      <c r="F483" s="235"/>
      <c r="G483" s="233"/>
      <c r="H483" s="233"/>
      <c r="I483" s="235"/>
      <c r="J483" s="235"/>
      <c r="K483" s="235"/>
      <c r="L483" s="233"/>
      <c r="M483" s="233"/>
      <c r="N483" s="233"/>
      <c r="O483" s="235"/>
      <c r="P483" s="235"/>
      <c r="Q483" s="235"/>
      <c r="R483" s="235"/>
      <c r="S483" s="233"/>
      <c r="T483" s="235"/>
      <c r="U483" s="235"/>
      <c r="V483" s="233"/>
      <c r="W483" s="235"/>
      <c r="X483" s="235"/>
      <c r="Y483" s="235"/>
      <c r="Z483" s="233"/>
      <c r="AA483" s="233"/>
      <c r="AB483" s="233"/>
      <c r="AC483" s="245"/>
      <c r="AD483" s="245"/>
      <c r="AE483" s="245"/>
    </row>
    <row r="484" spans="1:31" ht="15.75" customHeight="1">
      <c r="A484" s="232"/>
      <c r="B484" s="233"/>
      <c r="C484" s="232"/>
      <c r="D484" s="233"/>
      <c r="E484" s="233"/>
      <c r="F484" s="235"/>
      <c r="G484" s="233"/>
      <c r="H484" s="233"/>
      <c r="I484" s="235"/>
      <c r="J484" s="235"/>
      <c r="K484" s="235"/>
      <c r="L484" s="233"/>
      <c r="M484" s="233"/>
      <c r="N484" s="233"/>
      <c r="O484" s="235"/>
      <c r="P484" s="235"/>
      <c r="Q484" s="235"/>
      <c r="R484" s="235"/>
      <c r="S484" s="233"/>
      <c r="T484" s="235"/>
      <c r="U484" s="235"/>
      <c r="V484" s="233"/>
      <c r="W484" s="235"/>
      <c r="X484" s="235"/>
      <c r="Y484" s="235"/>
      <c r="Z484" s="233"/>
      <c r="AA484" s="233"/>
      <c r="AB484" s="233"/>
      <c r="AC484" s="245"/>
      <c r="AD484" s="245"/>
      <c r="AE484" s="245"/>
    </row>
    <row r="485" spans="1:31" ht="15.75" customHeight="1">
      <c r="A485" s="232"/>
      <c r="B485" s="233"/>
      <c r="C485" s="232"/>
      <c r="D485" s="233"/>
      <c r="E485" s="233"/>
      <c r="F485" s="235"/>
      <c r="G485" s="233"/>
      <c r="H485" s="233"/>
      <c r="I485" s="235"/>
      <c r="J485" s="235"/>
      <c r="K485" s="235"/>
      <c r="L485" s="233"/>
      <c r="M485" s="233"/>
      <c r="N485" s="233"/>
      <c r="O485" s="235"/>
      <c r="P485" s="235"/>
      <c r="Q485" s="235"/>
      <c r="R485" s="235"/>
      <c r="S485" s="233"/>
      <c r="T485" s="235"/>
      <c r="U485" s="235"/>
      <c r="V485" s="233"/>
      <c r="W485" s="235"/>
      <c r="X485" s="235"/>
      <c r="Y485" s="235"/>
      <c r="Z485" s="233"/>
      <c r="AA485" s="233"/>
      <c r="AB485" s="233"/>
      <c r="AC485" s="245"/>
      <c r="AD485" s="245"/>
      <c r="AE485" s="245"/>
    </row>
    <row r="486" spans="1:31" ht="15.75" customHeight="1">
      <c r="A486" s="232"/>
      <c r="B486" s="233"/>
      <c r="C486" s="232"/>
      <c r="D486" s="233"/>
      <c r="E486" s="233"/>
      <c r="F486" s="235"/>
      <c r="G486" s="233"/>
      <c r="H486" s="233"/>
      <c r="I486" s="235"/>
      <c r="J486" s="235"/>
      <c r="K486" s="235"/>
      <c r="L486" s="233"/>
      <c r="M486" s="233"/>
      <c r="N486" s="233"/>
      <c r="O486" s="235"/>
      <c r="P486" s="235"/>
      <c r="Q486" s="235"/>
      <c r="R486" s="235"/>
      <c r="S486" s="233"/>
      <c r="T486" s="235"/>
      <c r="U486" s="235"/>
      <c r="V486" s="233"/>
      <c r="W486" s="235"/>
      <c r="X486" s="235"/>
      <c r="Y486" s="235"/>
      <c r="Z486" s="233"/>
      <c r="AA486" s="233"/>
      <c r="AB486" s="233"/>
      <c r="AC486" s="245"/>
      <c r="AD486" s="245"/>
      <c r="AE486" s="245"/>
    </row>
    <row r="487" spans="1:31" ht="15.75" customHeight="1">
      <c r="A487" s="232"/>
      <c r="B487" s="233"/>
      <c r="C487" s="232"/>
      <c r="D487" s="233"/>
      <c r="E487" s="233"/>
      <c r="F487" s="235"/>
      <c r="G487" s="233"/>
      <c r="H487" s="233"/>
      <c r="I487" s="235"/>
      <c r="J487" s="235"/>
      <c r="K487" s="235"/>
      <c r="L487" s="233"/>
      <c r="M487" s="233"/>
      <c r="N487" s="233"/>
      <c r="O487" s="235"/>
      <c r="P487" s="235"/>
      <c r="Q487" s="235"/>
      <c r="R487" s="235"/>
      <c r="S487" s="233"/>
      <c r="T487" s="235"/>
      <c r="U487" s="235"/>
      <c r="V487" s="233"/>
      <c r="W487" s="235"/>
      <c r="X487" s="235"/>
      <c r="Y487" s="235"/>
      <c r="Z487" s="233"/>
      <c r="AA487" s="233"/>
      <c r="AB487" s="233"/>
      <c r="AC487" s="245"/>
      <c r="AD487" s="245"/>
      <c r="AE487" s="245"/>
    </row>
    <row r="488" spans="1:31" ht="15.75" customHeight="1">
      <c r="A488" s="232"/>
      <c r="B488" s="233"/>
      <c r="C488" s="232"/>
      <c r="D488" s="233"/>
      <c r="E488" s="233"/>
      <c r="F488" s="235"/>
      <c r="G488" s="233"/>
      <c r="H488" s="233"/>
      <c r="I488" s="235"/>
      <c r="J488" s="235"/>
      <c r="K488" s="235"/>
      <c r="L488" s="233"/>
      <c r="M488" s="233"/>
      <c r="N488" s="233"/>
      <c r="O488" s="235"/>
      <c r="P488" s="235"/>
      <c r="Q488" s="235"/>
      <c r="R488" s="235"/>
      <c r="S488" s="233"/>
      <c r="T488" s="235"/>
      <c r="U488" s="235"/>
      <c r="V488" s="233"/>
      <c r="W488" s="235"/>
      <c r="X488" s="235"/>
      <c r="Y488" s="235"/>
      <c r="Z488" s="233"/>
      <c r="AA488" s="233"/>
      <c r="AB488" s="233"/>
      <c r="AC488" s="245"/>
      <c r="AD488" s="245"/>
      <c r="AE488" s="245"/>
    </row>
    <row r="489" spans="1:31" ht="15.75" customHeight="1">
      <c r="A489" s="232"/>
      <c r="B489" s="233"/>
      <c r="C489" s="232"/>
      <c r="D489" s="233"/>
      <c r="E489" s="233"/>
      <c r="F489" s="235"/>
      <c r="G489" s="233"/>
      <c r="H489" s="233"/>
      <c r="I489" s="235"/>
      <c r="J489" s="235"/>
      <c r="K489" s="235"/>
      <c r="L489" s="233"/>
      <c r="M489" s="233"/>
      <c r="N489" s="233"/>
      <c r="O489" s="235"/>
      <c r="P489" s="235"/>
      <c r="Q489" s="235"/>
      <c r="R489" s="235"/>
      <c r="S489" s="233"/>
      <c r="T489" s="235"/>
      <c r="U489" s="235"/>
      <c r="V489" s="233"/>
      <c r="W489" s="235"/>
      <c r="X489" s="235"/>
      <c r="Y489" s="235"/>
      <c r="Z489" s="233"/>
      <c r="AA489" s="233"/>
      <c r="AB489" s="233"/>
      <c r="AC489" s="245"/>
      <c r="AD489" s="245"/>
      <c r="AE489" s="245"/>
    </row>
    <row r="490" spans="1:31" ht="15.75" customHeight="1">
      <c r="A490" s="232"/>
      <c r="B490" s="233"/>
      <c r="C490" s="232"/>
      <c r="D490" s="233"/>
      <c r="E490" s="233"/>
      <c r="F490" s="235"/>
      <c r="G490" s="233"/>
      <c r="H490" s="233"/>
      <c r="I490" s="235"/>
      <c r="J490" s="235"/>
      <c r="K490" s="235"/>
      <c r="L490" s="233"/>
      <c r="M490" s="233"/>
      <c r="N490" s="233"/>
      <c r="O490" s="235"/>
      <c r="P490" s="235"/>
      <c r="Q490" s="235"/>
      <c r="R490" s="235"/>
      <c r="S490" s="233"/>
      <c r="T490" s="235"/>
      <c r="U490" s="235"/>
      <c r="V490" s="233"/>
      <c r="W490" s="235"/>
      <c r="X490" s="235"/>
      <c r="Y490" s="235"/>
      <c r="Z490" s="233"/>
      <c r="AA490" s="233"/>
      <c r="AB490" s="233"/>
      <c r="AC490" s="245"/>
      <c r="AD490" s="245"/>
      <c r="AE490" s="245"/>
    </row>
    <row r="491" spans="1:31" ht="15.75" customHeight="1">
      <c r="A491" s="232"/>
      <c r="B491" s="233"/>
      <c r="C491" s="232"/>
      <c r="D491" s="233"/>
      <c r="E491" s="233"/>
      <c r="F491" s="235"/>
      <c r="G491" s="233"/>
      <c r="H491" s="233"/>
      <c r="I491" s="235"/>
      <c r="J491" s="235"/>
      <c r="K491" s="235"/>
      <c r="L491" s="233"/>
      <c r="M491" s="233"/>
      <c r="N491" s="233"/>
      <c r="O491" s="235"/>
      <c r="P491" s="235"/>
      <c r="Q491" s="235"/>
      <c r="R491" s="235"/>
      <c r="S491" s="233"/>
      <c r="T491" s="235"/>
      <c r="U491" s="235"/>
      <c r="V491" s="233"/>
      <c r="W491" s="235"/>
      <c r="X491" s="235"/>
      <c r="Y491" s="235"/>
      <c r="Z491" s="233"/>
      <c r="AA491" s="233"/>
      <c r="AB491" s="233"/>
      <c r="AC491" s="245"/>
      <c r="AD491" s="245"/>
      <c r="AE491" s="245"/>
    </row>
    <row r="492" spans="1:31" ht="15.75" customHeight="1">
      <c r="A492" s="232"/>
      <c r="B492" s="233"/>
      <c r="C492" s="232"/>
      <c r="D492" s="233"/>
      <c r="E492" s="233"/>
      <c r="F492" s="235"/>
      <c r="G492" s="233"/>
      <c r="H492" s="233"/>
      <c r="I492" s="235"/>
      <c r="J492" s="235"/>
      <c r="K492" s="235"/>
      <c r="L492" s="233"/>
      <c r="M492" s="233"/>
      <c r="N492" s="233"/>
      <c r="O492" s="235"/>
      <c r="P492" s="235"/>
      <c r="Q492" s="235"/>
      <c r="R492" s="235"/>
      <c r="S492" s="233"/>
      <c r="T492" s="235"/>
      <c r="U492" s="235"/>
      <c r="V492" s="233"/>
      <c r="W492" s="235"/>
      <c r="X492" s="235"/>
      <c r="Y492" s="235"/>
      <c r="Z492" s="233"/>
      <c r="AA492" s="233"/>
      <c r="AB492" s="233"/>
      <c r="AC492" s="245"/>
      <c r="AD492" s="245"/>
      <c r="AE492" s="245"/>
    </row>
    <row r="493" spans="1:31" ht="15.75" customHeight="1">
      <c r="A493" s="232"/>
      <c r="B493" s="233"/>
      <c r="C493" s="232"/>
      <c r="D493" s="233"/>
      <c r="E493" s="233"/>
      <c r="F493" s="235"/>
      <c r="G493" s="233"/>
      <c r="H493" s="233"/>
      <c r="I493" s="235"/>
      <c r="J493" s="235"/>
      <c r="K493" s="235"/>
      <c r="L493" s="233"/>
      <c r="M493" s="233"/>
      <c r="N493" s="233"/>
      <c r="O493" s="235"/>
      <c r="P493" s="235"/>
      <c r="Q493" s="235"/>
      <c r="R493" s="235"/>
      <c r="S493" s="233"/>
      <c r="T493" s="235"/>
      <c r="U493" s="235"/>
      <c r="V493" s="233"/>
      <c r="W493" s="235"/>
      <c r="X493" s="235"/>
      <c r="Y493" s="235"/>
      <c r="Z493" s="233"/>
      <c r="AA493" s="233"/>
      <c r="AB493" s="233"/>
      <c r="AC493" s="245"/>
      <c r="AD493" s="245"/>
      <c r="AE493" s="245"/>
    </row>
    <row r="494" spans="1:31" ht="15.75" customHeight="1">
      <c r="A494" s="232"/>
      <c r="B494" s="233"/>
      <c r="C494" s="232"/>
      <c r="D494" s="233"/>
      <c r="E494" s="233"/>
      <c r="F494" s="235"/>
      <c r="G494" s="233"/>
      <c r="H494" s="233"/>
      <c r="I494" s="235"/>
      <c r="J494" s="235"/>
      <c r="K494" s="235"/>
      <c r="L494" s="233"/>
      <c r="M494" s="233"/>
      <c r="N494" s="233"/>
      <c r="O494" s="235"/>
      <c r="P494" s="235"/>
      <c r="Q494" s="235"/>
      <c r="R494" s="235"/>
      <c r="S494" s="233"/>
      <c r="T494" s="235"/>
      <c r="U494" s="235"/>
      <c r="V494" s="233"/>
      <c r="W494" s="235"/>
      <c r="X494" s="235"/>
      <c r="Y494" s="235"/>
      <c r="Z494" s="233"/>
      <c r="AA494" s="233"/>
      <c r="AB494" s="233"/>
      <c r="AC494" s="245"/>
      <c r="AD494" s="245"/>
      <c r="AE494" s="245"/>
    </row>
    <row r="495" spans="1:31" ht="15.75" customHeight="1">
      <c r="A495" s="232"/>
      <c r="B495" s="233"/>
      <c r="C495" s="232"/>
      <c r="D495" s="233"/>
      <c r="E495" s="233"/>
      <c r="F495" s="235"/>
      <c r="G495" s="233"/>
      <c r="H495" s="233"/>
      <c r="I495" s="235"/>
      <c r="J495" s="235"/>
      <c r="K495" s="235"/>
      <c r="L495" s="233"/>
      <c r="M495" s="233"/>
      <c r="N495" s="233"/>
      <c r="O495" s="235"/>
      <c r="P495" s="235"/>
      <c r="Q495" s="235"/>
      <c r="R495" s="235"/>
      <c r="S495" s="233"/>
      <c r="T495" s="235"/>
      <c r="U495" s="235"/>
      <c r="V495" s="233"/>
      <c r="W495" s="235"/>
      <c r="X495" s="235"/>
      <c r="Y495" s="235"/>
      <c r="Z495" s="233"/>
      <c r="AA495" s="233"/>
      <c r="AB495" s="233"/>
      <c r="AC495" s="245"/>
      <c r="AD495" s="245"/>
      <c r="AE495" s="245"/>
    </row>
    <row r="496" spans="1:31" ht="15.75" customHeight="1">
      <c r="A496" s="232"/>
      <c r="B496" s="233"/>
      <c r="C496" s="232"/>
      <c r="D496" s="233"/>
      <c r="E496" s="233"/>
      <c r="F496" s="235"/>
      <c r="G496" s="233"/>
      <c r="H496" s="233"/>
      <c r="I496" s="235"/>
      <c r="J496" s="235"/>
      <c r="K496" s="235"/>
      <c r="L496" s="233"/>
      <c r="M496" s="233"/>
      <c r="N496" s="233"/>
      <c r="O496" s="235"/>
      <c r="P496" s="235"/>
      <c r="Q496" s="235"/>
      <c r="R496" s="235"/>
      <c r="S496" s="233"/>
      <c r="T496" s="235"/>
      <c r="U496" s="235"/>
      <c r="V496" s="233"/>
      <c r="W496" s="235"/>
      <c r="X496" s="235"/>
      <c r="Y496" s="235"/>
      <c r="Z496" s="233"/>
      <c r="AA496" s="233"/>
      <c r="AB496" s="233"/>
      <c r="AC496" s="245"/>
      <c r="AD496" s="245"/>
      <c r="AE496" s="245"/>
    </row>
    <row r="497" spans="1:31" ht="15.75" customHeight="1">
      <c r="A497" s="232"/>
      <c r="B497" s="233"/>
      <c r="C497" s="232"/>
      <c r="D497" s="233"/>
      <c r="E497" s="233"/>
      <c r="F497" s="235"/>
      <c r="G497" s="233"/>
      <c r="H497" s="233"/>
      <c r="I497" s="235"/>
      <c r="J497" s="235"/>
      <c r="K497" s="235"/>
      <c r="L497" s="233"/>
      <c r="M497" s="233"/>
      <c r="N497" s="233"/>
      <c r="O497" s="235"/>
      <c r="P497" s="235"/>
      <c r="Q497" s="235"/>
      <c r="R497" s="235"/>
      <c r="S497" s="233"/>
      <c r="T497" s="235"/>
      <c r="U497" s="235"/>
      <c r="V497" s="233"/>
      <c r="W497" s="235"/>
      <c r="X497" s="235"/>
      <c r="Y497" s="235"/>
      <c r="Z497" s="233"/>
      <c r="AA497" s="233"/>
      <c r="AB497" s="233"/>
      <c r="AC497" s="245"/>
      <c r="AD497" s="245"/>
      <c r="AE497" s="245"/>
    </row>
    <row r="498" spans="1:31" ht="15.75" customHeight="1">
      <c r="A498" s="232"/>
      <c r="B498" s="233"/>
      <c r="C498" s="232"/>
      <c r="D498" s="233"/>
      <c r="E498" s="233"/>
      <c r="F498" s="235"/>
      <c r="G498" s="233"/>
      <c r="H498" s="233"/>
      <c r="I498" s="235"/>
      <c r="J498" s="235"/>
      <c r="K498" s="235"/>
      <c r="L498" s="233"/>
      <c r="M498" s="233"/>
      <c r="N498" s="233"/>
      <c r="O498" s="235"/>
      <c r="P498" s="235"/>
      <c r="Q498" s="235"/>
      <c r="R498" s="235"/>
      <c r="S498" s="233"/>
      <c r="T498" s="235"/>
      <c r="U498" s="235"/>
      <c r="V498" s="233"/>
      <c r="W498" s="235"/>
      <c r="X498" s="235"/>
      <c r="Y498" s="235"/>
      <c r="Z498" s="233"/>
      <c r="AA498" s="233"/>
      <c r="AB498" s="233"/>
      <c r="AC498" s="245"/>
      <c r="AD498" s="245"/>
      <c r="AE498" s="245"/>
    </row>
    <row r="499" spans="1:31" ht="15.75" customHeight="1">
      <c r="A499" s="232"/>
      <c r="B499" s="233"/>
      <c r="C499" s="232"/>
      <c r="D499" s="233"/>
      <c r="E499" s="233"/>
      <c r="F499" s="235"/>
      <c r="G499" s="233"/>
      <c r="H499" s="233"/>
      <c r="I499" s="235"/>
      <c r="J499" s="235"/>
      <c r="K499" s="235"/>
      <c r="L499" s="233"/>
      <c r="M499" s="233"/>
      <c r="N499" s="233"/>
      <c r="O499" s="235"/>
      <c r="P499" s="235"/>
      <c r="Q499" s="235"/>
      <c r="R499" s="235"/>
      <c r="S499" s="233"/>
      <c r="T499" s="235"/>
      <c r="U499" s="235"/>
      <c r="V499" s="233"/>
      <c r="W499" s="235"/>
      <c r="X499" s="235"/>
      <c r="Y499" s="235"/>
      <c r="Z499" s="233"/>
      <c r="AA499" s="233"/>
      <c r="AB499" s="233"/>
      <c r="AC499" s="245"/>
      <c r="AD499" s="245"/>
      <c r="AE499" s="245"/>
    </row>
    <row r="500" spans="1:31" ht="15.75" customHeight="1">
      <c r="A500" s="232"/>
      <c r="B500" s="233"/>
      <c r="C500" s="232"/>
      <c r="D500" s="233"/>
      <c r="E500" s="233"/>
      <c r="F500" s="235"/>
      <c r="G500" s="233"/>
      <c r="H500" s="233"/>
      <c r="I500" s="235"/>
      <c r="J500" s="235"/>
      <c r="K500" s="235"/>
      <c r="L500" s="233"/>
      <c r="M500" s="233"/>
      <c r="N500" s="233"/>
      <c r="O500" s="235"/>
      <c r="P500" s="235"/>
      <c r="Q500" s="235"/>
      <c r="R500" s="235"/>
      <c r="S500" s="233"/>
      <c r="T500" s="235"/>
      <c r="U500" s="235"/>
      <c r="V500" s="233"/>
      <c r="W500" s="235"/>
      <c r="X500" s="235"/>
      <c r="Y500" s="235"/>
      <c r="Z500" s="233"/>
      <c r="AA500" s="233"/>
      <c r="AB500" s="233"/>
      <c r="AC500" s="245"/>
      <c r="AD500" s="245"/>
      <c r="AE500" s="245"/>
    </row>
    <row r="501" spans="1:31" ht="15.75" customHeight="1">
      <c r="A501" s="232"/>
      <c r="B501" s="233"/>
      <c r="C501" s="232"/>
      <c r="D501" s="233"/>
      <c r="E501" s="233"/>
      <c r="F501" s="235"/>
      <c r="G501" s="233"/>
      <c r="H501" s="233"/>
      <c r="I501" s="235"/>
      <c r="J501" s="235"/>
      <c r="K501" s="235"/>
      <c r="L501" s="233"/>
      <c r="M501" s="233"/>
      <c r="N501" s="233"/>
      <c r="O501" s="235"/>
      <c r="P501" s="235"/>
      <c r="Q501" s="235"/>
      <c r="R501" s="235"/>
      <c r="S501" s="233"/>
      <c r="T501" s="235"/>
      <c r="U501" s="235"/>
      <c r="V501" s="233"/>
      <c r="W501" s="235"/>
      <c r="X501" s="235"/>
      <c r="Y501" s="235"/>
      <c r="Z501" s="233"/>
      <c r="AA501" s="233"/>
      <c r="AB501" s="233"/>
      <c r="AC501" s="245"/>
      <c r="AD501" s="245"/>
      <c r="AE501" s="245"/>
    </row>
    <row r="502" spans="1:31" ht="15.75" customHeight="1">
      <c r="A502" s="232"/>
      <c r="B502" s="233"/>
      <c r="C502" s="232"/>
      <c r="D502" s="233"/>
      <c r="E502" s="233"/>
      <c r="F502" s="235"/>
      <c r="G502" s="233"/>
      <c r="H502" s="233"/>
      <c r="I502" s="235"/>
      <c r="J502" s="235"/>
      <c r="K502" s="235"/>
      <c r="L502" s="233"/>
      <c r="M502" s="233"/>
      <c r="N502" s="233"/>
      <c r="O502" s="235"/>
      <c r="P502" s="235"/>
      <c r="Q502" s="235"/>
      <c r="R502" s="235"/>
      <c r="S502" s="233"/>
      <c r="T502" s="235"/>
      <c r="U502" s="235"/>
      <c r="V502" s="233"/>
      <c r="W502" s="235"/>
      <c r="X502" s="235"/>
      <c r="Y502" s="235"/>
      <c r="Z502" s="233"/>
      <c r="AA502" s="233"/>
      <c r="AB502" s="233"/>
      <c r="AC502" s="245"/>
      <c r="AD502" s="245"/>
      <c r="AE502" s="245"/>
    </row>
    <row r="503" spans="1:31" ht="15.75" customHeight="1">
      <c r="A503" s="232"/>
      <c r="B503" s="233"/>
      <c r="C503" s="232"/>
      <c r="D503" s="233"/>
      <c r="E503" s="233"/>
      <c r="F503" s="235"/>
      <c r="G503" s="233"/>
      <c r="H503" s="233"/>
      <c r="I503" s="235"/>
      <c r="J503" s="235"/>
      <c r="K503" s="235"/>
      <c r="L503" s="233"/>
      <c r="M503" s="233"/>
      <c r="N503" s="233"/>
      <c r="O503" s="235"/>
      <c r="P503" s="235"/>
      <c r="Q503" s="235"/>
      <c r="R503" s="235"/>
      <c r="S503" s="233"/>
      <c r="T503" s="235"/>
      <c r="U503" s="235"/>
      <c r="V503" s="233"/>
      <c r="W503" s="235"/>
      <c r="X503" s="235"/>
      <c r="Y503" s="235"/>
      <c r="Z503" s="233"/>
      <c r="AA503" s="233"/>
      <c r="AB503" s="233"/>
      <c r="AC503" s="245"/>
      <c r="AD503" s="245"/>
      <c r="AE503" s="245"/>
    </row>
    <row r="504" spans="1:31" ht="15.75" customHeight="1">
      <c r="A504" s="232"/>
      <c r="B504" s="233"/>
      <c r="C504" s="232"/>
      <c r="D504" s="233"/>
      <c r="E504" s="233"/>
      <c r="F504" s="235"/>
      <c r="G504" s="233"/>
      <c r="H504" s="233"/>
      <c r="I504" s="235"/>
      <c r="J504" s="235"/>
      <c r="K504" s="235"/>
      <c r="L504" s="233"/>
      <c r="M504" s="233"/>
      <c r="N504" s="233"/>
      <c r="O504" s="235"/>
      <c r="P504" s="235"/>
      <c r="Q504" s="235"/>
      <c r="R504" s="235"/>
      <c r="S504" s="233"/>
      <c r="T504" s="235"/>
      <c r="U504" s="235"/>
      <c r="V504" s="233"/>
      <c r="W504" s="235"/>
      <c r="X504" s="235"/>
      <c r="Y504" s="235"/>
      <c r="Z504" s="233"/>
      <c r="AA504" s="233"/>
      <c r="AB504" s="233"/>
      <c r="AC504" s="245"/>
      <c r="AD504" s="245"/>
      <c r="AE504" s="245"/>
    </row>
    <row r="505" spans="1:31" ht="15.75" customHeight="1">
      <c r="A505" s="232"/>
      <c r="B505" s="233"/>
      <c r="C505" s="232"/>
      <c r="D505" s="233"/>
      <c r="E505" s="233"/>
      <c r="F505" s="235"/>
      <c r="G505" s="233"/>
      <c r="H505" s="233"/>
      <c r="I505" s="235"/>
      <c r="J505" s="235"/>
      <c r="K505" s="235"/>
      <c r="L505" s="233"/>
      <c r="M505" s="233"/>
      <c r="N505" s="233"/>
      <c r="O505" s="235"/>
      <c r="P505" s="235"/>
      <c r="Q505" s="235"/>
      <c r="R505" s="235"/>
      <c r="S505" s="233"/>
      <c r="T505" s="235"/>
      <c r="U505" s="235"/>
      <c r="V505" s="233"/>
      <c r="W505" s="235"/>
      <c r="X505" s="235"/>
      <c r="Y505" s="235"/>
      <c r="Z505" s="233"/>
      <c r="AA505" s="233"/>
      <c r="AB505" s="233"/>
      <c r="AC505" s="245"/>
      <c r="AD505" s="245"/>
      <c r="AE505" s="245"/>
    </row>
    <row r="506" spans="1:31" ht="15.75" customHeight="1">
      <c r="A506" s="232"/>
      <c r="B506" s="233"/>
      <c r="C506" s="232"/>
      <c r="D506" s="233"/>
      <c r="E506" s="233"/>
      <c r="F506" s="235"/>
      <c r="G506" s="233"/>
      <c r="H506" s="233"/>
      <c r="I506" s="235"/>
      <c r="J506" s="235"/>
      <c r="K506" s="235"/>
      <c r="L506" s="233"/>
      <c r="M506" s="233"/>
      <c r="N506" s="233"/>
      <c r="O506" s="235"/>
      <c r="P506" s="235"/>
      <c r="Q506" s="235"/>
      <c r="R506" s="235"/>
      <c r="S506" s="233"/>
      <c r="T506" s="235"/>
      <c r="U506" s="235"/>
      <c r="V506" s="233"/>
      <c r="W506" s="235"/>
      <c r="X506" s="235"/>
      <c r="Y506" s="235"/>
      <c r="Z506" s="233"/>
      <c r="AA506" s="233"/>
      <c r="AB506" s="233"/>
      <c r="AC506" s="245"/>
      <c r="AD506" s="245"/>
      <c r="AE506" s="245"/>
    </row>
    <row r="507" spans="1:31" ht="15.75" customHeight="1">
      <c r="A507" s="232"/>
      <c r="B507" s="233"/>
      <c r="C507" s="232"/>
      <c r="D507" s="233"/>
      <c r="E507" s="233"/>
      <c r="F507" s="235"/>
      <c r="G507" s="233"/>
      <c r="H507" s="233"/>
      <c r="I507" s="235"/>
      <c r="J507" s="235"/>
      <c r="K507" s="235"/>
      <c r="L507" s="233"/>
      <c r="M507" s="233"/>
      <c r="N507" s="233"/>
      <c r="O507" s="235"/>
      <c r="P507" s="235"/>
      <c r="Q507" s="235"/>
      <c r="R507" s="235"/>
      <c r="S507" s="233"/>
      <c r="T507" s="235"/>
      <c r="U507" s="235"/>
      <c r="V507" s="233"/>
      <c r="W507" s="235"/>
      <c r="X507" s="235"/>
      <c r="Y507" s="235"/>
      <c r="Z507" s="233"/>
      <c r="AA507" s="233"/>
      <c r="AB507" s="233"/>
      <c r="AC507" s="245"/>
      <c r="AD507" s="245"/>
      <c r="AE507" s="245"/>
    </row>
    <row r="508" spans="1:31" ht="15.75" customHeight="1">
      <c r="A508" s="232"/>
      <c r="B508" s="233"/>
      <c r="C508" s="232"/>
      <c r="D508" s="233"/>
      <c r="E508" s="233"/>
      <c r="F508" s="235"/>
      <c r="G508" s="233"/>
      <c r="H508" s="233"/>
      <c r="I508" s="235"/>
      <c r="J508" s="235"/>
      <c r="K508" s="235"/>
      <c r="L508" s="233"/>
      <c r="M508" s="233"/>
      <c r="N508" s="233"/>
      <c r="O508" s="235"/>
      <c r="P508" s="235"/>
      <c r="Q508" s="235"/>
      <c r="R508" s="235"/>
      <c r="S508" s="233"/>
      <c r="T508" s="235"/>
      <c r="U508" s="235"/>
      <c r="V508" s="233"/>
      <c r="W508" s="235"/>
      <c r="X508" s="235"/>
      <c r="Y508" s="235"/>
      <c r="Z508" s="233"/>
      <c r="AA508" s="233"/>
      <c r="AB508" s="233"/>
      <c r="AC508" s="245"/>
      <c r="AD508" s="245"/>
      <c r="AE508" s="245"/>
    </row>
    <row r="509" spans="1:31" ht="15.75" customHeight="1">
      <c r="A509" s="232"/>
      <c r="B509" s="233"/>
      <c r="C509" s="232"/>
      <c r="D509" s="233"/>
      <c r="E509" s="233"/>
      <c r="F509" s="235"/>
      <c r="G509" s="233"/>
      <c r="H509" s="233"/>
      <c r="I509" s="235"/>
      <c r="J509" s="235"/>
      <c r="K509" s="235"/>
      <c r="L509" s="233"/>
      <c r="M509" s="233"/>
      <c r="N509" s="233"/>
      <c r="O509" s="235"/>
      <c r="P509" s="235"/>
      <c r="Q509" s="235"/>
      <c r="R509" s="235"/>
      <c r="S509" s="233"/>
      <c r="T509" s="235"/>
      <c r="U509" s="235"/>
      <c r="V509" s="233"/>
      <c r="W509" s="235"/>
      <c r="X509" s="235"/>
      <c r="Y509" s="235"/>
      <c r="Z509" s="233"/>
      <c r="AA509" s="233"/>
      <c r="AB509" s="233"/>
      <c r="AC509" s="245"/>
      <c r="AD509" s="245"/>
      <c r="AE509" s="245"/>
    </row>
    <row r="510" spans="1:31" ht="15.75" customHeight="1">
      <c r="A510" s="232"/>
      <c r="B510" s="233"/>
      <c r="C510" s="232"/>
      <c r="D510" s="233"/>
      <c r="E510" s="233"/>
      <c r="F510" s="235"/>
      <c r="G510" s="233"/>
      <c r="H510" s="233"/>
      <c r="I510" s="235"/>
      <c r="J510" s="235"/>
      <c r="K510" s="235"/>
      <c r="L510" s="233"/>
      <c r="M510" s="233"/>
      <c r="N510" s="233"/>
      <c r="O510" s="235"/>
      <c r="P510" s="235"/>
      <c r="Q510" s="235"/>
      <c r="R510" s="235"/>
      <c r="S510" s="233"/>
      <c r="T510" s="235"/>
      <c r="U510" s="235"/>
      <c r="V510" s="233"/>
      <c r="W510" s="235"/>
      <c r="X510" s="235"/>
      <c r="Y510" s="235"/>
      <c r="Z510" s="233"/>
      <c r="AA510" s="233"/>
      <c r="AB510" s="233"/>
      <c r="AC510" s="245"/>
      <c r="AD510" s="245"/>
      <c r="AE510" s="245"/>
    </row>
    <row r="511" spans="1:31" ht="15.75" customHeight="1">
      <c r="A511" s="232"/>
      <c r="B511" s="233"/>
      <c r="C511" s="232"/>
      <c r="D511" s="233"/>
      <c r="E511" s="233"/>
      <c r="F511" s="235"/>
      <c r="G511" s="233"/>
      <c r="H511" s="233"/>
      <c r="I511" s="235"/>
      <c r="J511" s="235"/>
      <c r="K511" s="235"/>
      <c r="L511" s="233"/>
      <c r="M511" s="233"/>
      <c r="N511" s="233"/>
      <c r="O511" s="235"/>
      <c r="P511" s="235"/>
      <c r="Q511" s="235"/>
      <c r="R511" s="235"/>
      <c r="S511" s="233"/>
      <c r="T511" s="235"/>
      <c r="U511" s="235"/>
      <c r="V511" s="233"/>
      <c r="W511" s="235"/>
      <c r="X511" s="235"/>
      <c r="Y511" s="235"/>
      <c r="Z511" s="233"/>
      <c r="AA511" s="233"/>
      <c r="AB511" s="233"/>
      <c r="AC511" s="245"/>
      <c r="AD511" s="245"/>
      <c r="AE511" s="245"/>
    </row>
    <row r="512" spans="1:31" ht="15.75" customHeight="1">
      <c r="A512" s="232"/>
      <c r="B512" s="233"/>
      <c r="C512" s="232"/>
      <c r="D512" s="233"/>
      <c r="E512" s="233"/>
      <c r="F512" s="235"/>
      <c r="G512" s="233"/>
      <c r="H512" s="233"/>
      <c r="I512" s="235"/>
      <c r="J512" s="235"/>
      <c r="K512" s="235"/>
      <c r="L512" s="233"/>
      <c r="M512" s="233"/>
      <c r="N512" s="233"/>
      <c r="O512" s="235"/>
      <c r="P512" s="235"/>
      <c r="Q512" s="235"/>
      <c r="R512" s="235"/>
      <c r="S512" s="233"/>
      <c r="T512" s="235"/>
      <c r="U512" s="235"/>
      <c r="V512" s="233"/>
      <c r="W512" s="235"/>
      <c r="X512" s="235"/>
      <c r="Y512" s="235"/>
      <c r="Z512" s="233"/>
      <c r="AA512" s="233"/>
      <c r="AB512" s="233"/>
      <c r="AC512" s="245"/>
      <c r="AD512" s="245"/>
      <c r="AE512" s="245"/>
    </row>
    <row r="513" spans="1:31" ht="15.75" customHeight="1">
      <c r="A513" s="232"/>
      <c r="B513" s="233"/>
      <c r="C513" s="232"/>
      <c r="D513" s="233"/>
      <c r="E513" s="233"/>
      <c r="F513" s="235"/>
      <c r="G513" s="233"/>
      <c r="H513" s="233"/>
      <c r="I513" s="235"/>
      <c r="J513" s="235"/>
      <c r="K513" s="235"/>
      <c r="L513" s="233"/>
      <c r="M513" s="233"/>
      <c r="N513" s="233"/>
      <c r="O513" s="235"/>
      <c r="P513" s="235"/>
      <c r="Q513" s="235"/>
      <c r="R513" s="235"/>
      <c r="S513" s="233"/>
      <c r="T513" s="235"/>
      <c r="U513" s="235"/>
      <c r="V513" s="233"/>
      <c r="W513" s="235"/>
      <c r="X513" s="235"/>
      <c r="Y513" s="235"/>
      <c r="Z513" s="233"/>
      <c r="AA513" s="233"/>
      <c r="AB513" s="233"/>
      <c r="AC513" s="245"/>
      <c r="AD513" s="245"/>
      <c r="AE513" s="245"/>
    </row>
    <row r="514" spans="1:31" ht="15.75" customHeight="1">
      <c r="A514" s="232"/>
      <c r="B514" s="233"/>
      <c r="C514" s="232"/>
      <c r="D514" s="233"/>
      <c r="E514" s="233"/>
      <c r="F514" s="235"/>
      <c r="G514" s="233"/>
      <c r="H514" s="233"/>
      <c r="I514" s="235"/>
      <c r="J514" s="235"/>
      <c r="K514" s="235"/>
      <c r="L514" s="233"/>
      <c r="M514" s="233"/>
      <c r="N514" s="233"/>
      <c r="O514" s="235"/>
      <c r="P514" s="235"/>
      <c r="Q514" s="235"/>
      <c r="R514" s="235"/>
      <c r="S514" s="233"/>
      <c r="T514" s="235"/>
      <c r="U514" s="235"/>
      <c r="V514" s="233"/>
      <c r="W514" s="235"/>
      <c r="X514" s="235"/>
      <c r="Y514" s="235"/>
      <c r="Z514" s="233"/>
      <c r="AA514" s="233"/>
      <c r="AB514" s="233"/>
      <c r="AC514" s="245"/>
      <c r="AD514" s="245"/>
      <c r="AE514" s="245"/>
    </row>
    <row r="515" spans="1:31" ht="15.75" customHeight="1">
      <c r="A515" s="232"/>
      <c r="B515" s="233"/>
      <c r="C515" s="232"/>
      <c r="D515" s="233"/>
      <c r="E515" s="233"/>
      <c r="F515" s="235"/>
      <c r="G515" s="233"/>
      <c r="H515" s="233"/>
      <c r="I515" s="235"/>
      <c r="J515" s="235"/>
      <c r="K515" s="235"/>
      <c r="L515" s="233"/>
      <c r="M515" s="233"/>
      <c r="N515" s="233"/>
      <c r="O515" s="235"/>
      <c r="P515" s="235"/>
      <c r="Q515" s="235"/>
      <c r="R515" s="235"/>
      <c r="S515" s="233"/>
      <c r="T515" s="235"/>
      <c r="U515" s="235"/>
      <c r="V515" s="233"/>
      <c r="W515" s="235"/>
      <c r="X515" s="235"/>
      <c r="Y515" s="235"/>
      <c r="Z515" s="233"/>
      <c r="AA515" s="233"/>
      <c r="AB515" s="233"/>
      <c r="AC515" s="245"/>
      <c r="AD515" s="245"/>
      <c r="AE515" s="245"/>
    </row>
    <row r="516" spans="1:31" ht="15.75" customHeight="1">
      <c r="A516" s="232"/>
      <c r="B516" s="233"/>
      <c r="C516" s="232"/>
      <c r="D516" s="233"/>
      <c r="E516" s="233"/>
      <c r="F516" s="235"/>
      <c r="G516" s="233"/>
      <c r="H516" s="233"/>
      <c r="I516" s="235"/>
      <c r="J516" s="235"/>
      <c r="K516" s="235"/>
      <c r="L516" s="233"/>
      <c r="M516" s="233"/>
      <c r="N516" s="233"/>
      <c r="O516" s="235"/>
      <c r="P516" s="235"/>
      <c r="Q516" s="235"/>
      <c r="R516" s="235"/>
      <c r="S516" s="233"/>
      <c r="T516" s="235"/>
      <c r="U516" s="235"/>
      <c r="V516" s="233"/>
      <c r="W516" s="235"/>
      <c r="X516" s="235"/>
      <c r="Y516" s="235"/>
      <c r="Z516" s="233"/>
      <c r="AA516" s="233"/>
      <c r="AB516" s="233"/>
      <c r="AC516" s="245"/>
      <c r="AD516" s="245"/>
      <c r="AE516" s="245"/>
    </row>
    <row r="517" spans="1:31" ht="15.75" customHeight="1">
      <c r="A517" s="232"/>
      <c r="B517" s="233"/>
      <c r="C517" s="232"/>
      <c r="D517" s="233"/>
      <c r="E517" s="233"/>
      <c r="F517" s="235"/>
      <c r="G517" s="233"/>
      <c r="H517" s="233"/>
      <c r="I517" s="235"/>
      <c r="J517" s="235"/>
      <c r="K517" s="235"/>
      <c r="L517" s="233"/>
      <c r="M517" s="233"/>
      <c r="N517" s="233"/>
      <c r="O517" s="235"/>
      <c r="P517" s="235"/>
      <c r="Q517" s="235"/>
      <c r="R517" s="235"/>
      <c r="S517" s="233"/>
      <c r="T517" s="235"/>
      <c r="U517" s="235"/>
      <c r="V517" s="233"/>
      <c r="W517" s="235"/>
      <c r="X517" s="235"/>
      <c r="Y517" s="235"/>
      <c r="Z517" s="233"/>
      <c r="AA517" s="233"/>
      <c r="AB517" s="233"/>
      <c r="AC517" s="245"/>
      <c r="AD517" s="245"/>
      <c r="AE517" s="245"/>
    </row>
    <row r="518" spans="1:31" ht="15.75" customHeight="1">
      <c r="A518" s="232"/>
      <c r="B518" s="233"/>
      <c r="C518" s="232"/>
      <c r="D518" s="233"/>
      <c r="E518" s="233"/>
      <c r="F518" s="235"/>
      <c r="G518" s="233"/>
      <c r="H518" s="233"/>
      <c r="I518" s="235"/>
      <c r="J518" s="235"/>
      <c r="K518" s="235"/>
      <c r="L518" s="233"/>
      <c r="M518" s="233"/>
      <c r="N518" s="233"/>
      <c r="O518" s="235"/>
      <c r="P518" s="235"/>
      <c r="Q518" s="235"/>
      <c r="R518" s="235"/>
      <c r="S518" s="233"/>
      <c r="T518" s="235"/>
      <c r="U518" s="235"/>
      <c r="V518" s="233"/>
      <c r="W518" s="235"/>
      <c r="X518" s="235"/>
      <c r="Y518" s="235"/>
      <c r="Z518" s="233"/>
      <c r="AA518" s="233"/>
      <c r="AB518" s="233"/>
      <c r="AC518" s="245"/>
      <c r="AD518" s="245"/>
      <c r="AE518" s="245"/>
    </row>
    <row r="519" spans="1:31" ht="15.75" customHeight="1">
      <c r="A519" s="232"/>
      <c r="B519" s="233"/>
      <c r="C519" s="232"/>
      <c r="D519" s="233"/>
      <c r="E519" s="233"/>
      <c r="F519" s="235"/>
      <c r="G519" s="233"/>
      <c r="H519" s="233"/>
      <c r="I519" s="235"/>
      <c r="J519" s="235"/>
      <c r="K519" s="235"/>
      <c r="L519" s="233"/>
      <c r="M519" s="233"/>
      <c r="N519" s="233"/>
      <c r="O519" s="235"/>
      <c r="P519" s="235"/>
      <c r="Q519" s="235"/>
      <c r="R519" s="235"/>
      <c r="S519" s="233"/>
      <c r="T519" s="235"/>
      <c r="U519" s="235"/>
      <c r="V519" s="233"/>
      <c r="W519" s="235"/>
      <c r="X519" s="235"/>
      <c r="Y519" s="235"/>
      <c r="Z519" s="233"/>
      <c r="AA519" s="233"/>
      <c r="AB519" s="233"/>
      <c r="AC519" s="245"/>
      <c r="AD519" s="245"/>
      <c r="AE519" s="245"/>
    </row>
    <row r="520" spans="1:31" ht="15.75" customHeight="1">
      <c r="A520" s="232"/>
      <c r="B520" s="233"/>
      <c r="C520" s="232"/>
      <c r="D520" s="233"/>
      <c r="E520" s="233"/>
      <c r="F520" s="235"/>
      <c r="G520" s="233"/>
      <c r="H520" s="233"/>
      <c r="I520" s="235"/>
      <c r="J520" s="235"/>
      <c r="K520" s="235"/>
      <c r="L520" s="233"/>
      <c r="M520" s="233"/>
      <c r="N520" s="233"/>
      <c r="O520" s="235"/>
      <c r="P520" s="235"/>
      <c r="Q520" s="235"/>
      <c r="R520" s="235"/>
      <c r="S520" s="233"/>
      <c r="T520" s="235"/>
      <c r="U520" s="235"/>
      <c r="V520" s="233"/>
      <c r="W520" s="235"/>
      <c r="X520" s="235"/>
      <c r="Y520" s="235"/>
      <c r="Z520" s="233"/>
      <c r="AA520" s="233"/>
      <c r="AB520" s="233"/>
      <c r="AC520" s="245"/>
      <c r="AD520" s="245"/>
      <c r="AE520" s="245"/>
    </row>
    <row r="521" spans="1:31" ht="15.75" customHeight="1">
      <c r="A521" s="232"/>
      <c r="B521" s="233"/>
      <c r="C521" s="232"/>
      <c r="D521" s="233"/>
      <c r="E521" s="233"/>
      <c r="F521" s="235"/>
      <c r="G521" s="233"/>
      <c r="H521" s="233"/>
      <c r="I521" s="235"/>
      <c r="J521" s="235"/>
      <c r="K521" s="235"/>
      <c r="L521" s="233"/>
      <c r="M521" s="233"/>
      <c r="N521" s="233"/>
      <c r="O521" s="235"/>
      <c r="P521" s="235"/>
      <c r="Q521" s="235"/>
      <c r="R521" s="235"/>
      <c r="S521" s="233"/>
      <c r="T521" s="235"/>
      <c r="U521" s="235"/>
      <c r="V521" s="233"/>
      <c r="W521" s="235"/>
      <c r="X521" s="235"/>
      <c r="Y521" s="235"/>
      <c r="Z521" s="233"/>
      <c r="AA521" s="233"/>
      <c r="AB521" s="233"/>
      <c r="AC521" s="245"/>
      <c r="AD521" s="245"/>
      <c r="AE521" s="245"/>
    </row>
    <row r="522" spans="1:31" ht="15.75" customHeight="1">
      <c r="A522" s="232"/>
      <c r="B522" s="233"/>
      <c r="C522" s="232"/>
      <c r="D522" s="233"/>
      <c r="E522" s="233"/>
      <c r="F522" s="235"/>
      <c r="G522" s="233"/>
      <c r="H522" s="233"/>
      <c r="I522" s="235"/>
      <c r="J522" s="235"/>
      <c r="K522" s="235"/>
      <c r="L522" s="233"/>
      <c r="M522" s="233"/>
      <c r="N522" s="233"/>
      <c r="O522" s="235"/>
      <c r="P522" s="235"/>
      <c r="Q522" s="235"/>
      <c r="R522" s="235"/>
      <c r="S522" s="233"/>
      <c r="T522" s="235"/>
      <c r="U522" s="235"/>
      <c r="V522" s="233"/>
      <c r="W522" s="235"/>
      <c r="X522" s="235"/>
      <c r="Y522" s="235"/>
      <c r="Z522" s="233"/>
      <c r="AA522" s="233"/>
      <c r="AB522" s="233"/>
      <c r="AC522" s="245"/>
      <c r="AD522" s="245"/>
      <c r="AE522" s="245"/>
    </row>
    <row r="523" spans="1:31" ht="15.75" customHeight="1">
      <c r="A523" s="232"/>
      <c r="B523" s="233"/>
      <c r="C523" s="232"/>
      <c r="D523" s="233"/>
      <c r="E523" s="233"/>
      <c r="F523" s="235"/>
      <c r="G523" s="233"/>
      <c r="H523" s="233"/>
      <c r="I523" s="235"/>
      <c r="J523" s="235"/>
      <c r="K523" s="235"/>
      <c r="L523" s="233"/>
      <c r="M523" s="233"/>
      <c r="N523" s="233"/>
      <c r="O523" s="235"/>
      <c r="P523" s="235"/>
      <c r="Q523" s="235"/>
      <c r="R523" s="235"/>
      <c r="S523" s="233"/>
      <c r="T523" s="235"/>
      <c r="U523" s="235"/>
      <c r="V523" s="233"/>
      <c r="W523" s="235"/>
      <c r="X523" s="235"/>
      <c r="Y523" s="235"/>
      <c r="Z523" s="233"/>
      <c r="AA523" s="233"/>
      <c r="AB523" s="233"/>
      <c r="AC523" s="245"/>
      <c r="AD523" s="245"/>
      <c r="AE523" s="245"/>
    </row>
    <row r="524" spans="1:31" ht="15.75" customHeight="1">
      <c r="A524" s="232"/>
      <c r="B524" s="233"/>
      <c r="C524" s="232"/>
      <c r="D524" s="233"/>
      <c r="E524" s="233"/>
      <c r="F524" s="235"/>
      <c r="G524" s="233"/>
      <c r="H524" s="233"/>
      <c r="I524" s="235"/>
      <c r="J524" s="235"/>
      <c r="K524" s="235"/>
      <c r="L524" s="233"/>
      <c r="M524" s="233"/>
      <c r="N524" s="233"/>
      <c r="O524" s="235"/>
      <c r="P524" s="235"/>
      <c r="Q524" s="235"/>
      <c r="R524" s="235"/>
      <c r="S524" s="233"/>
      <c r="T524" s="235"/>
      <c r="U524" s="235"/>
      <c r="V524" s="233"/>
      <c r="W524" s="235"/>
      <c r="X524" s="235"/>
      <c r="Y524" s="235"/>
      <c r="Z524" s="233"/>
      <c r="AA524" s="233"/>
      <c r="AB524" s="233"/>
      <c r="AC524" s="245"/>
      <c r="AD524" s="245"/>
      <c r="AE524" s="245"/>
    </row>
    <row r="525" spans="1:31" ht="15.75" customHeight="1">
      <c r="A525" s="232"/>
      <c r="B525" s="233"/>
      <c r="C525" s="232"/>
      <c r="D525" s="233"/>
      <c r="E525" s="233"/>
      <c r="F525" s="235"/>
      <c r="G525" s="233"/>
      <c r="H525" s="233"/>
      <c r="I525" s="235"/>
      <c r="J525" s="235"/>
      <c r="K525" s="235"/>
      <c r="L525" s="233"/>
      <c r="M525" s="233"/>
      <c r="N525" s="233"/>
      <c r="O525" s="235"/>
      <c r="P525" s="235"/>
      <c r="Q525" s="235"/>
      <c r="R525" s="235"/>
      <c r="S525" s="233"/>
      <c r="T525" s="235"/>
      <c r="U525" s="235"/>
      <c r="V525" s="233"/>
      <c r="W525" s="235"/>
      <c r="X525" s="235"/>
      <c r="Y525" s="235"/>
      <c r="Z525" s="233"/>
      <c r="AA525" s="233"/>
      <c r="AB525" s="233"/>
      <c r="AC525" s="245"/>
      <c r="AD525" s="245"/>
      <c r="AE525" s="245"/>
    </row>
    <row r="526" spans="1:31" ht="15.75" customHeight="1">
      <c r="A526" s="232"/>
      <c r="B526" s="233"/>
      <c r="C526" s="232"/>
      <c r="D526" s="233"/>
      <c r="E526" s="233"/>
      <c r="F526" s="235"/>
      <c r="G526" s="233"/>
      <c r="H526" s="233"/>
      <c r="I526" s="235"/>
      <c r="J526" s="235"/>
      <c r="K526" s="235"/>
      <c r="L526" s="233"/>
      <c r="M526" s="233"/>
      <c r="N526" s="233"/>
      <c r="O526" s="235"/>
      <c r="P526" s="235"/>
      <c r="Q526" s="235"/>
      <c r="R526" s="235"/>
      <c r="S526" s="233"/>
      <c r="T526" s="235"/>
      <c r="U526" s="235"/>
      <c r="V526" s="233"/>
      <c r="W526" s="235"/>
      <c r="X526" s="235"/>
      <c r="Y526" s="235"/>
      <c r="Z526" s="233"/>
      <c r="AA526" s="233"/>
      <c r="AB526" s="233"/>
      <c r="AC526" s="245"/>
      <c r="AD526" s="245"/>
      <c r="AE526" s="245"/>
    </row>
    <row r="527" spans="1:31" ht="15.75" customHeight="1">
      <c r="A527" s="232"/>
      <c r="B527" s="233"/>
      <c r="C527" s="232"/>
      <c r="D527" s="233"/>
      <c r="E527" s="233"/>
      <c r="F527" s="235"/>
      <c r="G527" s="233"/>
      <c r="H527" s="233"/>
      <c r="I527" s="235"/>
      <c r="J527" s="235"/>
      <c r="K527" s="235"/>
      <c r="L527" s="233"/>
      <c r="M527" s="233"/>
      <c r="N527" s="233"/>
      <c r="O527" s="235"/>
      <c r="P527" s="235"/>
      <c r="Q527" s="235"/>
      <c r="R527" s="235"/>
      <c r="S527" s="233"/>
      <c r="T527" s="235"/>
      <c r="U527" s="235"/>
      <c r="V527" s="233"/>
      <c r="W527" s="235"/>
      <c r="X527" s="235"/>
      <c r="Y527" s="235"/>
      <c r="Z527" s="233"/>
      <c r="AA527" s="233"/>
      <c r="AB527" s="233"/>
      <c r="AC527" s="245"/>
      <c r="AD527" s="245"/>
      <c r="AE527" s="245"/>
    </row>
    <row r="528" spans="1:31" ht="15.75" customHeight="1">
      <c r="A528" s="232"/>
      <c r="B528" s="233"/>
      <c r="C528" s="232"/>
      <c r="D528" s="233"/>
      <c r="E528" s="233"/>
      <c r="F528" s="235"/>
      <c r="G528" s="233"/>
      <c r="H528" s="233"/>
      <c r="I528" s="235"/>
      <c r="J528" s="235"/>
      <c r="K528" s="235"/>
      <c r="L528" s="233"/>
      <c r="M528" s="233"/>
      <c r="N528" s="233"/>
      <c r="O528" s="235"/>
      <c r="P528" s="235"/>
      <c r="Q528" s="235"/>
      <c r="R528" s="235"/>
      <c r="S528" s="233"/>
      <c r="T528" s="235"/>
      <c r="U528" s="235"/>
      <c r="V528" s="233"/>
      <c r="W528" s="235"/>
      <c r="X528" s="235"/>
      <c r="Y528" s="235"/>
      <c r="Z528" s="233"/>
      <c r="AA528" s="233"/>
      <c r="AB528" s="233"/>
      <c r="AC528" s="245"/>
      <c r="AD528" s="245"/>
      <c r="AE528" s="245"/>
    </row>
    <row r="529" spans="1:31" ht="15.75" customHeight="1">
      <c r="A529" s="232"/>
      <c r="B529" s="233"/>
      <c r="C529" s="232"/>
      <c r="D529" s="233"/>
      <c r="E529" s="233"/>
      <c r="F529" s="235"/>
      <c r="G529" s="233"/>
      <c r="H529" s="233"/>
      <c r="I529" s="235"/>
      <c r="J529" s="235"/>
      <c r="K529" s="235"/>
      <c r="L529" s="233"/>
      <c r="M529" s="233"/>
      <c r="N529" s="233"/>
      <c r="O529" s="235"/>
      <c r="P529" s="235"/>
      <c r="Q529" s="235"/>
      <c r="R529" s="235"/>
      <c r="S529" s="233"/>
      <c r="T529" s="235"/>
      <c r="U529" s="235"/>
      <c r="V529" s="233"/>
      <c r="W529" s="235"/>
      <c r="X529" s="235"/>
      <c r="Y529" s="235"/>
      <c r="Z529" s="233"/>
      <c r="AA529" s="233"/>
      <c r="AB529" s="233"/>
      <c r="AC529" s="245"/>
      <c r="AD529" s="245"/>
      <c r="AE529" s="245"/>
    </row>
    <row r="530" spans="1:31" ht="15.75" customHeight="1">
      <c r="A530" s="232"/>
      <c r="B530" s="233"/>
      <c r="C530" s="232"/>
      <c r="D530" s="233"/>
      <c r="E530" s="233"/>
      <c r="F530" s="235"/>
      <c r="G530" s="233"/>
      <c r="H530" s="233"/>
      <c r="I530" s="235"/>
      <c r="J530" s="235"/>
      <c r="K530" s="235"/>
      <c r="L530" s="233"/>
      <c r="M530" s="233"/>
      <c r="N530" s="233"/>
      <c r="O530" s="235"/>
      <c r="P530" s="235"/>
      <c r="Q530" s="235"/>
      <c r="R530" s="235"/>
      <c r="S530" s="233"/>
      <c r="T530" s="235"/>
      <c r="U530" s="235"/>
      <c r="V530" s="233"/>
      <c r="W530" s="235"/>
      <c r="X530" s="235"/>
      <c r="Y530" s="235"/>
      <c r="Z530" s="233"/>
      <c r="AA530" s="233"/>
      <c r="AB530" s="233"/>
      <c r="AC530" s="245"/>
      <c r="AD530" s="245"/>
      <c r="AE530" s="245"/>
    </row>
    <row r="531" spans="1:31" ht="15.75" customHeight="1">
      <c r="A531" s="232"/>
      <c r="B531" s="233"/>
      <c r="C531" s="232"/>
      <c r="D531" s="233"/>
      <c r="E531" s="233"/>
      <c r="F531" s="235"/>
      <c r="G531" s="233"/>
      <c r="H531" s="233"/>
      <c r="I531" s="235"/>
      <c r="J531" s="235"/>
      <c r="K531" s="235"/>
      <c r="L531" s="233"/>
      <c r="M531" s="233"/>
      <c r="N531" s="233"/>
      <c r="O531" s="235"/>
      <c r="P531" s="235"/>
      <c r="Q531" s="235"/>
      <c r="R531" s="235"/>
      <c r="S531" s="233"/>
      <c r="T531" s="235"/>
      <c r="U531" s="235"/>
      <c r="V531" s="233"/>
      <c r="W531" s="235"/>
      <c r="X531" s="235"/>
      <c r="Y531" s="235"/>
      <c r="Z531" s="233"/>
      <c r="AA531" s="233"/>
      <c r="AB531" s="233"/>
      <c r="AC531" s="245"/>
      <c r="AD531" s="245"/>
      <c r="AE531" s="245"/>
    </row>
    <row r="532" spans="1:31" ht="15.75" customHeight="1">
      <c r="A532" s="232"/>
      <c r="B532" s="233"/>
      <c r="C532" s="232"/>
      <c r="D532" s="233"/>
      <c r="E532" s="233"/>
      <c r="F532" s="235"/>
      <c r="G532" s="233"/>
      <c r="H532" s="233"/>
      <c r="I532" s="235"/>
      <c r="J532" s="235"/>
      <c r="K532" s="235"/>
      <c r="L532" s="233"/>
      <c r="M532" s="233"/>
      <c r="N532" s="233"/>
      <c r="O532" s="235"/>
      <c r="P532" s="235"/>
      <c r="Q532" s="235"/>
      <c r="R532" s="235"/>
      <c r="S532" s="233"/>
      <c r="T532" s="235"/>
      <c r="U532" s="235"/>
      <c r="V532" s="233"/>
      <c r="W532" s="235"/>
      <c r="X532" s="235"/>
      <c r="Y532" s="235"/>
      <c r="Z532" s="233"/>
      <c r="AA532" s="233"/>
      <c r="AB532" s="233"/>
      <c r="AC532" s="245"/>
      <c r="AD532" s="245"/>
      <c r="AE532" s="245"/>
    </row>
    <row r="533" spans="1:31" ht="15.75" customHeight="1">
      <c r="A533" s="232"/>
      <c r="B533" s="233"/>
      <c r="C533" s="232"/>
      <c r="D533" s="233"/>
      <c r="E533" s="233"/>
      <c r="F533" s="235"/>
      <c r="G533" s="233"/>
      <c r="H533" s="233"/>
      <c r="I533" s="235"/>
      <c r="J533" s="235"/>
      <c r="K533" s="235"/>
      <c r="L533" s="233"/>
      <c r="M533" s="233"/>
      <c r="N533" s="233"/>
      <c r="O533" s="235"/>
      <c r="P533" s="235"/>
      <c r="Q533" s="235"/>
      <c r="R533" s="235"/>
      <c r="S533" s="233"/>
      <c r="T533" s="235"/>
      <c r="U533" s="235"/>
      <c r="V533" s="233"/>
      <c r="W533" s="235"/>
      <c r="X533" s="235"/>
      <c r="Y533" s="235"/>
      <c r="Z533" s="233"/>
      <c r="AA533" s="233"/>
      <c r="AB533" s="233"/>
      <c r="AC533" s="245"/>
      <c r="AD533" s="245"/>
      <c r="AE533" s="245"/>
    </row>
    <row r="534" spans="1:31" ht="15.75" customHeight="1">
      <c r="A534" s="232"/>
      <c r="B534" s="233"/>
      <c r="C534" s="232"/>
      <c r="D534" s="233"/>
      <c r="E534" s="233"/>
      <c r="F534" s="235"/>
      <c r="G534" s="233"/>
      <c r="H534" s="233"/>
      <c r="I534" s="235"/>
      <c r="J534" s="235"/>
      <c r="K534" s="235"/>
      <c r="L534" s="233"/>
      <c r="M534" s="233"/>
      <c r="N534" s="233"/>
      <c r="O534" s="235"/>
      <c r="P534" s="235"/>
      <c r="Q534" s="235"/>
      <c r="R534" s="235"/>
      <c r="S534" s="233"/>
      <c r="T534" s="235"/>
      <c r="U534" s="235"/>
      <c r="V534" s="233"/>
      <c r="W534" s="235"/>
      <c r="X534" s="235"/>
      <c r="Y534" s="235"/>
      <c r="Z534" s="233"/>
      <c r="AA534" s="233"/>
      <c r="AB534" s="233"/>
      <c r="AC534" s="245"/>
      <c r="AD534" s="245"/>
      <c r="AE534" s="245"/>
    </row>
    <row r="535" spans="1:31" ht="15.75" customHeight="1">
      <c r="A535" s="232"/>
      <c r="B535" s="233"/>
      <c r="C535" s="232"/>
      <c r="D535" s="233"/>
      <c r="E535" s="233"/>
      <c r="F535" s="235"/>
      <c r="G535" s="233"/>
      <c r="H535" s="233"/>
      <c r="I535" s="235"/>
      <c r="J535" s="235"/>
      <c r="K535" s="235"/>
      <c r="L535" s="233"/>
      <c r="M535" s="233"/>
      <c r="N535" s="233"/>
      <c r="O535" s="235"/>
      <c r="P535" s="235"/>
      <c r="Q535" s="235"/>
      <c r="R535" s="235"/>
      <c r="S535" s="233"/>
      <c r="T535" s="235"/>
      <c r="U535" s="235"/>
      <c r="V535" s="233"/>
      <c r="W535" s="235"/>
      <c r="X535" s="235"/>
      <c r="Y535" s="235"/>
      <c r="Z535" s="233"/>
      <c r="AA535" s="233"/>
      <c r="AB535" s="233"/>
      <c r="AC535" s="245"/>
      <c r="AD535" s="245"/>
      <c r="AE535" s="245"/>
    </row>
    <row r="536" spans="1:31" ht="15.75" customHeight="1">
      <c r="A536" s="232"/>
      <c r="B536" s="233"/>
      <c r="C536" s="232"/>
      <c r="D536" s="233"/>
      <c r="E536" s="233"/>
      <c r="F536" s="235"/>
      <c r="G536" s="233"/>
      <c r="H536" s="233"/>
      <c r="I536" s="235"/>
      <c r="J536" s="235"/>
      <c r="K536" s="235"/>
      <c r="L536" s="233"/>
      <c r="M536" s="233"/>
      <c r="N536" s="233"/>
      <c r="O536" s="235"/>
      <c r="P536" s="235"/>
      <c r="Q536" s="235"/>
      <c r="R536" s="235"/>
      <c r="S536" s="233"/>
      <c r="T536" s="235"/>
      <c r="U536" s="235"/>
      <c r="V536" s="233"/>
      <c r="W536" s="235"/>
      <c r="X536" s="235"/>
      <c r="Y536" s="235"/>
      <c r="Z536" s="233"/>
      <c r="AA536" s="233"/>
      <c r="AB536" s="233"/>
      <c r="AC536" s="245"/>
      <c r="AD536" s="245"/>
      <c r="AE536" s="245"/>
    </row>
    <row r="537" spans="1:31" ht="15.75" customHeight="1">
      <c r="A537" s="232"/>
      <c r="B537" s="233"/>
      <c r="C537" s="232"/>
      <c r="D537" s="233"/>
      <c r="E537" s="233"/>
      <c r="F537" s="235"/>
      <c r="G537" s="233"/>
      <c r="H537" s="233"/>
      <c r="I537" s="235"/>
      <c r="J537" s="235"/>
      <c r="K537" s="235"/>
      <c r="L537" s="233"/>
      <c r="M537" s="233"/>
      <c r="N537" s="233"/>
      <c r="O537" s="235"/>
      <c r="P537" s="235"/>
      <c r="Q537" s="235"/>
      <c r="R537" s="235"/>
      <c r="S537" s="233"/>
      <c r="T537" s="235"/>
      <c r="U537" s="235"/>
      <c r="V537" s="233"/>
      <c r="W537" s="235"/>
      <c r="X537" s="235"/>
      <c r="Y537" s="235"/>
      <c r="Z537" s="233"/>
      <c r="AA537" s="233"/>
      <c r="AB537" s="233"/>
      <c r="AC537" s="245"/>
      <c r="AD537" s="245"/>
      <c r="AE537" s="245"/>
    </row>
    <row r="538" spans="1:31" ht="15.75" customHeight="1">
      <c r="A538" s="232"/>
      <c r="B538" s="233"/>
      <c r="C538" s="232"/>
      <c r="D538" s="233"/>
      <c r="E538" s="233"/>
      <c r="F538" s="235"/>
      <c r="G538" s="233"/>
      <c r="H538" s="233"/>
      <c r="I538" s="235"/>
      <c r="J538" s="235"/>
      <c r="K538" s="235"/>
      <c r="L538" s="233"/>
      <c r="M538" s="233"/>
      <c r="N538" s="233"/>
      <c r="O538" s="235"/>
      <c r="P538" s="235"/>
      <c r="Q538" s="235"/>
      <c r="R538" s="235"/>
      <c r="S538" s="233"/>
      <c r="T538" s="235"/>
      <c r="U538" s="235"/>
      <c r="V538" s="233"/>
      <c r="W538" s="235"/>
      <c r="X538" s="235"/>
      <c r="Y538" s="235"/>
      <c r="Z538" s="233"/>
      <c r="AA538" s="233"/>
      <c r="AB538" s="233"/>
      <c r="AC538" s="245"/>
      <c r="AD538" s="245"/>
      <c r="AE538" s="245"/>
    </row>
    <row r="539" spans="1:31" ht="15.75" customHeight="1">
      <c r="A539" s="232"/>
      <c r="B539" s="233"/>
      <c r="C539" s="232"/>
      <c r="D539" s="233"/>
      <c r="E539" s="233"/>
      <c r="F539" s="235"/>
      <c r="G539" s="233"/>
      <c r="H539" s="233"/>
      <c r="I539" s="235"/>
      <c r="J539" s="235"/>
      <c r="K539" s="235"/>
      <c r="L539" s="233"/>
      <c r="M539" s="233"/>
      <c r="N539" s="233"/>
      <c r="O539" s="235"/>
      <c r="P539" s="235"/>
      <c r="Q539" s="235"/>
      <c r="R539" s="235"/>
      <c r="S539" s="233"/>
      <c r="T539" s="235"/>
      <c r="U539" s="235"/>
      <c r="V539" s="233"/>
      <c r="W539" s="235"/>
      <c r="X539" s="235"/>
      <c r="Y539" s="235"/>
      <c r="Z539" s="233"/>
      <c r="AA539" s="233"/>
      <c r="AB539" s="233"/>
      <c r="AC539" s="245"/>
      <c r="AD539" s="245"/>
      <c r="AE539" s="245"/>
    </row>
    <row r="540" spans="1:31" ht="15.75" customHeight="1">
      <c r="A540" s="232"/>
      <c r="B540" s="233"/>
      <c r="C540" s="232"/>
      <c r="D540" s="233"/>
      <c r="E540" s="233"/>
      <c r="F540" s="235"/>
      <c r="G540" s="233"/>
      <c r="H540" s="233"/>
      <c r="I540" s="235"/>
      <c r="J540" s="235"/>
      <c r="K540" s="235"/>
      <c r="L540" s="233"/>
      <c r="M540" s="233"/>
      <c r="N540" s="233"/>
      <c r="O540" s="235"/>
      <c r="P540" s="235"/>
      <c r="Q540" s="235"/>
      <c r="R540" s="235"/>
      <c r="S540" s="233"/>
      <c r="T540" s="235"/>
      <c r="U540" s="235"/>
      <c r="V540" s="233"/>
      <c r="W540" s="235"/>
      <c r="X540" s="235"/>
      <c r="Y540" s="235"/>
      <c r="Z540" s="233"/>
      <c r="AA540" s="233"/>
      <c r="AB540" s="233"/>
      <c r="AC540" s="245"/>
      <c r="AD540" s="245"/>
      <c r="AE540" s="245"/>
    </row>
    <row r="541" spans="1:31" ht="15.75" customHeight="1">
      <c r="A541" s="232"/>
      <c r="B541" s="233"/>
      <c r="C541" s="232"/>
      <c r="D541" s="233"/>
      <c r="E541" s="233"/>
      <c r="F541" s="235"/>
      <c r="G541" s="233"/>
      <c r="H541" s="233"/>
      <c r="I541" s="235"/>
      <c r="J541" s="235"/>
      <c r="K541" s="235"/>
      <c r="L541" s="233"/>
      <c r="M541" s="233"/>
      <c r="N541" s="233"/>
      <c r="O541" s="235"/>
      <c r="P541" s="235"/>
      <c r="Q541" s="235"/>
      <c r="R541" s="235"/>
      <c r="S541" s="233"/>
      <c r="T541" s="235"/>
      <c r="U541" s="235"/>
      <c r="V541" s="233"/>
      <c r="W541" s="235"/>
      <c r="X541" s="235"/>
      <c r="Y541" s="235"/>
      <c r="Z541" s="233"/>
      <c r="AA541" s="233"/>
      <c r="AB541" s="233"/>
      <c r="AC541" s="245"/>
      <c r="AD541" s="245"/>
      <c r="AE541" s="245"/>
    </row>
    <row r="542" spans="1:31" ht="15.75" customHeight="1">
      <c r="A542" s="232"/>
      <c r="B542" s="233"/>
      <c r="C542" s="232"/>
      <c r="D542" s="233"/>
      <c r="E542" s="233"/>
      <c r="F542" s="235"/>
      <c r="G542" s="233"/>
      <c r="H542" s="233"/>
      <c r="I542" s="235"/>
      <c r="J542" s="235"/>
      <c r="K542" s="235"/>
      <c r="L542" s="233"/>
      <c r="M542" s="233"/>
      <c r="N542" s="233"/>
      <c r="O542" s="235"/>
      <c r="P542" s="235"/>
      <c r="Q542" s="235"/>
      <c r="R542" s="235"/>
      <c r="S542" s="233"/>
      <c r="T542" s="235"/>
      <c r="U542" s="235"/>
      <c r="V542" s="233"/>
      <c r="W542" s="235"/>
      <c r="X542" s="235"/>
      <c r="Y542" s="235"/>
      <c r="Z542" s="233"/>
      <c r="AA542" s="233"/>
      <c r="AB542" s="233"/>
      <c r="AC542" s="245"/>
      <c r="AD542" s="245"/>
      <c r="AE542" s="245"/>
    </row>
    <row r="543" spans="1:31" ht="15.75" customHeight="1">
      <c r="A543" s="232"/>
      <c r="B543" s="233"/>
      <c r="C543" s="232"/>
      <c r="D543" s="233"/>
      <c r="E543" s="233"/>
      <c r="F543" s="235"/>
      <c r="G543" s="233"/>
      <c r="H543" s="233"/>
      <c r="I543" s="235"/>
      <c r="J543" s="235"/>
      <c r="K543" s="235"/>
      <c r="L543" s="233"/>
      <c r="M543" s="233"/>
      <c r="N543" s="233"/>
      <c r="O543" s="235"/>
      <c r="P543" s="235"/>
      <c r="Q543" s="235"/>
      <c r="R543" s="235"/>
      <c r="S543" s="233"/>
      <c r="T543" s="235"/>
      <c r="U543" s="235"/>
      <c r="V543" s="233"/>
      <c r="W543" s="235"/>
      <c r="X543" s="235"/>
      <c r="Y543" s="235"/>
      <c r="Z543" s="233"/>
      <c r="AA543" s="233"/>
      <c r="AB543" s="233"/>
      <c r="AC543" s="245"/>
      <c r="AD543" s="245"/>
      <c r="AE543" s="245"/>
    </row>
    <row r="544" spans="1:31" ht="15.75" customHeight="1">
      <c r="A544" s="232"/>
      <c r="B544" s="233"/>
      <c r="C544" s="232"/>
      <c r="D544" s="233"/>
      <c r="E544" s="233"/>
      <c r="F544" s="235"/>
      <c r="G544" s="233"/>
      <c r="H544" s="233"/>
      <c r="I544" s="235"/>
      <c r="J544" s="235"/>
      <c r="K544" s="235"/>
      <c r="L544" s="233"/>
      <c r="M544" s="233"/>
      <c r="N544" s="233"/>
      <c r="O544" s="235"/>
      <c r="P544" s="235"/>
      <c r="Q544" s="235"/>
      <c r="R544" s="235"/>
      <c r="S544" s="233"/>
      <c r="T544" s="235"/>
      <c r="U544" s="235"/>
      <c r="V544" s="233"/>
      <c r="W544" s="235"/>
      <c r="X544" s="235"/>
      <c r="Y544" s="235"/>
      <c r="Z544" s="233"/>
      <c r="AA544" s="233"/>
      <c r="AB544" s="233"/>
      <c r="AC544" s="245"/>
      <c r="AD544" s="245"/>
      <c r="AE544" s="245"/>
    </row>
    <row r="545" spans="1:31" ht="15.75" customHeight="1">
      <c r="A545" s="232"/>
      <c r="B545" s="233"/>
      <c r="C545" s="232"/>
      <c r="D545" s="233"/>
      <c r="E545" s="233"/>
      <c r="F545" s="235"/>
      <c r="G545" s="233"/>
      <c r="H545" s="233"/>
      <c r="I545" s="235"/>
      <c r="J545" s="235"/>
      <c r="K545" s="235"/>
      <c r="L545" s="233"/>
      <c r="M545" s="233"/>
      <c r="N545" s="233"/>
      <c r="O545" s="235"/>
      <c r="P545" s="235"/>
      <c r="Q545" s="235"/>
      <c r="R545" s="235"/>
      <c r="S545" s="233"/>
      <c r="T545" s="235"/>
      <c r="U545" s="235"/>
      <c r="V545" s="233"/>
      <c r="W545" s="235"/>
      <c r="X545" s="235"/>
      <c r="Y545" s="235"/>
      <c r="Z545" s="233"/>
      <c r="AA545" s="233"/>
      <c r="AB545" s="233"/>
      <c r="AC545" s="245"/>
      <c r="AD545" s="245"/>
      <c r="AE545" s="245"/>
    </row>
    <row r="546" spans="1:31" ht="15.75" customHeight="1">
      <c r="A546" s="232"/>
      <c r="B546" s="233"/>
      <c r="C546" s="232"/>
      <c r="D546" s="233"/>
      <c r="E546" s="233"/>
      <c r="F546" s="235"/>
      <c r="G546" s="233"/>
      <c r="H546" s="233"/>
      <c r="I546" s="235"/>
      <c r="J546" s="235"/>
      <c r="K546" s="235"/>
      <c r="L546" s="233"/>
      <c r="M546" s="233"/>
      <c r="N546" s="233"/>
      <c r="O546" s="235"/>
      <c r="P546" s="235"/>
      <c r="Q546" s="235"/>
      <c r="R546" s="235"/>
      <c r="S546" s="233"/>
      <c r="T546" s="235"/>
      <c r="U546" s="235"/>
      <c r="V546" s="233"/>
      <c r="W546" s="235"/>
      <c r="X546" s="235"/>
      <c r="Y546" s="235"/>
      <c r="Z546" s="233"/>
      <c r="AA546" s="233"/>
      <c r="AB546" s="233"/>
      <c r="AC546" s="245"/>
      <c r="AD546" s="245"/>
      <c r="AE546" s="245"/>
    </row>
    <row r="547" spans="1:31" ht="15.75" customHeight="1">
      <c r="A547" s="232"/>
      <c r="B547" s="233"/>
      <c r="C547" s="232"/>
      <c r="D547" s="233"/>
      <c r="E547" s="233"/>
      <c r="F547" s="235"/>
      <c r="G547" s="233"/>
      <c r="H547" s="233"/>
      <c r="I547" s="235"/>
      <c r="J547" s="235"/>
      <c r="K547" s="235"/>
      <c r="L547" s="233"/>
      <c r="M547" s="233"/>
      <c r="N547" s="233"/>
      <c r="O547" s="235"/>
      <c r="P547" s="235"/>
      <c r="Q547" s="235"/>
      <c r="R547" s="235"/>
      <c r="S547" s="233"/>
      <c r="T547" s="235"/>
      <c r="U547" s="235"/>
      <c r="V547" s="233"/>
      <c r="W547" s="235"/>
      <c r="X547" s="235"/>
      <c r="Y547" s="235"/>
      <c r="Z547" s="233"/>
      <c r="AA547" s="233"/>
      <c r="AB547" s="233"/>
      <c r="AC547" s="245"/>
      <c r="AD547" s="245"/>
      <c r="AE547" s="245"/>
    </row>
    <row r="548" spans="1:31" ht="15.75" customHeight="1">
      <c r="A548" s="232"/>
      <c r="B548" s="233"/>
      <c r="C548" s="232"/>
      <c r="D548" s="233"/>
      <c r="E548" s="233"/>
      <c r="F548" s="235"/>
      <c r="G548" s="233"/>
      <c r="H548" s="233"/>
      <c r="I548" s="235"/>
      <c r="J548" s="235"/>
      <c r="K548" s="235"/>
      <c r="L548" s="233"/>
      <c r="M548" s="233"/>
      <c r="N548" s="233"/>
      <c r="O548" s="235"/>
      <c r="P548" s="235"/>
      <c r="Q548" s="235"/>
      <c r="R548" s="235"/>
      <c r="S548" s="233"/>
      <c r="T548" s="235"/>
      <c r="U548" s="235"/>
      <c r="V548" s="233"/>
      <c r="W548" s="235"/>
      <c r="X548" s="235"/>
      <c r="Y548" s="235"/>
      <c r="Z548" s="233"/>
      <c r="AA548" s="233"/>
      <c r="AB548" s="233"/>
      <c r="AC548" s="245"/>
      <c r="AD548" s="245"/>
      <c r="AE548" s="245"/>
    </row>
    <row r="549" spans="1:31" ht="15.75" customHeight="1">
      <c r="A549" s="232"/>
      <c r="B549" s="233"/>
      <c r="C549" s="232"/>
      <c r="D549" s="233"/>
      <c r="E549" s="233"/>
      <c r="F549" s="235"/>
      <c r="G549" s="233"/>
      <c r="H549" s="233"/>
      <c r="I549" s="235"/>
      <c r="J549" s="235"/>
      <c r="K549" s="235"/>
      <c r="L549" s="233"/>
      <c r="M549" s="233"/>
      <c r="N549" s="233"/>
      <c r="O549" s="235"/>
      <c r="P549" s="235"/>
      <c r="Q549" s="235"/>
      <c r="R549" s="235"/>
      <c r="S549" s="233"/>
      <c r="T549" s="235"/>
      <c r="U549" s="235"/>
      <c r="V549" s="233"/>
      <c r="W549" s="235"/>
      <c r="X549" s="235"/>
      <c r="Y549" s="235"/>
      <c r="Z549" s="233"/>
      <c r="AA549" s="233"/>
      <c r="AB549" s="233"/>
      <c r="AC549" s="245"/>
      <c r="AD549" s="245"/>
      <c r="AE549" s="245"/>
    </row>
    <row r="550" spans="1:31" ht="15.75" customHeight="1">
      <c r="A550" s="232"/>
      <c r="B550" s="233"/>
      <c r="C550" s="232"/>
      <c r="D550" s="233"/>
      <c r="E550" s="233"/>
      <c r="F550" s="235"/>
      <c r="G550" s="233"/>
      <c r="H550" s="233"/>
      <c r="I550" s="235"/>
      <c r="J550" s="235"/>
      <c r="K550" s="235"/>
      <c r="L550" s="233"/>
      <c r="M550" s="233"/>
      <c r="N550" s="233"/>
      <c r="O550" s="235"/>
      <c r="P550" s="235"/>
      <c r="Q550" s="235"/>
      <c r="R550" s="235"/>
      <c r="S550" s="233"/>
      <c r="T550" s="235"/>
      <c r="U550" s="235"/>
      <c r="V550" s="233"/>
      <c r="W550" s="235"/>
      <c r="X550" s="235"/>
      <c r="Y550" s="235"/>
      <c r="Z550" s="233"/>
      <c r="AA550" s="233"/>
      <c r="AB550" s="233"/>
      <c r="AC550" s="245"/>
      <c r="AD550" s="245"/>
      <c r="AE550" s="245"/>
    </row>
    <row r="551" spans="1:31" ht="15.75" customHeight="1">
      <c r="A551" s="232"/>
      <c r="B551" s="233"/>
      <c r="C551" s="232"/>
      <c r="D551" s="233"/>
      <c r="E551" s="233"/>
      <c r="F551" s="235"/>
      <c r="G551" s="233"/>
      <c r="H551" s="233"/>
      <c r="I551" s="235"/>
      <c r="J551" s="235"/>
      <c r="K551" s="235"/>
      <c r="L551" s="233"/>
      <c r="M551" s="233"/>
      <c r="N551" s="233"/>
      <c r="O551" s="235"/>
      <c r="P551" s="235"/>
      <c r="Q551" s="235"/>
      <c r="R551" s="235"/>
      <c r="S551" s="233"/>
      <c r="T551" s="235"/>
      <c r="U551" s="235"/>
      <c r="V551" s="233"/>
      <c r="W551" s="235"/>
      <c r="X551" s="235"/>
      <c r="Y551" s="235"/>
      <c r="Z551" s="233"/>
      <c r="AA551" s="233"/>
      <c r="AB551" s="233"/>
      <c r="AC551" s="245"/>
      <c r="AD551" s="245"/>
      <c r="AE551" s="245"/>
    </row>
    <row r="552" spans="1:31" ht="15.75" customHeight="1">
      <c r="A552" s="232"/>
      <c r="B552" s="233"/>
      <c r="C552" s="232"/>
      <c r="D552" s="233"/>
      <c r="E552" s="233"/>
      <c r="F552" s="235"/>
      <c r="G552" s="233"/>
      <c r="H552" s="233"/>
      <c r="I552" s="235"/>
      <c r="J552" s="235"/>
      <c r="K552" s="235"/>
      <c r="L552" s="233"/>
      <c r="M552" s="233"/>
      <c r="N552" s="233"/>
      <c r="O552" s="235"/>
      <c r="P552" s="235"/>
      <c r="Q552" s="235"/>
      <c r="R552" s="235"/>
      <c r="S552" s="233"/>
      <c r="T552" s="235"/>
      <c r="U552" s="235"/>
      <c r="V552" s="233"/>
      <c r="W552" s="235"/>
      <c r="X552" s="235"/>
      <c r="Y552" s="235"/>
      <c r="Z552" s="233"/>
      <c r="AA552" s="233"/>
      <c r="AB552" s="233"/>
      <c r="AC552" s="245"/>
      <c r="AD552" s="245"/>
      <c r="AE552" s="245"/>
    </row>
    <row r="553" spans="1:31" ht="15.75" customHeight="1">
      <c r="A553" s="232"/>
      <c r="B553" s="233"/>
      <c r="C553" s="232"/>
      <c r="D553" s="233"/>
      <c r="E553" s="233"/>
      <c r="F553" s="235"/>
      <c r="G553" s="233"/>
      <c r="H553" s="233"/>
      <c r="I553" s="235"/>
      <c r="J553" s="235"/>
      <c r="K553" s="235"/>
      <c r="L553" s="233"/>
      <c r="M553" s="233"/>
      <c r="N553" s="233"/>
      <c r="O553" s="235"/>
      <c r="P553" s="235"/>
      <c r="Q553" s="235"/>
      <c r="R553" s="235"/>
      <c r="S553" s="233"/>
      <c r="T553" s="235"/>
      <c r="U553" s="235"/>
      <c r="V553" s="233"/>
      <c r="W553" s="235"/>
      <c r="X553" s="235"/>
      <c r="Y553" s="235"/>
      <c r="Z553" s="233"/>
      <c r="AA553" s="233"/>
      <c r="AB553" s="233"/>
      <c r="AC553" s="245"/>
      <c r="AD553" s="245"/>
      <c r="AE553" s="245"/>
    </row>
    <row r="554" spans="1:31" ht="15.75" customHeight="1">
      <c r="A554" s="232"/>
      <c r="B554" s="233"/>
      <c r="C554" s="232"/>
      <c r="D554" s="233"/>
      <c r="E554" s="233"/>
      <c r="F554" s="235"/>
      <c r="G554" s="233"/>
      <c r="H554" s="233"/>
      <c r="I554" s="235"/>
      <c r="J554" s="235"/>
      <c r="K554" s="235"/>
      <c r="L554" s="233"/>
      <c r="M554" s="233"/>
      <c r="N554" s="233"/>
      <c r="O554" s="235"/>
      <c r="P554" s="235"/>
      <c r="Q554" s="235"/>
      <c r="R554" s="235"/>
      <c r="S554" s="233"/>
      <c r="T554" s="235"/>
      <c r="U554" s="235"/>
      <c r="V554" s="233"/>
      <c r="W554" s="235"/>
      <c r="X554" s="235"/>
      <c r="Y554" s="235"/>
      <c r="Z554" s="233"/>
      <c r="AA554" s="233"/>
      <c r="AB554" s="233"/>
      <c r="AC554" s="245"/>
      <c r="AD554" s="245"/>
      <c r="AE554" s="245"/>
    </row>
    <row r="555" spans="1:31" ht="15.75" customHeight="1">
      <c r="A555" s="232"/>
      <c r="B555" s="233"/>
      <c r="C555" s="232"/>
      <c r="D555" s="233"/>
      <c r="E555" s="233"/>
      <c r="F555" s="235"/>
      <c r="G555" s="233"/>
      <c r="H555" s="233"/>
      <c r="I555" s="235"/>
      <c r="J555" s="235"/>
      <c r="K555" s="235"/>
      <c r="L555" s="233"/>
      <c r="M555" s="233"/>
      <c r="N555" s="233"/>
      <c r="O555" s="235"/>
      <c r="P555" s="235"/>
      <c r="Q555" s="235"/>
      <c r="R555" s="235"/>
      <c r="S555" s="233"/>
      <c r="T555" s="235"/>
      <c r="U555" s="235"/>
      <c r="V555" s="233"/>
      <c r="W555" s="235"/>
      <c r="X555" s="235"/>
      <c r="Y555" s="235"/>
      <c r="Z555" s="233"/>
      <c r="AA555" s="233"/>
      <c r="AB555" s="233"/>
      <c r="AC555" s="245"/>
      <c r="AD555" s="245"/>
      <c r="AE555" s="245"/>
    </row>
    <row r="556" spans="1:31" ht="15.75" customHeight="1">
      <c r="A556" s="232"/>
      <c r="B556" s="233"/>
      <c r="C556" s="232"/>
      <c r="D556" s="233"/>
      <c r="E556" s="233"/>
      <c r="F556" s="235"/>
      <c r="G556" s="233"/>
      <c r="H556" s="233"/>
      <c r="I556" s="235"/>
      <c r="J556" s="235"/>
      <c r="K556" s="235"/>
      <c r="L556" s="233"/>
      <c r="M556" s="233"/>
      <c r="N556" s="233"/>
      <c r="O556" s="235"/>
      <c r="P556" s="235"/>
      <c r="Q556" s="235"/>
      <c r="R556" s="235"/>
      <c r="S556" s="233"/>
      <c r="T556" s="235"/>
      <c r="U556" s="235"/>
      <c r="V556" s="233"/>
      <c r="W556" s="235"/>
      <c r="X556" s="235"/>
      <c r="Y556" s="235"/>
      <c r="Z556" s="233"/>
      <c r="AA556" s="233"/>
      <c r="AB556" s="233"/>
      <c r="AC556" s="245"/>
      <c r="AD556" s="245"/>
      <c r="AE556" s="245"/>
    </row>
    <row r="557" spans="1:31" ht="15.75" customHeight="1">
      <c r="A557" s="232"/>
      <c r="B557" s="233"/>
      <c r="C557" s="232"/>
      <c r="D557" s="233"/>
      <c r="E557" s="233"/>
      <c r="F557" s="235"/>
      <c r="G557" s="233"/>
      <c r="H557" s="233"/>
      <c r="I557" s="235"/>
      <c r="J557" s="235"/>
      <c r="K557" s="235"/>
      <c r="L557" s="233"/>
      <c r="M557" s="233"/>
      <c r="N557" s="233"/>
      <c r="O557" s="235"/>
      <c r="P557" s="235"/>
      <c r="Q557" s="235"/>
      <c r="R557" s="235"/>
      <c r="S557" s="233"/>
      <c r="T557" s="235"/>
      <c r="U557" s="235"/>
      <c r="V557" s="233"/>
      <c r="W557" s="235"/>
      <c r="X557" s="235"/>
      <c r="Y557" s="235"/>
      <c r="Z557" s="233"/>
      <c r="AA557" s="233"/>
      <c r="AB557" s="233"/>
      <c r="AC557" s="245"/>
      <c r="AD557" s="245"/>
      <c r="AE557" s="245"/>
    </row>
    <row r="558" spans="1:31" ht="15.75" customHeight="1">
      <c r="A558" s="232"/>
      <c r="B558" s="233"/>
      <c r="C558" s="232"/>
      <c r="D558" s="233"/>
      <c r="E558" s="233"/>
      <c r="F558" s="235"/>
      <c r="G558" s="233"/>
      <c r="H558" s="233"/>
      <c r="I558" s="235"/>
      <c r="J558" s="235"/>
      <c r="K558" s="235"/>
      <c r="L558" s="233"/>
      <c r="M558" s="233"/>
      <c r="N558" s="233"/>
      <c r="O558" s="235"/>
      <c r="P558" s="235"/>
      <c r="Q558" s="235"/>
      <c r="R558" s="235"/>
      <c r="S558" s="233"/>
      <c r="T558" s="235"/>
      <c r="U558" s="235"/>
      <c r="V558" s="233"/>
      <c r="W558" s="235"/>
      <c r="X558" s="235"/>
      <c r="Y558" s="235"/>
      <c r="Z558" s="233"/>
      <c r="AA558" s="233"/>
      <c r="AB558" s="233"/>
      <c r="AC558" s="245"/>
      <c r="AD558" s="245"/>
      <c r="AE558" s="245"/>
    </row>
    <row r="559" spans="1:31" ht="15.75" customHeight="1">
      <c r="A559" s="232"/>
      <c r="B559" s="233"/>
      <c r="C559" s="232"/>
      <c r="D559" s="233"/>
      <c r="E559" s="233"/>
      <c r="F559" s="235"/>
      <c r="G559" s="233"/>
      <c r="H559" s="233"/>
      <c r="I559" s="235"/>
      <c r="J559" s="235"/>
      <c r="K559" s="235"/>
      <c r="L559" s="233"/>
      <c r="M559" s="233"/>
      <c r="N559" s="233"/>
      <c r="O559" s="235"/>
      <c r="P559" s="235"/>
      <c r="Q559" s="235"/>
      <c r="R559" s="235"/>
      <c r="S559" s="233"/>
      <c r="T559" s="235"/>
      <c r="U559" s="235"/>
      <c r="V559" s="233"/>
      <c r="W559" s="235"/>
      <c r="X559" s="235"/>
      <c r="Y559" s="235"/>
      <c r="Z559" s="233"/>
      <c r="AA559" s="233"/>
      <c r="AB559" s="233"/>
      <c r="AC559" s="245"/>
      <c r="AD559" s="245"/>
      <c r="AE559" s="245"/>
    </row>
    <row r="560" spans="1:31" ht="15.75" customHeight="1">
      <c r="A560" s="232"/>
      <c r="B560" s="233"/>
      <c r="C560" s="232"/>
      <c r="D560" s="233"/>
      <c r="E560" s="233"/>
      <c r="F560" s="235"/>
      <c r="G560" s="233"/>
      <c r="H560" s="233"/>
      <c r="I560" s="235"/>
      <c r="J560" s="235"/>
      <c r="K560" s="235"/>
      <c r="L560" s="233"/>
      <c r="M560" s="233"/>
      <c r="N560" s="233"/>
      <c r="O560" s="235"/>
      <c r="P560" s="235"/>
      <c r="Q560" s="235"/>
      <c r="R560" s="235"/>
      <c r="S560" s="233"/>
      <c r="T560" s="235"/>
      <c r="U560" s="235"/>
      <c r="V560" s="233"/>
      <c r="W560" s="235"/>
      <c r="X560" s="235"/>
      <c r="Y560" s="235"/>
      <c r="Z560" s="233"/>
      <c r="AA560" s="233"/>
      <c r="AB560" s="233"/>
      <c r="AC560" s="245"/>
      <c r="AD560" s="245"/>
      <c r="AE560" s="245"/>
    </row>
    <row r="561" spans="1:31" ht="15.75" customHeight="1">
      <c r="A561" s="232"/>
      <c r="B561" s="233"/>
      <c r="C561" s="232"/>
      <c r="D561" s="233"/>
      <c r="E561" s="233"/>
      <c r="F561" s="235"/>
      <c r="G561" s="233"/>
      <c r="H561" s="233"/>
      <c r="I561" s="235"/>
      <c r="J561" s="235"/>
      <c r="K561" s="235"/>
      <c r="L561" s="233"/>
      <c r="M561" s="233"/>
      <c r="N561" s="233"/>
      <c r="O561" s="235"/>
      <c r="P561" s="235"/>
      <c r="Q561" s="235"/>
      <c r="R561" s="235"/>
      <c r="S561" s="233"/>
      <c r="T561" s="235"/>
      <c r="U561" s="235"/>
      <c r="V561" s="233"/>
      <c r="W561" s="235"/>
      <c r="X561" s="235"/>
      <c r="Y561" s="235"/>
      <c r="Z561" s="233"/>
      <c r="AA561" s="233"/>
      <c r="AB561" s="233"/>
      <c r="AC561" s="245"/>
      <c r="AD561" s="245"/>
      <c r="AE561" s="245"/>
    </row>
    <row r="562" spans="1:31" ht="15.75" customHeight="1">
      <c r="A562" s="232"/>
      <c r="B562" s="233"/>
      <c r="C562" s="232"/>
      <c r="D562" s="233"/>
      <c r="E562" s="233"/>
      <c r="F562" s="235"/>
      <c r="G562" s="233"/>
      <c r="H562" s="233"/>
      <c r="I562" s="235"/>
      <c r="J562" s="235"/>
      <c r="K562" s="235"/>
      <c r="L562" s="233"/>
      <c r="M562" s="233"/>
      <c r="N562" s="233"/>
      <c r="O562" s="235"/>
      <c r="P562" s="235"/>
      <c r="Q562" s="235"/>
      <c r="R562" s="235"/>
      <c r="S562" s="233"/>
      <c r="T562" s="235"/>
      <c r="U562" s="235"/>
      <c r="V562" s="233"/>
      <c r="W562" s="235"/>
      <c r="X562" s="235"/>
      <c r="Y562" s="235"/>
      <c r="Z562" s="233"/>
      <c r="AA562" s="233"/>
      <c r="AB562" s="233"/>
      <c r="AC562" s="245"/>
      <c r="AD562" s="245"/>
      <c r="AE562" s="245"/>
    </row>
    <row r="563" spans="1:31" ht="15.75" customHeight="1">
      <c r="A563" s="232"/>
      <c r="B563" s="233"/>
      <c r="C563" s="232"/>
      <c r="D563" s="233"/>
      <c r="E563" s="233"/>
      <c r="F563" s="235"/>
      <c r="G563" s="233"/>
      <c r="H563" s="233"/>
      <c r="I563" s="235"/>
      <c r="J563" s="235"/>
      <c r="K563" s="235"/>
      <c r="L563" s="233"/>
      <c r="M563" s="233"/>
      <c r="N563" s="233"/>
      <c r="O563" s="235"/>
      <c r="P563" s="235"/>
      <c r="Q563" s="235"/>
      <c r="R563" s="235"/>
      <c r="S563" s="233"/>
      <c r="T563" s="235"/>
      <c r="U563" s="235"/>
      <c r="V563" s="233"/>
      <c r="W563" s="235"/>
      <c r="X563" s="235"/>
      <c r="Y563" s="235"/>
      <c r="Z563" s="233"/>
      <c r="AA563" s="233"/>
      <c r="AB563" s="233"/>
      <c r="AC563" s="245"/>
      <c r="AD563" s="245"/>
      <c r="AE563" s="245"/>
    </row>
    <row r="564" spans="1:31" ht="15.75" customHeight="1">
      <c r="A564" s="232"/>
      <c r="B564" s="233"/>
      <c r="C564" s="232"/>
      <c r="D564" s="233"/>
      <c r="E564" s="233"/>
      <c r="F564" s="235"/>
      <c r="G564" s="233"/>
      <c r="H564" s="233"/>
      <c r="I564" s="235"/>
      <c r="J564" s="235"/>
      <c r="K564" s="235"/>
      <c r="L564" s="233"/>
      <c r="M564" s="233"/>
      <c r="N564" s="233"/>
      <c r="O564" s="235"/>
      <c r="P564" s="235"/>
      <c r="Q564" s="235"/>
      <c r="R564" s="235"/>
      <c r="S564" s="233"/>
      <c r="T564" s="235"/>
      <c r="U564" s="235"/>
      <c r="V564" s="233"/>
      <c r="W564" s="235"/>
      <c r="X564" s="235"/>
      <c r="Y564" s="235"/>
      <c r="Z564" s="233"/>
      <c r="AA564" s="233"/>
      <c r="AB564" s="233"/>
      <c r="AC564" s="245"/>
      <c r="AD564" s="245"/>
      <c r="AE564" s="245"/>
    </row>
    <row r="565" spans="1:31" ht="15.75" customHeight="1">
      <c r="A565" s="232"/>
      <c r="B565" s="233"/>
      <c r="C565" s="232"/>
      <c r="D565" s="233"/>
      <c r="E565" s="233"/>
      <c r="F565" s="235"/>
      <c r="G565" s="233"/>
      <c r="H565" s="233"/>
      <c r="I565" s="235"/>
      <c r="J565" s="235"/>
      <c r="K565" s="235"/>
      <c r="L565" s="233"/>
      <c r="M565" s="233"/>
      <c r="N565" s="233"/>
      <c r="O565" s="235"/>
      <c r="P565" s="235"/>
      <c r="Q565" s="235"/>
      <c r="R565" s="235"/>
      <c r="S565" s="233"/>
      <c r="T565" s="235"/>
      <c r="U565" s="235"/>
      <c r="V565" s="233"/>
      <c r="W565" s="235"/>
      <c r="X565" s="235"/>
      <c r="Y565" s="235"/>
      <c r="Z565" s="233"/>
      <c r="AA565" s="233"/>
      <c r="AB565" s="233"/>
      <c r="AC565" s="245"/>
      <c r="AD565" s="245"/>
      <c r="AE565" s="245"/>
    </row>
    <row r="566" spans="1:31" ht="15.75" customHeight="1">
      <c r="A566" s="232"/>
      <c r="B566" s="233"/>
      <c r="C566" s="232"/>
      <c r="D566" s="233"/>
      <c r="E566" s="233"/>
      <c r="F566" s="235"/>
      <c r="G566" s="233"/>
      <c r="H566" s="233"/>
      <c r="I566" s="235"/>
      <c r="J566" s="235"/>
      <c r="K566" s="235"/>
      <c r="L566" s="233"/>
      <c r="M566" s="233"/>
      <c r="N566" s="233"/>
      <c r="O566" s="235"/>
      <c r="P566" s="235"/>
      <c r="Q566" s="235"/>
      <c r="R566" s="235"/>
      <c r="S566" s="233"/>
      <c r="T566" s="235"/>
      <c r="U566" s="235"/>
      <c r="V566" s="233"/>
      <c r="W566" s="235"/>
      <c r="X566" s="235"/>
      <c r="Y566" s="235"/>
      <c r="Z566" s="233"/>
      <c r="AA566" s="233"/>
      <c r="AB566" s="233"/>
      <c r="AC566" s="245"/>
      <c r="AD566" s="245"/>
      <c r="AE566" s="245"/>
    </row>
    <row r="567" spans="1:31" ht="15.75" customHeight="1">
      <c r="A567" s="232"/>
      <c r="B567" s="233"/>
      <c r="C567" s="232"/>
      <c r="D567" s="233"/>
      <c r="E567" s="233"/>
      <c r="F567" s="235"/>
      <c r="G567" s="233"/>
      <c r="H567" s="233"/>
      <c r="I567" s="235"/>
      <c r="J567" s="235"/>
      <c r="K567" s="235"/>
      <c r="L567" s="233"/>
      <c r="M567" s="233"/>
      <c r="N567" s="233"/>
      <c r="O567" s="235"/>
      <c r="P567" s="235"/>
      <c r="Q567" s="235"/>
      <c r="R567" s="235"/>
      <c r="S567" s="233"/>
      <c r="T567" s="235"/>
      <c r="U567" s="235"/>
      <c r="V567" s="233"/>
      <c r="W567" s="235"/>
      <c r="X567" s="235"/>
      <c r="Y567" s="235"/>
      <c r="Z567" s="233"/>
      <c r="AA567" s="233"/>
      <c r="AB567" s="233"/>
      <c r="AC567" s="245"/>
      <c r="AD567" s="245"/>
      <c r="AE567" s="245"/>
    </row>
    <row r="568" spans="1:31" ht="15.75" customHeight="1">
      <c r="A568" s="232"/>
      <c r="B568" s="233"/>
      <c r="C568" s="232"/>
      <c r="D568" s="233"/>
      <c r="E568" s="233"/>
      <c r="F568" s="235"/>
      <c r="G568" s="233"/>
      <c r="H568" s="233"/>
      <c r="I568" s="235"/>
      <c r="J568" s="235"/>
      <c r="K568" s="235"/>
      <c r="L568" s="233"/>
      <c r="M568" s="233"/>
      <c r="N568" s="233"/>
      <c r="O568" s="235"/>
      <c r="P568" s="235"/>
      <c r="Q568" s="235"/>
      <c r="R568" s="235"/>
      <c r="S568" s="233"/>
      <c r="T568" s="235"/>
      <c r="U568" s="235"/>
      <c r="V568" s="233"/>
      <c r="W568" s="235"/>
      <c r="X568" s="235"/>
      <c r="Y568" s="235"/>
      <c r="Z568" s="233"/>
      <c r="AA568" s="233"/>
      <c r="AB568" s="233"/>
      <c r="AC568" s="245"/>
      <c r="AD568" s="245"/>
      <c r="AE568" s="245"/>
    </row>
    <row r="569" spans="1:31" ht="15.75" customHeight="1">
      <c r="A569" s="232"/>
      <c r="B569" s="233"/>
      <c r="C569" s="232"/>
      <c r="D569" s="233"/>
      <c r="E569" s="233"/>
      <c r="F569" s="235"/>
      <c r="G569" s="233"/>
      <c r="H569" s="233"/>
      <c r="I569" s="235"/>
      <c r="J569" s="235"/>
      <c r="K569" s="235"/>
      <c r="L569" s="233"/>
      <c r="M569" s="233"/>
      <c r="N569" s="233"/>
      <c r="O569" s="235"/>
      <c r="P569" s="235"/>
      <c r="Q569" s="235"/>
      <c r="R569" s="235"/>
      <c r="S569" s="233"/>
      <c r="T569" s="235"/>
      <c r="U569" s="235"/>
      <c r="V569" s="233"/>
      <c r="W569" s="235"/>
      <c r="X569" s="235"/>
      <c r="Y569" s="235"/>
      <c r="Z569" s="233"/>
      <c r="AA569" s="233"/>
      <c r="AB569" s="233"/>
      <c r="AC569" s="245"/>
      <c r="AD569" s="245"/>
      <c r="AE569" s="245"/>
    </row>
    <row r="570" spans="1:31" ht="15.75" customHeight="1">
      <c r="A570" s="232"/>
      <c r="B570" s="233"/>
      <c r="C570" s="232"/>
      <c r="D570" s="233"/>
      <c r="E570" s="233"/>
      <c r="F570" s="235"/>
      <c r="G570" s="233"/>
      <c r="H570" s="233"/>
      <c r="I570" s="235"/>
      <c r="J570" s="235"/>
      <c r="K570" s="235"/>
      <c r="L570" s="233"/>
      <c r="M570" s="233"/>
      <c r="N570" s="233"/>
      <c r="O570" s="235"/>
      <c r="P570" s="235"/>
      <c r="Q570" s="235"/>
      <c r="R570" s="235"/>
      <c r="S570" s="233"/>
      <c r="T570" s="235"/>
      <c r="U570" s="235"/>
      <c r="V570" s="233"/>
      <c r="W570" s="235"/>
      <c r="X570" s="235"/>
      <c r="Y570" s="235"/>
      <c r="Z570" s="233"/>
      <c r="AA570" s="233"/>
      <c r="AB570" s="233"/>
      <c r="AC570" s="245"/>
      <c r="AD570" s="245"/>
      <c r="AE570" s="245"/>
    </row>
    <row r="571" spans="1:31" ht="15.75" customHeight="1">
      <c r="A571" s="232"/>
      <c r="B571" s="233"/>
      <c r="C571" s="232"/>
      <c r="D571" s="233"/>
      <c r="E571" s="233"/>
      <c r="F571" s="235"/>
      <c r="G571" s="233"/>
      <c r="H571" s="233"/>
      <c r="I571" s="235"/>
      <c r="J571" s="235"/>
      <c r="K571" s="235"/>
      <c r="L571" s="233"/>
      <c r="M571" s="233"/>
      <c r="N571" s="233"/>
      <c r="O571" s="235"/>
      <c r="P571" s="235"/>
      <c r="Q571" s="235"/>
      <c r="R571" s="235"/>
      <c r="S571" s="233"/>
      <c r="T571" s="235"/>
      <c r="U571" s="235"/>
      <c r="V571" s="233"/>
      <c r="W571" s="235"/>
      <c r="X571" s="235"/>
      <c r="Y571" s="235"/>
      <c r="Z571" s="233"/>
      <c r="AA571" s="233"/>
      <c r="AB571" s="233"/>
      <c r="AC571" s="245"/>
      <c r="AD571" s="245"/>
      <c r="AE571" s="245"/>
    </row>
    <row r="572" spans="1:31" ht="15.75" customHeight="1">
      <c r="A572" s="232"/>
      <c r="B572" s="233"/>
      <c r="C572" s="232"/>
      <c r="D572" s="233"/>
      <c r="E572" s="233"/>
      <c r="F572" s="235"/>
      <c r="G572" s="233"/>
      <c r="H572" s="233"/>
      <c r="I572" s="235"/>
      <c r="J572" s="235"/>
      <c r="K572" s="235"/>
      <c r="L572" s="233"/>
      <c r="M572" s="233"/>
      <c r="N572" s="233"/>
      <c r="O572" s="235"/>
      <c r="P572" s="235"/>
      <c r="Q572" s="235"/>
      <c r="R572" s="235"/>
      <c r="S572" s="233"/>
      <c r="T572" s="235"/>
      <c r="U572" s="235"/>
      <c r="V572" s="233"/>
      <c r="W572" s="235"/>
      <c r="X572" s="235"/>
      <c r="Y572" s="235"/>
      <c r="Z572" s="233"/>
      <c r="AA572" s="233"/>
      <c r="AB572" s="233"/>
      <c r="AC572" s="245"/>
      <c r="AD572" s="245"/>
      <c r="AE572" s="245"/>
    </row>
    <row r="573" spans="1:31" ht="15.75" customHeight="1">
      <c r="A573" s="232"/>
      <c r="B573" s="233"/>
      <c r="C573" s="232"/>
      <c r="D573" s="233"/>
      <c r="E573" s="233"/>
      <c r="F573" s="235"/>
      <c r="G573" s="233"/>
      <c r="H573" s="233"/>
      <c r="I573" s="235"/>
      <c r="J573" s="235"/>
      <c r="K573" s="235"/>
      <c r="L573" s="233"/>
      <c r="M573" s="233"/>
      <c r="N573" s="233"/>
      <c r="O573" s="235"/>
      <c r="P573" s="235"/>
      <c r="Q573" s="235"/>
      <c r="R573" s="235"/>
      <c r="S573" s="233"/>
      <c r="T573" s="235"/>
      <c r="U573" s="235"/>
      <c r="V573" s="233"/>
      <c r="W573" s="235"/>
      <c r="X573" s="235"/>
      <c r="Y573" s="235"/>
      <c r="Z573" s="233"/>
      <c r="AA573" s="233"/>
      <c r="AB573" s="233"/>
      <c r="AC573" s="245"/>
      <c r="AD573" s="245"/>
      <c r="AE573" s="245"/>
    </row>
    <row r="574" spans="1:31" ht="15.75" customHeight="1">
      <c r="A574" s="232"/>
      <c r="B574" s="233"/>
      <c r="C574" s="232"/>
      <c r="D574" s="233"/>
      <c r="E574" s="233"/>
      <c r="F574" s="235"/>
      <c r="G574" s="233"/>
      <c r="H574" s="233"/>
      <c r="I574" s="235"/>
      <c r="J574" s="235"/>
      <c r="K574" s="235"/>
      <c r="L574" s="233"/>
      <c r="M574" s="233"/>
      <c r="N574" s="233"/>
      <c r="O574" s="235"/>
      <c r="P574" s="235"/>
      <c r="Q574" s="235"/>
      <c r="R574" s="235"/>
      <c r="S574" s="233"/>
      <c r="T574" s="235"/>
      <c r="U574" s="235"/>
      <c r="V574" s="233"/>
      <c r="W574" s="235"/>
      <c r="X574" s="235"/>
      <c r="Y574" s="235"/>
      <c r="Z574" s="233"/>
      <c r="AA574" s="233"/>
      <c r="AB574" s="233"/>
      <c r="AC574" s="245"/>
      <c r="AD574" s="245"/>
      <c r="AE574" s="245"/>
    </row>
    <row r="575" spans="1:31" ht="15.75" customHeight="1">
      <c r="A575" s="232"/>
      <c r="B575" s="233"/>
      <c r="C575" s="232"/>
      <c r="D575" s="233"/>
      <c r="E575" s="233"/>
      <c r="F575" s="235"/>
      <c r="G575" s="233"/>
      <c r="H575" s="233"/>
      <c r="I575" s="235"/>
      <c r="J575" s="235"/>
      <c r="K575" s="235"/>
      <c r="L575" s="233"/>
      <c r="M575" s="233"/>
      <c r="N575" s="233"/>
      <c r="O575" s="235"/>
      <c r="P575" s="235"/>
      <c r="Q575" s="235"/>
      <c r="R575" s="235"/>
      <c r="S575" s="233"/>
      <c r="T575" s="235"/>
      <c r="U575" s="235"/>
      <c r="V575" s="233"/>
      <c r="W575" s="235"/>
      <c r="X575" s="235"/>
      <c r="Y575" s="235"/>
      <c r="Z575" s="233"/>
      <c r="AA575" s="233"/>
      <c r="AB575" s="233"/>
      <c r="AC575" s="245"/>
      <c r="AD575" s="245"/>
      <c r="AE575" s="245"/>
    </row>
    <row r="576" spans="1:31" ht="15.75" customHeight="1">
      <c r="A576" s="232"/>
      <c r="B576" s="233"/>
      <c r="C576" s="232"/>
      <c r="D576" s="233"/>
      <c r="E576" s="233"/>
      <c r="F576" s="235"/>
      <c r="G576" s="233"/>
      <c r="H576" s="233"/>
      <c r="I576" s="235"/>
      <c r="J576" s="235"/>
      <c r="K576" s="235"/>
      <c r="L576" s="233"/>
      <c r="M576" s="233"/>
      <c r="N576" s="233"/>
      <c r="O576" s="235"/>
      <c r="P576" s="235"/>
      <c r="Q576" s="235"/>
      <c r="R576" s="235"/>
      <c r="S576" s="233"/>
      <c r="T576" s="235"/>
      <c r="U576" s="235"/>
      <c r="V576" s="233"/>
      <c r="W576" s="235"/>
      <c r="X576" s="235"/>
      <c r="Y576" s="235"/>
      <c r="Z576" s="233"/>
      <c r="AA576" s="233"/>
      <c r="AB576" s="233"/>
      <c r="AC576" s="245"/>
      <c r="AD576" s="245"/>
      <c r="AE576" s="245"/>
    </row>
    <row r="577" spans="1:31" ht="15.75" customHeight="1">
      <c r="A577" s="232"/>
      <c r="B577" s="233"/>
      <c r="C577" s="232"/>
      <c r="D577" s="233"/>
      <c r="E577" s="233"/>
      <c r="F577" s="235"/>
      <c r="G577" s="233"/>
      <c r="H577" s="233"/>
      <c r="I577" s="235"/>
      <c r="J577" s="235"/>
      <c r="K577" s="235"/>
      <c r="L577" s="233"/>
      <c r="M577" s="233"/>
      <c r="N577" s="233"/>
      <c r="O577" s="235"/>
      <c r="P577" s="235"/>
      <c r="Q577" s="235"/>
      <c r="R577" s="235"/>
      <c r="S577" s="233"/>
      <c r="T577" s="235"/>
      <c r="U577" s="235"/>
      <c r="V577" s="233"/>
      <c r="W577" s="235"/>
      <c r="X577" s="235"/>
      <c r="Y577" s="235"/>
      <c r="Z577" s="233"/>
      <c r="AA577" s="233"/>
      <c r="AB577" s="233"/>
      <c r="AC577" s="245"/>
      <c r="AD577" s="245"/>
      <c r="AE577" s="245"/>
    </row>
    <row r="578" spans="1:31" ht="15.75" customHeight="1">
      <c r="A578" s="232"/>
      <c r="B578" s="233"/>
      <c r="C578" s="232"/>
      <c r="D578" s="233"/>
      <c r="E578" s="233"/>
      <c r="F578" s="235"/>
      <c r="G578" s="233"/>
      <c r="H578" s="233"/>
      <c r="I578" s="235"/>
      <c r="J578" s="235"/>
      <c r="K578" s="235"/>
      <c r="L578" s="233"/>
      <c r="M578" s="233"/>
      <c r="N578" s="233"/>
      <c r="O578" s="235"/>
      <c r="P578" s="235"/>
      <c r="Q578" s="235"/>
      <c r="R578" s="235"/>
      <c r="S578" s="233"/>
      <c r="T578" s="235"/>
      <c r="U578" s="235"/>
      <c r="V578" s="233"/>
      <c r="W578" s="235"/>
      <c r="X578" s="235"/>
      <c r="Y578" s="235"/>
      <c r="Z578" s="233"/>
      <c r="AA578" s="233"/>
      <c r="AB578" s="233"/>
      <c r="AC578" s="245"/>
      <c r="AD578" s="245"/>
      <c r="AE578" s="245"/>
    </row>
    <row r="579" spans="1:31" ht="15.75" customHeight="1">
      <c r="A579" s="232"/>
      <c r="B579" s="233"/>
      <c r="C579" s="232"/>
      <c r="D579" s="233"/>
      <c r="E579" s="233"/>
      <c r="F579" s="235"/>
      <c r="G579" s="233"/>
      <c r="H579" s="233"/>
      <c r="I579" s="235"/>
      <c r="J579" s="235"/>
      <c r="K579" s="235"/>
      <c r="L579" s="233"/>
      <c r="M579" s="233"/>
      <c r="N579" s="233"/>
      <c r="O579" s="235"/>
      <c r="P579" s="235"/>
      <c r="Q579" s="235"/>
      <c r="R579" s="235"/>
      <c r="S579" s="233"/>
      <c r="T579" s="235"/>
      <c r="U579" s="235"/>
      <c r="V579" s="233"/>
      <c r="W579" s="235"/>
      <c r="X579" s="235"/>
      <c r="Y579" s="235"/>
      <c r="Z579" s="233"/>
      <c r="AA579" s="233"/>
      <c r="AB579" s="233"/>
      <c r="AC579" s="245"/>
      <c r="AD579" s="245"/>
      <c r="AE579" s="245"/>
    </row>
    <row r="580" spans="1:31" ht="15.75" customHeight="1">
      <c r="A580" s="232"/>
      <c r="B580" s="233"/>
      <c r="C580" s="232"/>
      <c r="D580" s="233"/>
      <c r="E580" s="233"/>
      <c r="F580" s="235"/>
      <c r="G580" s="233"/>
      <c r="H580" s="233"/>
      <c r="I580" s="235"/>
      <c r="J580" s="235"/>
      <c r="K580" s="235"/>
      <c r="L580" s="233"/>
      <c r="M580" s="233"/>
      <c r="N580" s="233"/>
      <c r="O580" s="235"/>
      <c r="P580" s="235"/>
      <c r="Q580" s="235"/>
      <c r="R580" s="235"/>
      <c r="S580" s="233"/>
      <c r="T580" s="235"/>
      <c r="U580" s="235"/>
      <c r="V580" s="233"/>
      <c r="W580" s="235"/>
      <c r="X580" s="235"/>
      <c r="Y580" s="235"/>
      <c r="Z580" s="233"/>
      <c r="AA580" s="233"/>
      <c r="AB580" s="233"/>
      <c r="AC580" s="245"/>
      <c r="AD580" s="245"/>
      <c r="AE580" s="245"/>
    </row>
    <row r="581" spans="1:31" ht="15.75" customHeight="1">
      <c r="A581" s="232"/>
      <c r="B581" s="233"/>
      <c r="C581" s="232"/>
      <c r="D581" s="233"/>
      <c r="E581" s="233"/>
      <c r="F581" s="235"/>
      <c r="G581" s="233"/>
      <c r="H581" s="233"/>
      <c r="I581" s="235"/>
      <c r="J581" s="235"/>
      <c r="K581" s="235"/>
      <c r="L581" s="233"/>
      <c r="M581" s="233"/>
      <c r="N581" s="233"/>
      <c r="O581" s="235"/>
      <c r="P581" s="235"/>
      <c r="Q581" s="235"/>
      <c r="R581" s="235"/>
      <c r="S581" s="233"/>
      <c r="T581" s="235"/>
      <c r="U581" s="235"/>
      <c r="V581" s="233"/>
      <c r="W581" s="235"/>
      <c r="X581" s="235"/>
      <c r="Y581" s="235"/>
      <c r="Z581" s="233"/>
      <c r="AA581" s="233"/>
      <c r="AB581" s="233"/>
      <c r="AC581" s="245"/>
      <c r="AD581" s="245"/>
      <c r="AE581" s="245"/>
    </row>
    <row r="582" spans="1:31" ht="15.75" customHeight="1">
      <c r="A582" s="232"/>
      <c r="B582" s="233"/>
      <c r="C582" s="232"/>
      <c r="D582" s="233"/>
      <c r="E582" s="233"/>
      <c r="F582" s="235"/>
      <c r="G582" s="233"/>
      <c r="H582" s="233"/>
      <c r="I582" s="235"/>
      <c r="J582" s="235"/>
      <c r="K582" s="235"/>
      <c r="L582" s="233"/>
      <c r="M582" s="233"/>
      <c r="N582" s="233"/>
      <c r="O582" s="235"/>
      <c r="P582" s="235"/>
      <c r="Q582" s="235"/>
      <c r="R582" s="235"/>
      <c r="S582" s="233"/>
      <c r="T582" s="235"/>
      <c r="U582" s="235"/>
      <c r="V582" s="233"/>
      <c r="W582" s="235"/>
      <c r="X582" s="235"/>
      <c r="Y582" s="235"/>
      <c r="Z582" s="233"/>
      <c r="AA582" s="233"/>
      <c r="AB582" s="233"/>
      <c r="AC582" s="245"/>
      <c r="AD582" s="245"/>
      <c r="AE582" s="245"/>
    </row>
    <row r="583" spans="1:31" ht="15.75" customHeight="1">
      <c r="A583" s="232"/>
      <c r="B583" s="233"/>
      <c r="C583" s="232"/>
      <c r="D583" s="233"/>
      <c r="E583" s="233"/>
      <c r="F583" s="235"/>
      <c r="G583" s="233"/>
      <c r="H583" s="233"/>
      <c r="I583" s="235"/>
      <c r="J583" s="235"/>
      <c r="K583" s="235"/>
      <c r="L583" s="233"/>
      <c r="M583" s="233"/>
      <c r="N583" s="233"/>
      <c r="O583" s="235"/>
      <c r="P583" s="235"/>
      <c r="Q583" s="235"/>
      <c r="R583" s="235"/>
      <c r="S583" s="233"/>
      <c r="T583" s="235"/>
      <c r="U583" s="235"/>
      <c r="V583" s="233"/>
      <c r="W583" s="235"/>
      <c r="X583" s="235"/>
      <c r="Y583" s="235"/>
      <c r="Z583" s="233"/>
      <c r="AA583" s="233"/>
      <c r="AB583" s="233"/>
      <c r="AC583" s="245"/>
      <c r="AD583" s="245"/>
      <c r="AE583" s="245"/>
    </row>
    <row r="584" spans="1:31" ht="15.75" customHeight="1">
      <c r="A584" s="232"/>
      <c r="B584" s="233"/>
      <c r="C584" s="232"/>
      <c r="D584" s="233"/>
      <c r="E584" s="233"/>
      <c r="F584" s="235"/>
      <c r="G584" s="233"/>
      <c r="H584" s="233"/>
      <c r="I584" s="235"/>
      <c r="J584" s="235"/>
      <c r="K584" s="235"/>
      <c r="L584" s="233"/>
      <c r="M584" s="233"/>
      <c r="N584" s="233"/>
      <c r="O584" s="235"/>
      <c r="P584" s="235"/>
      <c r="Q584" s="235"/>
      <c r="R584" s="235"/>
      <c r="S584" s="233"/>
      <c r="T584" s="235"/>
      <c r="U584" s="235"/>
      <c r="V584" s="233"/>
      <c r="W584" s="235"/>
      <c r="X584" s="235"/>
      <c r="Y584" s="235"/>
      <c r="Z584" s="233"/>
      <c r="AA584" s="233"/>
      <c r="AB584" s="233"/>
      <c r="AC584" s="245"/>
      <c r="AD584" s="245"/>
      <c r="AE584" s="245"/>
    </row>
    <row r="585" spans="1:31" ht="15.75" customHeight="1">
      <c r="A585" s="232"/>
      <c r="B585" s="233"/>
      <c r="C585" s="232"/>
      <c r="D585" s="233"/>
      <c r="E585" s="233"/>
      <c r="F585" s="235"/>
      <c r="G585" s="233"/>
      <c r="H585" s="233"/>
      <c r="I585" s="235"/>
      <c r="J585" s="235"/>
      <c r="K585" s="235"/>
      <c r="L585" s="233"/>
      <c r="M585" s="233"/>
      <c r="N585" s="233"/>
      <c r="O585" s="235"/>
      <c r="P585" s="235"/>
      <c r="Q585" s="235"/>
      <c r="R585" s="235"/>
      <c r="S585" s="233"/>
      <c r="T585" s="235"/>
      <c r="U585" s="235"/>
      <c r="V585" s="233"/>
      <c r="W585" s="235"/>
      <c r="X585" s="235"/>
      <c r="Y585" s="235"/>
      <c r="Z585" s="233"/>
      <c r="AA585" s="233"/>
      <c r="AB585" s="233"/>
      <c r="AC585" s="245"/>
      <c r="AD585" s="245"/>
      <c r="AE585" s="245"/>
    </row>
    <row r="586" spans="1:31" ht="15.75" customHeight="1">
      <c r="A586" s="232"/>
      <c r="B586" s="233"/>
      <c r="C586" s="232"/>
      <c r="D586" s="233"/>
      <c r="E586" s="233"/>
      <c r="F586" s="235"/>
      <c r="G586" s="233"/>
      <c r="H586" s="233"/>
      <c r="I586" s="235"/>
      <c r="J586" s="235"/>
      <c r="K586" s="235"/>
      <c r="L586" s="233"/>
      <c r="M586" s="233"/>
      <c r="N586" s="233"/>
      <c r="O586" s="235"/>
      <c r="P586" s="235"/>
      <c r="Q586" s="235"/>
      <c r="R586" s="235"/>
      <c r="S586" s="233"/>
      <c r="T586" s="235"/>
      <c r="U586" s="235"/>
      <c r="V586" s="233"/>
      <c r="W586" s="235"/>
      <c r="X586" s="235"/>
      <c r="Y586" s="235"/>
      <c r="Z586" s="233"/>
      <c r="AA586" s="233"/>
      <c r="AB586" s="233"/>
      <c r="AC586" s="245"/>
      <c r="AD586" s="245"/>
      <c r="AE586" s="245"/>
    </row>
    <row r="587" spans="1:31" ht="15.75" customHeight="1">
      <c r="A587" s="232"/>
      <c r="B587" s="233"/>
      <c r="C587" s="232"/>
      <c r="D587" s="233"/>
      <c r="E587" s="233"/>
      <c r="F587" s="235"/>
      <c r="G587" s="233"/>
      <c r="H587" s="233"/>
      <c r="I587" s="235"/>
      <c r="J587" s="235"/>
      <c r="K587" s="235"/>
      <c r="L587" s="233"/>
      <c r="M587" s="233"/>
      <c r="N587" s="233"/>
      <c r="O587" s="235"/>
      <c r="P587" s="235"/>
      <c r="Q587" s="235"/>
      <c r="R587" s="235"/>
      <c r="S587" s="233"/>
      <c r="T587" s="235"/>
      <c r="U587" s="235"/>
      <c r="V587" s="233"/>
      <c r="W587" s="235"/>
      <c r="X587" s="235"/>
      <c r="Y587" s="235"/>
      <c r="Z587" s="233"/>
      <c r="AA587" s="233"/>
      <c r="AB587" s="233"/>
      <c r="AC587" s="245"/>
      <c r="AD587" s="245"/>
      <c r="AE587" s="245"/>
    </row>
    <row r="588" spans="1:31" ht="15.75" customHeight="1">
      <c r="A588" s="232"/>
      <c r="B588" s="233"/>
      <c r="C588" s="232"/>
      <c r="D588" s="233"/>
      <c r="E588" s="233"/>
      <c r="F588" s="235"/>
      <c r="G588" s="233"/>
      <c r="H588" s="233"/>
      <c r="I588" s="235"/>
      <c r="J588" s="235"/>
      <c r="K588" s="235"/>
      <c r="L588" s="233"/>
      <c r="M588" s="233"/>
      <c r="N588" s="233"/>
      <c r="O588" s="235"/>
      <c r="P588" s="235"/>
      <c r="Q588" s="235"/>
      <c r="R588" s="235"/>
      <c r="S588" s="233"/>
      <c r="T588" s="235"/>
      <c r="U588" s="235"/>
      <c r="V588" s="233"/>
      <c r="W588" s="235"/>
      <c r="X588" s="235"/>
      <c r="Y588" s="235"/>
      <c r="Z588" s="233"/>
      <c r="AA588" s="233"/>
      <c r="AB588" s="233"/>
      <c r="AC588" s="245"/>
      <c r="AD588" s="245"/>
      <c r="AE588" s="245"/>
    </row>
    <row r="589" spans="1:31" ht="15.75" customHeight="1">
      <c r="A589" s="232"/>
      <c r="B589" s="233"/>
      <c r="C589" s="232"/>
      <c r="D589" s="233"/>
      <c r="E589" s="233"/>
      <c r="F589" s="235"/>
      <c r="G589" s="233"/>
      <c r="H589" s="233"/>
      <c r="I589" s="235"/>
      <c r="J589" s="235"/>
      <c r="K589" s="235"/>
      <c r="L589" s="233"/>
      <c r="M589" s="233"/>
      <c r="N589" s="233"/>
      <c r="O589" s="235"/>
      <c r="P589" s="235"/>
      <c r="Q589" s="235"/>
      <c r="R589" s="235"/>
      <c r="S589" s="233"/>
      <c r="T589" s="235"/>
      <c r="U589" s="235"/>
      <c r="V589" s="233"/>
      <c r="W589" s="235"/>
      <c r="X589" s="235"/>
      <c r="Y589" s="235"/>
      <c r="Z589" s="233"/>
      <c r="AA589" s="233"/>
      <c r="AB589" s="233"/>
      <c r="AC589" s="245"/>
      <c r="AD589" s="245"/>
      <c r="AE589" s="245"/>
    </row>
    <row r="590" spans="1:31" ht="15.75" customHeight="1">
      <c r="A590" s="232"/>
      <c r="B590" s="233"/>
      <c r="C590" s="232"/>
      <c r="D590" s="233"/>
      <c r="E590" s="233"/>
      <c r="F590" s="235"/>
      <c r="G590" s="233"/>
      <c r="H590" s="233"/>
      <c r="I590" s="235"/>
      <c r="J590" s="235"/>
      <c r="K590" s="235"/>
      <c r="L590" s="233"/>
      <c r="M590" s="233"/>
      <c r="N590" s="233"/>
      <c r="O590" s="235"/>
      <c r="P590" s="235"/>
      <c r="Q590" s="235"/>
      <c r="R590" s="235"/>
      <c r="S590" s="233"/>
      <c r="T590" s="235"/>
      <c r="U590" s="235"/>
      <c r="V590" s="233"/>
      <c r="W590" s="235"/>
      <c r="X590" s="235"/>
      <c r="Y590" s="235"/>
      <c r="Z590" s="233"/>
      <c r="AA590" s="233"/>
      <c r="AB590" s="233"/>
      <c r="AC590" s="245"/>
      <c r="AD590" s="245"/>
      <c r="AE590" s="245"/>
    </row>
    <row r="591" spans="1:31" ht="15.75" customHeight="1">
      <c r="A591" s="232"/>
      <c r="B591" s="233"/>
      <c r="C591" s="232"/>
      <c r="D591" s="233"/>
      <c r="E591" s="233"/>
      <c r="F591" s="235"/>
      <c r="G591" s="233"/>
      <c r="H591" s="233"/>
      <c r="I591" s="235"/>
      <c r="J591" s="235"/>
      <c r="K591" s="235"/>
      <c r="L591" s="233"/>
      <c r="M591" s="233"/>
      <c r="N591" s="233"/>
      <c r="O591" s="235"/>
      <c r="P591" s="235"/>
      <c r="Q591" s="235"/>
      <c r="R591" s="235"/>
      <c r="S591" s="233"/>
      <c r="T591" s="235"/>
      <c r="U591" s="235"/>
      <c r="V591" s="233"/>
      <c r="W591" s="235"/>
      <c r="X591" s="235"/>
      <c r="Y591" s="235"/>
      <c r="Z591" s="233"/>
      <c r="AA591" s="233"/>
      <c r="AB591" s="233"/>
      <c r="AC591" s="245"/>
      <c r="AD591" s="245"/>
      <c r="AE591" s="245"/>
    </row>
    <row r="592" spans="1:31" ht="15.75" customHeight="1">
      <c r="A592" s="232"/>
      <c r="B592" s="233"/>
      <c r="C592" s="232"/>
      <c r="D592" s="233"/>
      <c r="E592" s="233"/>
      <c r="F592" s="235"/>
      <c r="G592" s="233"/>
      <c r="H592" s="233"/>
      <c r="I592" s="235"/>
      <c r="J592" s="235"/>
      <c r="K592" s="235"/>
      <c r="L592" s="233"/>
      <c r="M592" s="233"/>
      <c r="N592" s="233"/>
      <c r="O592" s="235"/>
      <c r="P592" s="235"/>
      <c r="Q592" s="235"/>
      <c r="R592" s="235"/>
      <c r="S592" s="233"/>
      <c r="T592" s="235"/>
      <c r="U592" s="235"/>
      <c r="V592" s="233"/>
      <c r="W592" s="235"/>
      <c r="X592" s="235"/>
      <c r="Y592" s="235"/>
      <c r="Z592" s="233"/>
      <c r="AA592" s="233"/>
      <c r="AB592" s="233"/>
      <c r="AC592" s="245"/>
      <c r="AD592" s="245"/>
      <c r="AE592" s="245"/>
    </row>
    <row r="593" spans="1:31" ht="15.75" customHeight="1">
      <c r="A593" s="232"/>
      <c r="B593" s="233"/>
      <c r="C593" s="232"/>
      <c r="D593" s="233"/>
      <c r="E593" s="233"/>
      <c r="F593" s="235"/>
      <c r="G593" s="233"/>
      <c r="H593" s="233"/>
      <c r="I593" s="235"/>
      <c r="J593" s="235"/>
      <c r="K593" s="235"/>
      <c r="L593" s="233"/>
      <c r="M593" s="233"/>
      <c r="N593" s="233"/>
      <c r="O593" s="235"/>
      <c r="P593" s="235"/>
      <c r="Q593" s="235"/>
      <c r="R593" s="235"/>
      <c r="S593" s="233"/>
      <c r="T593" s="235"/>
      <c r="U593" s="235"/>
      <c r="V593" s="233"/>
      <c r="W593" s="235"/>
      <c r="X593" s="235"/>
      <c r="Y593" s="235"/>
      <c r="Z593" s="233"/>
      <c r="AA593" s="233"/>
      <c r="AB593" s="233"/>
      <c r="AC593" s="245"/>
      <c r="AD593" s="245"/>
      <c r="AE593" s="245"/>
    </row>
    <row r="594" spans="1:31" ht="15.75" customHeight="1">
      <c r="A594" s="232"/>
      <c r="B594" s="233"/>
      <c r="C594" s="232"/>
      <c r="D594" s="233"/>
      <c r="E594" s="233"/>
      <c r="F594" s="235"/>
      <c r="G594" s="233"/>
      <c r="H594" s="233"/>
      <c r="I594" s="235"/>
      <c r="J594" s="235"/>
      <c r="K594" s="235"/>
      <c r="L594" s="233"/>
      <c r="M594" s="233"/>
      <c r="N594" s="233"/>
      <c r="O594" s="235"/>
      <c r="P594" s="235"/>
      <c r="Q594" s="235"/>
      <c r="R594" s="235"/>
      <c r="S594" s="233"/>
      <c r="T594" s="235"/>
      <c r="U594" s="235"/>
      <c r="V594" s="233"/>
      <c r="W594" s="235"/>
      <c r="X594" s="235"/>
      <c r="Y594" s="235"/>
      <c r="Z594" s="233"/>
      <c r="AA594" s="233"/>
      <c r="AB594" s="233"/>
      <c r="AC594" s="245"/>
      <c r="AD594" s="245"/>
      <c r="AE594" s="245"/>
    </row>
    <row r="595" spans="1:31" ht="15.75" customHeight="1">
      <c r="A595" s="232"/>
      <c r="B595" s="233"/>
      <c r="C595" s="232"/>
      <c r="D595" s="233"/>
      <c r="E595" s="233"/>
      <c r="F595" s="235"/>
      <c r="G595" s="233"/>
      <c r="H595" s="233"/>
      <c r="I595" s="235"/>
      <c r="J595" s="235"/>
      <c r="K595" s="235"/>
      <c r="L595" s="233"/>
      <c r="M595" s="233"/>
      <c r="N595" s="233"/>
      <c r="O595" s="235"/>
      <c r="P595" s="235"/>
      <c r="Q595" s="235"/>
      <c r="R595" s="235"/>
      <c r="S595" s="233"/>
      <c r="T595" s="235"/>
      <c r="U595" s="235"/>
      <c r="V595" s="233"/>
      <c r="W595" s="235"/>
      <c r="X595" s="235"/>
      <c r="Y595" s="235"/>
      <c r="Z595" s="233"/>
      <c r="AA595" s="233"/>
      <c r="AB595" s="233"/>
      <c r="AC595" s="245"/>
      <c r="AD595" s="245"/>
      <c r="AE595" s="245"/>
    </row>
    <row r="596" spans="1:31" ht="15.75" customHeight="1">
      <c r="A596" s="232"/>
      <c r="B596" s="233"/>
      <c r="C596" s="232"/>
      <c r="D596" s="233"/>
      <c r="E596" s="233"/>
      <c r="F596" s="235"/>
      <c r="G596" s="233"/>
      <c r="H596" s="233"/>
      <c r="I596" s="235"/>
      <c r="J596" s="235"/>
      <c r="K596" s="235"/>
      <c r="L596" s="233"/>
      <c r="M596" s="233"/>
      <c r="N596" s="233"/>
      <c r="O596" s="235"/>
      <c r="P596" s="235"/>
      <c r="Q596" s="235"/>
      <c r="R596" s="235"/>
      <c r="S596" s="233"/>
      <c r="T596" s="235"/>
      <c r="U596" s="235"/>
      <c r="V596" s="233"/>
      <c r="W596" s="235"/>
      <c r="X596" s="235"/>
      <c r="Y596" s="235"/>
      <c r="Z596" s="233"/>
      <c r="AA596" s="233"/>
      <c r="AB596" s="233"/>
      <c r="AC596" s="245"/>
      <c r="AD596" s="245"/>
      <c r="AE596" s="245"/>
    </row>
    <row r="597" spans="1:31" ht="15.75" customHeight="1">
      <c r="A597" s="232"/>
      <c r="B597" s="233"/>
      <c r="C597" s="232"/>
      <c r="D597" s="233"/>
      <c r="E597" s="233"/>
      <c r="F597" s="235"/>
      <c r="G597" s="233"/>
      <c r="H597" s="233"/>
      <c r="I597" s="235"/>
      <c r="J597" s="235"/>
      <c r="K597" s="235"/>
      <c r="L597" s="233"/>
      <c r="M597" s="233"/>
      <c r="N597" s="233"/>
      <c r="O597" s="235"/>
      <c r="P597" s="235"/>
      <c r="Q597" s="235"/>
      <c r="R597" s="235"/>
      <c r="S597" s="233"/>
      <c r="T597" s="235"/>
      <c r="U597" s="235"/>
      <c r="V597" s="233"/>
      <c r="W597" s="235"/>
      <c r="X597" s="235"/>
      <c r="Y597" s="235"/>
      <c r="Z597" s="233"/>
      <c r="AA597" s="233"/>
      <c r="AB597" s="233"/>
      <c r="AC597" s="245"/>
      <c r="AD597" s="245"/>
      <c r="AE597" s="245"/>
    </row>
    <row r="598" spans="1:31" ht="15.75" customHeight="1">
      <c r="A598" s="232"/>
      <c r="B598" s="233"/>
      <c r="C598" s="232"/>
      <c r="D598" s="233"/>
      <c r="E598" s="233"/>
      <c r="F598" s="235"/>
      <c r="G598" s="233"/>
      <c r="H598" s="233"/>
      <c r="I598" s="235"/>
      <c r="J598" s="235"/>
      <c r="K598" s="235"/>
      <c r="L598" s="233"/>
      <c r="M598" s="233"/>
      <c r="N598" s="233"/>
      <c r="O598" s="235"/>
      <c r="P598" s="235"/>
      <c r="Q598" s="235"/>
      <c r="R598" s="235"/>
      <c r="S598" s="233"/>
      <c r="T598" s="235"/>
      <c r="U598" s="235"/>
      <c r="V598" s="233"/>
      <c r="W598" s="235"/>
      <c r="X598" s="235"/>
      <c r="Y598" s="235"/>
      <c r="Z598" s="233"/>
      <c r="AA598" s="233"/>
      <c r="AB598" s="233"/>
      <c r="AC598" s="245"/>
      <c r="AD598" s="245"/>
      <c r="AE598" s="245"/>
    </row>
    <row r="599" spans="1:31" ht="15.75" customHeight="1">
      <c r="A599" s="232"/>
      <c r="B599" s="233"/>
      <c r="C599" s="232"/>
      <c r="D599" s="233"/>
      <c r="E599" s="233"/>
      <c r="F599" s="235"/>
      <c r="G599" s="233"/>
      <c r="H599" s="233"/>
      <c r="I599" s="235"/>
      <c r="J599" s="235"/>
      <c r="K599" s="235"/>
      <c r="L599" s="233"/>
      <c r="M599" s="233"/>
      <c r="N599" s="233"/>
      <c r="O599" s="235"/>
      <c r="P599" s="235"/>
      <c r="Q599" s="235"/>
      <c r="R599" s="235"/>
      <c r="S599" s="233"/>
      <c r="T599" s="235"/>
      <c r="U599" s="235"/>
      <c r="V599" s="233"/>
      <c r="W599" s="235"/>
      <c r="X599" s="235"/>
      <c r="Y599" s="235"/>
      <c r="Z599" s="233"/>
      <c r="AA599" s="233"/>
      <c r="AB599" s="233"/>
      <c r="AC599" s="245"/>
      <c r="AD599" s="245"/>
      <c r="AE599" s="245"/>
    </row>
    <row r="600" spans="1:31" ht="15.75" customHeight="1">
      <c r="A600" s="232"/>
      <c r="B600" s="233"/>
      <c r="C600" s="232"/>
      <c r="D600" s="233"/>
      <c r="E600" s="233"/>
      <c r="F600" s="235"/>
      <c r="G600" s="233"/>
      <c r="H600" s="233"/>
      <c r="I600" s="235"/>
      <c r="J600" s="235"/>
      <c r="K600" s="235"/>
      <c r="L600" s="233"/>
      <c r="M600" s="233"/>
      <c r="N600" s="233"/>
      <c r="O600" s="235"/>
      <c r="P600" s="235"/>
      <c r="Q600" s="235"/>
      <c r="R600" s="235"/>
      <c r="S600" s="233"/>
      <c r="T600" s="235"/>
      <c r="U600" s="235"/>
      <c r="V600" s="233"/>
      <c r="W600" s="235"/>
      <c r="X600" s="235"/>
      <c r="Y600" s="235"/>
      <c r="Z600" s="233"/>
      <c r="AA600" s="233"/>
      <c r="AB600" s="233"/>
      <c r="AC600" s="245"/>
      <c r="AD600" s="245"/>
      <c r="AE600" s="245"/>
    </row>
    <row r="601" spans="1:31" ht="15.75" customHeight="1">
      <c r="A601" s="232"/>
      <c r="B601" s="233"/>
      <c r="C601" s="232"/>
      <c r="D601" s="233"/>
      <c r="E601" s="233"/>
      <c r="F601" s="235"/>
      <c r="G601" s="233"/>
      <c r="H601" s="233"/>
      <c r="I601" s="235"/>
      <c r="J601" s="235"/>
      <c r="K601" s="235"/>
      <c r="L601" s="233"/>
      <c r="M601" s="233"/>
      <c r="N601" s="233"/>
      <c r="O601" s="235"/>
      <c r="P601" s="235"/>
      <c r="Q601" s="235"/>
      <c r="R601" s="235"/>
      <c r="S601" s="233"/>
      <c r="T601" s="235"/>
      <c r="U601" s="235"/>
      <c r="V601" s="233"/>
      <c r="W601" s="235"/>
      <c r="X601" s="235"/>
      <c r="Y601" s="235"/>
      <c r="Z601" s="233"/>
      <c r="AA601" s="233"/>
      <c r="AB601" s="233"/>
      <c r="AC601" s="245"/>
      <c r="AD601" s="245"/>
      <c r="AE601" s="245"/>
    </row>
    <row r="602" spans="1:31" ht="15.75" customHeight="1">
      <c r="A602" s="232"/>
      <c r="B602" s="233"/>
      <c r="C602" s="232"/>
      <c r="D602" s="233"/>
      <c r="E602" s="233"/>
      <c r="F602" s="235"/>
      <c r="G602" s="233"/>
      <c r="H602" s="233"/>
      <c r="I602" s="235"/>
      <c r="J602" s="235"/>
      <c r="K602" s="235"/>
      <c r="L602" s="233"/>
      <c r="M602" s="233"/>
      <c r="N602" s="233"/>
      <c r="O602" s="235"/>
      <c r="P602" s="235"/>
      <c r="Q602" s="235"/>
      <c r="R602" s="235"/>
      <c r="S602" s="233"/>
      <c r="T602" s="235"/>
      <c r="U602" s="235"/>
      <c r="V602" s="233"/>
      <c r="W602" s="235"/>
      <c r="X602" s="235"/>
      <c r="Y602" s="235"/>
      <c r="Z602" s="233"/>
      <c r="AA602" s="233"/>
      <c r="AB602" s="233"/>
      <c r="AC602" s="245"/>
      <c r="AD602" s="245"/>
      <c r="AE602" s="245"/>
    </row>
    <row r="603" spans="1:31" ht="15.75" customHeight="1">
      <c r="A603" s="232"/>
      <c r="B603" s="233"/>
      <c r="C603" s="232"/>
      <c r="D603" s="233"/>
      <c r="E603" s="233"/>
      <c r="F603" s="235"/>
      <c r="G603" s="233"/>
      <c r="H603" s="233"/>
      <c r="I603" s="235"/>
      <c r="J603" s="235"/>
      <c r="K603" s="235"/>
      <c r="L603" s="233"/>
      <c r="M603" s="233"/>
      <c r="N603" s="233"/>
      <c r="O603" s="235"/>
      <c r="P603" s="235"/>
      <c r="Q603" s="235"/>
      <c r="R603" s="235"/>
      <c r="S603" s="233"/>
      <c r="T603" s="235"/>
      <c r="U603" s="235"/>
      <c r="V603" s="233"/>
      <c r="W603" s="235"/>
      <c r="X603" s="235"/>
      <c r="Y603" s="235"/>
      <c r="Z603" s="233"/>
      <c r="AA603" s="233"/>
      <c r="AB603" s="233"/>
      <c r="AC603" s="245"/>
      <c r="AD603" s="245"/>
      <c r="AE603" s="245"/>
    </row>
    <row r="604" spans="1:31" ht="15.75" customHeight="1">
      <c r="A604" s="232"/>
      <c r="B604" s="233"/>
      <c r="C604" s="232"/>
      <c r="D604" s="233"/>
      <c r="E604" s="233"/>
      <c r="F604" s="235"/>
      <c r="G604" s="233"/>
      <c r="H604" s="233"/>
      <c r="I604" s="235"/>
      <c r="J604" s="235"/>
      <c r="K604" s="235"/>
      <c r="L604" s="233"/>
      <c r="M604" s="233"/>
      <c r="N604" s="233"/>
      <c r="O604" s="235"/>
      <c r="P604" s="235"/>
      <c r="Q604" s="235"/>
      <c r="R604" s="235"/>
      <c r="S604" s="233"/>
      <c r="T604" s="235"/>
      <c r="U604" s="235"/>
      <c r="V604" s="233"/>
      <c r="W604" s="235"/>
      <c r="X604" s="235"/>
      <c r="Y604" s="235"/>
      <c r="Z604" s="233"/>
      <c r="AA604" s="233"/>
      <c r="AB604" s="233"/>
      <c r="AC604" s="245"/>
      <c r="AD604" s="245"/>
      <c r="AE604" s="245"/>
    </row>
    <row r="605" spans="1:31" ht="15.75" customHeight="1">
      <c r="A605" s="232"/>
      <c r="B605" s="233"/>
      <c r="C605" s="232"/>
      <c r="D605" s="233"/>
      <c r="E605" s="233"/>
      <c r="F605" s="235"/>
      <c r="G605" s="233"/>
      <c r="H605" s="233"/>
      <c r="I605" s="235"/>
      <c r="J605" s="235"/>
      <c r="K605" s="235"/>
      <c r="L605" s="233"/>
      <c r="M605" s="233"/>
      <c r="N605" s="233"/>
      <c r="O605" s="235"/>
      <c r="P605" s="235"/>
      <c r="Q605" s="235"/>
      <c r="R605" s="235"/>
      <c r="S605" s="233"/>
      <c r="T605" s="235"/>
      <c r="U605" s="235"/>
      <c r="V605" s="233"/>
      <c r="W605" s="235"/>
      <c r="X605" s="235"/>
      <c r="Y605" s="235"/>
      <c r="Z605" s="233"/>
      <c r="AA605" s="233"/>
      <c r="AB605" s="233"/>
      <c r="AC605" s="245"/>
      <c r="AD605" s="245"/>
      <c r="AE605" s="245"/>
    </row>
    <row r="606" spans="1:31" ht="15.75" customHeight="1">
      <c r="A606" s="232"/>
      <c r="B606" s="233"/>
      <c r="C606" s="232"/>
      <c r="D606" s="233"/>
      <c r="E606" s="233"/>
      <c r="F606" s="235"/>
      <c r="G606" s="233"/>
      <c r="H606" s="233"/>
      <c r="I606" s="235"/>
      <c r="J606" s="235"/>
      <c r="K606" s="235"/>
      <c r="L606" s="233"/>
      <c r="M606" s="233"/>
      <c r="N606" s="233"/>
      <c r="O606" s="235"/>
      <c r="P606" s="235"/>
      <c r="Q606" s="235"/>
      <c r="R606" s="235"/>
      <c r="S606" s="233"/>
      <c r="T606" s="235"/>
      <c r="U606" s="235"/>
      <c r="V606" s="233"/>
      <c r="W606" s="235"/>
      <c r="X606" s="235"/>
      <c r="Y606" s="235"/>
      <c r="Z606" s="233"/>
      <c r="AA606" s="233"/>
      <c r="AB606" s="233"/>
      <c r="AC606" s="245"/>
      <c r="AD606" s="245"/>
      <c r="AE606" s="245"/>
    </row>
    <row r="607" spans="1:31" ht="15.75" customHeight="1">
      <c r="A607" s="232"/>
      <c r="B607" s="233"/>
      <c r="C607" s="232"/>
      <c r="D607" s="233"/>
      <c r="E607" s="233"/>
      <c r="F607" s="235"/>
      <c r="G607" s="233"/>
      <c r="H607" s="233"/>
      <c r="I607" s="235"/>
      <c r="J607" s="235"/>
      <c r="K607" s="235"/>
      <c r="L607" s="233"/>
      <c r="M607" s="233"/>
      <c r="N607" s="233"/>
      <c r="O607" s="235"/>
      <c r="P607" s="235"/>
      <c r="Q607" s="235"/>
      <c r="R607" s="235"/>
      <c r="S607" s="233"/>
      <c r="T607" s="235"/>
      <c r="U607" s="235"/>
      <c r="V607" s="233"/>
      <c r="W607" s="235"/>
      <c r="X607" s="235"/>
      <c r="Y607" s="235"/>
      <c r="Z607" s="233"/>
      <c r="AA607" s="233"/>
      <c r="AB607" s="233"/>
      <c r="AC607" s="245"/>
      <c r="AD607" s="245"/>
      <c r="AE607" s="245"/>
    </row>
    <row r="608" spans="1:31" ht="15.75" customHeight="1">
      <c r="A608" s="232"/>
      <c r="B608" s="233"/>
      <c r="C608" s="232"/>
      <c r="D608" s="233"/>
      <c r="E608" s="233"/>
      <c r="F608" s="235"/>
      <c r="G608" s="233"/>
      <c r="H608" s="233"/>
      <c r="I608" s="235"/>
      <c r="J608" s="235"/>
      <c r="K608" s="235"/>
      <c r="L608" s="233"/>
      <c r="M608" s="233"/>
      <c r="N608" s="233"/>
      <c r="O608" s="235"/>
      <c r="P608" s="235"/>
      <c r="Q608" s="235"/>
      <c r="R608" s="235"/>
      <c r="S608" s="233"/>
      <c r="T608" s="235"/>
      <c r="U608" s="235"/>
      <c r="V608" s="233"/>
      <c r="W608" s="235"/>
      <c r="X608" s="235"/>
      <c r="Y608" s="235"/>
      <c r="Z608" s="233"/>
      <c r="AA608" s="233"/>
      <c r="AB608" s="233"/>
      <c r="AC608" s="245"/>
      <c r="AD608" s="245"/>
      <c r="AE608" s="245"/>
    </row>
    <row r="609" spans="1:31" ht="15.75" customHeight="1">
      <c r="A609" s="232"/>
      <c r="B609" s="233"/>
      <c r="C609" s="232"/>
      <c r="D609" s="233"/>
      <c r="E609" s="233"/>
      <c r="F609" s="235"/>
      <c r="G609" s="233"/>
      <c r="H609" s="233"/>
      <c r="I609" s="235"/>
      <c r="J609" s="235"/>
      <c r="K609" s="235"/>
      <c r="L609" s="233"/>
      <c r="M609" s="233"/>
      <c r="N609" s="233"/>
      <c r="O609" s="235"/>
      <c r="P609" s="235"/>
      <c r="Q609" s="235"/>
      <c r="R609" s="235"/>
      <c r="S609" s="233"/>
      <c r="T609" s="235"/>
      <c r="U609" s="235"/>
      <c r="V609" s="233"/>
      <c r="W609" s="235"/>
      <c r="X609" s="235"/>
      <c r="Y609" s="235"/>
      <c r="Z609" s="233"/>
      <c r="AA609" s="233"/>
      <c r="AB609" s="233"/>
      <c r="AC609" s="245"/>
      <c r="AD609" s="245"/>
      <c r="AE609" s="245"/>
    </row>
    <row r="610" spans="1:31" ht="15.75" customHeight="1">
      <c r="A610" s="232"/>
      <c r="B610" s="233"/>
      <c r="C610" s="232"/>
      <c r="D610" s="233"/>
      <c r="E610" s="233"/>
      <c r="F610" s="235"/>
      <c r="G610" s="233"/>
      <c r="H610" s="233"/>
      <c r="I610" s="235"/>
      <c r="J610" s="235"/>
      <c r="K610" s="235"/>
      <c r="L610" s="233"/>
      <c r="M610" s="233"/>
      <c r="N610" s="233"/>
      <c r="O610" s="235"/>
      <c r="P610" s="235"/>
      <c r="Q610" s="235"/>
      <c r="R610" s="235"/>
      <c r="S610" s="233"/>
      <c r="T610" s="235"/>
      <c r="U610" s="235"/>
      <c r="V610" s="233"/>
      <c r="W610" s="235"/>
      <c r="X610" s="235"/>
      <c r="Y610" s="235"/>
      <c r="Z610" s="233"/>
      <c r="AA610" s="233"/>
      <c r="AB610" s="233"/>
      <c r="AC610" s="245"/>
      <c r="AD610" s="245"/>
      <c r="AE610" s="245"/>
    </row>
    <row r="611" spans="1:31" ht="15.75" customHeight="1">
      <c r="A611" s="232"/>
      <c r="B611" s="233"/>
      <c r="C611" s="232"/>
      <c r="D611" s="233"/>
      <c r="E611" s="233"/>
      <c r="F611" s="235"/>
      <c r="G611" s="233"/>
      <c r="H611" s="233"/>
      <c r="I611" s="235"/>
      <c r="J611" s="235"/>
      <c r="K611" s="235"/>
      <c r="L611" s="233"/>
      <c r="M611" s="233"/>
      <c r="N611" s="233"/>
      <c r="O611" s="235"/>
      <c r="P611" s="235"/>
      <c r="Q611" s="235"/>
      <c r="R611" s="235"/>
      <c r="S611" s="233"/>
      <c r="T611" s="235"/>
      <c r="U611" s="235"/>
      <c r="V611" s="233"/>
      <c r="W611" s="235"/>
      <c r="X611" s="235"/>
      <c r="Y611" s="235"/>
      <c r="Z611" s="233"/>
      <c r="AA611" s="233"/>
      <c r="AB611" s="233"/>
      <c r="AC611" s="245"/>
      <c r="AD611" s="245"/>
      <c r="AE611" s="245"/>
    </row>
    <row r="612" spans="1:31" ht="15.75" customHeight="1">
      <c r="A612" s="232"/>
      <c r="B612" s="233"/>
      <c r="C612" s="232"/>
      <c r="D612" s="233"/>
      <c r="E612" s="233"/>
      <c r="F612" s="235"/>
      <c r="G612" s="233"/>
      <c r="H612" s="233"/>
      <c r="I612" s="235"/>
      <c r="J612" s="235"/>
      <c r="K612" s="235"/>
      <c r="L612" s="233"/>
      <c r="M612" s="233"/>
      <c r="N612" s="233"/>
      <c r="O612" s="235"/>
      <c r="P612" s="235"/>
      <c r="Q612" s="235"/>
      <c r="R612" s="235"/>
      <c r="S612" s="233"/>
      <c r="T612" s="235"/>
      <c r="U612" s="235"/>
      <c r="V612" s="233"/>
      <c r="W612" s="235"/>
      <c r="X612" s="235"/>
      <c r="Y612" s="235"/>
      <c r="Z612" s="233"/>
      <c r="AA612" s="233"/>
      <c r="AB612" s="233"/>
      <c r="AC612" s="245"/>
      <c r="AD612" s="245"/>
      <c r="AE612" s="245"/>
    </row>
    <row r="613" spans="1:31" ht="15.75" customHeight="1">
      <c r="A613" s="232"/>
      <c r="B613" s="233"/>
      <c r="C613" s="232"/>
      <c r="D613" s="233"/>
      <c r="E613" s="233"/>
      <c r="F613" s="235"/>
      <c r="G613" s="233"/>
      <c r="H613" s="233"/>
      <c r="I613" s="235"/>
      <c r="J613" s="235"/>
      <c r="K613" s="235"/>
      <c r="L613" s="233"/>
      <c r="M613" s="233"/>
      <c r="N613" s="233"/>
      <c r="O613" s="235"/>
      <c r="P613" s="235"/>
      <c r="Q613" s="235"/>
      <c r="R613" s="235"/>
      <c r="S613" s="233"/>
      <c r="T613" s="235"/>
      <c r="U613" s="235"/>
      <c r="V613" s="233"/>
      <c r="W613" s="235"/>
      <c r="X613" s="235"/>
      <c r="Y613" s="235"/>
      <c r="Z613" s="233"/>
      <c r="AA613" s="233"/>
      <c r="AB613" s="233"/>
      <c r="AC613" s="245"/>
      <c r="AD613" s="245"/>
      <c r="AE613" s="245"/>
    </row>
    <row r="614" spans="1:31" ht="15.75" customHeight="1">
      <c r="A614" s="232"/>
      <c r="B614" s="233"/>
      <c r="C614" s="232"/>
      <c r="D614" s="233"/>
      <c r="E614" s="233"/>
      <c r="F614" s="235"/>
      <c r="G614" s="233"/>
      <c r="H614" s="233"/>
      <c r="I614" s="235"/>
      <c r="J614" s="235"/>
      <c r="K614" s="235"/>
      <c r="L614" s="233"/>
      <c r="M614" s="233"/>
      <c r="N614" s="233"/>
      <c r="O614" s="235"/>
      <c r="P614" s="235"/>
      <c r="Q614" s="235"/>
      <c r="R614" s="235"/>
      <c r="S614" s="233"/>
      <c r="T614" s="235"/>
      <c r="U614" s="235"/>
      <c r="V614" s="233"/>
      <c r="W614" s="235"/>
      <c r="X614" s="235"/>
      <c r="Y614" s="235"/>
      <c r="Z614" s="233"/>
      <c r="AA614" s="233"/>
      <c r="AB614" s="233"/>
      <c r="AC614" s="245"/>
      <c r="AD614" s="245"/>
      <c r="AE614" s="245"/>
    </row>
    <row r="615" spans="1:31" ht="15.75" customHeight="1">
      <c r="A615" s="232"/>
      <c r="B615" s="233"/>
      <c r="C615" s="232"/>
      <c r="D615" s="233"/>
      <c r="E615" s="233"/>
      <c r="F615" s="235"/>
      <c r="G615" s="233"/>
      <c r="H615" s="233"/>
      <c r="I615" s="235"/>
      <c r="J615" s="235"/>
      <c r="K615" s="235"/>
      <c r="L615" s="233"/>
      <c r="M615" s="233"/>
      <c r="N615" s="233"/>
      <c r="O615" s="235"/>
      <c r="P615" s="235"/>
      <c r="Q615" s="235"/>
      <c r="R615" s="235"/>
      <c r="S615" s="233"/>
      <c r="T615" s="235"/>
      <c r="U615" s="235"/>
      <c r="V615" s="233"/>
      <c r="W615" s="235"/>
      <c r="X615" s="235"/>
      <c r="Y615" s="235"/>
      <c r="Z615" s="233"/>
      <c r="AA615" s="233"/>
      <c r="AB615" s="233"/>
      <c r="AC615" s="245"/>
      <c r="AD615" s="245"/>
      <c r="AE615" s="245"/>
    </row>
    <row r="616" spans="1:31" ht="15.75" customHeight="1">
      <c r="A616" s="232"/>
      <c r="B616" s="233"/>
      <c r="C616" s="232"/>
      <c r="D616" s="233"/>
      <c r="E616" s="233"/>
      <c r="F616" s="235"/>
      <c r="G616" s="233"/>
      <c r="H616" s="233"/>
      <c r="I616" s="235"/>
      <c r="J616" s="235"/>
      <c r="K616" s="235"/>
      <c r="L616" s="233"/>
      <c r="M616" s="233"/>
      <c r="N616" s="233"/>
      <c r="O616" s="235"/>
      <c r="P616" s="235"/>
      <c r="Q616" s="235"/>
      <c r="R616" s="235"/>
      <c r="S616" s="233"/>
      <c r="T616" s="235"/>
      <c r="U616" s="235"/>
      <c r="V616" s="233"/>
      <c r="W616" s="235"/>
      <c r="X616" s="235"/>
      <c r="Y616" s="235"/>
      <c r="Z616" s="233"/>
      <c r="AA616" s="233"/>
      <c r="AB616" s="233"/>
      <c r="AC616" s="245"/>
      <c r="AD616" s="245"/>
      <c r="AE616" s="245"/>
    </row>
    <row r="617" spans="1:31" ht="15.75" customHeight="1">
      <c r="A617" s="232"/>
      <c r="B617" s="233"/>
      <c r="C617" s="232"/>
      <c r="D617" s="233"/>
      <c r="E617" s="233"/>
      <c r="F617" s="235"/>
      <c r="G617" s="233"/>
      <c r="H617" s="233"/>
      <c r="I617" s="235"/>
      <c r="J617" s="235"/>
      <c r="K617" s="235"/>
      <c r="L617" s="233"/>
      <c r="M617" s="233"/>
      <c r="N617" s="233"/>
      <c r="O617" s="235"/>
      <c r="P617" s="235"/>
      <c r="Q617" s="235"/>
      <c r="R617" s="235"/>
      <c r="S617" s="233"/>
      <c r="T617" s="235"/>
      <c r="U617" s="235"/>
      <c r="V617" s="233"/>
      <c r="W617" s="235"/>
      <c r="X617" s="235"/>
      <c r="Y617" s="235"/>
      <c r="Z617" s="233"/>
      <c r="AA617" s="233"/>
      <c r="AB617" s="233"/>
      <c r="AC617" s="245"/>
      <c r="AD617" s="245"/>
      <c r="AE617" s="245"/>
    </row>
    <row r="618" spans="1:31" ht="15.75" customHeight="1">
      <c r="A618" s="232"/>
      <c r="B618" s="233"/>
      <c r="C618" s="232"/>
      <c r="D618" s="233"/>
      <c r="E618" s="233"/>
      <c r="F618" s="235"/>
      <c r="G618" s="233"/>
      <c r="H618" s="233"/>
      <c r="I618" s="235"/>
      <c r="J618" s="235"/>
      <c r="K618" s="235"/>
      <c r="L618" s="233"/>
      <c r="M618" s="233"/>
      <c r="N618" s="233"/>
      <c r="O618" s="235"/>
      <c r="P618" s="235"/>
      <c r="Q618" s="235"/>
      <c r="R618" s="235"/>
      <c r="S618" s="233"/>
      <c r="T618" s="235"/>
      <c r="U618" s="235"/>
      <c r="V618" s="233"/>
      <c r="W618" s="235"/>
      <c r="X618" s="235"/>
      <c r="Y618" s="235"/>
      <c r="Z618" s="233"/>
      <c r="AA618" s="233"/>
      <c r="AB618" s="233"/>
      <c r="AC618" s="245"/>
      <c r="AD618" s="245"/>
      <c r="AE618" s="245"/>
    </row>
    <row r="619" spans="1:31" ht="15.75" customHeight="1">
      <c r="A619" s="232"/>
      <c r="B619" s="233"/>
      <c r="C619" s="232"/>
      <c r="D619" s="233"/>
      <c r="E619" s="233"/>
      <c r="F619" s="235"/>
      <c r="G619" s="233"/>
      <c r="H619" s="233"/>
      <c r="I619" s="235"/>
      <c r="J619" s="235"/>
      <c r="K619" s="235"/>
      <c r="L619" s="233"/>
      <c r="M619" s="233"/>
      <c r="N619" s="233"/>
      <c r="O619" s="235"/>
      <c r="P619" s="235"/>
      <c r="Q619" s="235"/>
      <c r="R619" s="235"/>
      <c r="S619" s="233"/>
      <c r="T619" s="235"/>
      <c r="U619" s="235"/>
      <c r="V619" s="233"/>
      <c r="W619" s="235"/>
      <c r="X619" s="235"/>
      <c r="Y619" s="235"/>
      <c r="Z619" s="233"/>
      <c r="AA619" s="233"/>
      <c r="AB619" s="233"/>
      <c r="AC619" s="245"/>
      <c r="AD619" s="245"/>
      <c r="AE619" s="245"/>
    </row>
    <row r="620" spans="1:31" ht="15.75" customHeight="1">
      <c r="A620" s="232"/>
      <c r="B620" s="233"/>
      <c r="C620" s="232"/>
      <c r="D620" s="233"/>
      <c r="E620" s="233"/>
      <c r="F620" s="235"/>
      <c r="G620" s="233"/>
      <c r="H620" s="233"/>
      <c r="I620" s="235"/>
      <c r="J620" s="235"/>
      <c r="K620" s="235"/>
      <c r="L620" s="233"/>
      <c r="M620" s="233"/>
      <c r="N620" s="233"/>
      <c r="O620" s="235"/>
      <c r="P620" s="235"/>
      <c r="Q620" s="235"/>
      <c r="R620" s="235"/>
      <c r="S620" s="233"/>
      <c r="T620" s="235"/>
      <c r="U620" s="235"/>
      <c r="V620" s="233"/>
      <c r="W620" s="235"/>
      <c r="X620" s="235"/>
      <c r="Y620" s="235"/>
      <c r="Z620" s="233"/>
      <c r="AA620" s="233"/>
      <c r="AB620" s="233"/>
      <c r="AC620" s="245"/>
      <c r="AD620" s="245"/>
      <c r="AE620" s="245"/>
    </row>
    <row r="621" spans="1:31" ht="15.75" customHeight="1">
      <c r="A621" s="232"/>
      <c r="B621" s="233"/>
      <c r="C621" s="232"/>
      <c r="D621" s="233"/>
      <c r="E621" s="233"/>
      <c r="F621" s="235"/>
      <c r="G621" s="233"/>
      <c r="H621" s="233"/>
      <c r="I621" s="235"/>
      <c r="J621" s="235"/>
      <c r="K621" s="235"/>
      <c r="L621" s="233"/>
      <c r="M621" s="233"/>
      <c r="N621" s="233"/>
      <c r="O621" s="235"/>
      <c r="P621" s="235"/>
      <c r="Q621" s="235"/>
      <c r="R621" s="235"/>
      <c r="S621" s="233"/>
      <c r="T621" s="235"/>
      <c r="U621" s="235"/>
      <c r="V621" s="233"/>
      <c r="W621" s="235"/>
      <c r="X621" s="235"/>
      <c r="Y621" s="235"/>
      <c r="Z621" s="233"/>
      <c r="AA621" s="233"/>
      <c r="AB621" s="233"/>
      <c r="AC621" s="245"/>
      <c r="AD621" s="245"/>
      <c r="AE621" s="245"/>
    </row>
    <row r="622" spans="1:31" ht="15.75" customHeight="1">
      <c r="A622" s="232"/>
      <c r="B622" s="233"/>
      <c r="C622" s="232"/>
      <c r="D622" s="233"/>
      <c r="E622" s="233"/>
      <c r="F622" s="235"/>
      <c r="G622" s="233"/>
      <c r="H622" s="233"/>
      <c r="I622" s="235"/>
      <c r="J622" s="235"/>
      <c r="K622" s="235"/>
      <c r="L622" s="233"/>
      <c r="M622" s="233"/>
      <c r="N622" s="233"/>
      <c r="O622" s="235"/>
      <c r="P622" s="235"/>
      <c r="Q622" s="235"/>
      <c r="R622" s="235"/>
      <c r="S622" s="233"/>
      <c r="T622" s="235"/>
      <c r="U622" s="235"/>
      <c r="V622" s="233"/>
      <c r="W622" s="235"/>
      <c r="X622" s="235"/>
      <c r="Y622" s="235"/>
      <c r="Z622" s="233"/>
      <c r="AA622" s="233"/>
      <c r="AB622" s="233"/>
      <c r="AC622" s="245"/>
      <c r="AD622" s="245"/>
      <c r="AE622" s="245"/>
    </row>
    <row r="623" spans="1:31" ht="15.75" customHeight="1">
      <c r="A623" s="232"/>
      <c r="B623" s="233"/>
      <c r="C623" s="232"/>
      <c r="D623" s="233"/>
      <c r="E623" s="233"/>
      <c r="F623" s="235"/>
      <c r="G623" s="233"/>
      <c r="H623" s="233"/>
      <c r="I623" s="235"/>
      <c r="J623" s="235"/>
      <c r="K623" s="235"/>
      <c r="L623" s="233"/>
      <c r="M623" s="233"/>
      <c r="N623" s="233"/>
      <c r="O623" s="235"/>
      <c r="P623" s="235"/>
      <c r="Q623" s="235"/>
      <c r="R623" s="235"/>
      <c r="S623" s="233"/>
      <c r="T623" s="235"/>
      <c r="U623" s="235"/>
      <c r="V623" s="233"/>
      <c r="W623" s="235"/>
      <c r="X623" s="235"/>
      <c r="Y623" s="235"/>
      <c r="Z623" s="233"/>
      <c r="AA623" s="233"/>
      <c r="AB623" s="233"/>
      <c r="AC623" s="245"/>
      <c r="AD623" s="245"/>
      <c r="AE623" s="245"/>
    </row>
    <row r="624" spans="1:31" ht="15.75" customHeight="1">
      <c r="A624" s="232"/>
      <c r="B624" s="233"/>
      <c r="C624" s="232"/>
      <c r="D624" s="233"/>
      <c r="E624" s="233"/>
      <c r="F624" s="235"/>
      <c r="G624" s="233"/>
      <c r="H624" s="233"/>
      <c r="I624" s="235"/>
      <c r="J624" s="235"/>
      <c r="K624" s="235"/>
      <c r="L624" s="233"/>
      <c r="M624" s="233"/>
      <c r="N624" s="233"/>
      <c r="O624" s="235"/>
      <c r="P624" s="235"/>
      <c r="Q624" s="235"/>
      <c r="R624" s="235"/>
      <c r="S624" s="233"/>
      <c r="T624" s="235"/>
      <c r="U624" s="235"/>
      <c r="V624" s="233"/>
      <c r="W624" s="235"/>
      <c r="X624" s="235"/>
      <c r="Y624" s="235"/>
      <c r="Z624" s="233"/>
      <c r="AA624" s="233"/>
      <c r="AB624" s="233"/>
      <c r="AC624" s="245"/>
      <c r="AD624" s="245"/>
      <c r="AE624" s="245"/>
    </row>
    <row r="625" spans="1:31" ht="15.75" customHeight="1">
      <c r="A625" s="232"/>
      <c r="B625" s="233"/>
      <c r="C625" s="232"/>
      <c r="D625" s="233"/>
      <c r="E625" s="233"/>
      <c r="F625" s="235"/>
      <c r="G625" s="233"/>
      <c r="H625" s="233"/>
      <c r="I625" s="235"/>
      <c r="J625" s="235"/>
      <c r="K625" s="235"/>
      <c r="L625" s="233"/>
      <c r="M625" s="233"/>
      <c r="N625" s="233"/>
      <c r="O625" s="235"/>
      <c r="P625" s="235"/>
      <c r="Q625" s="235"/>
      <c r="R625" s="235"/>
      <c r="S625" s="233"/>
      <c r="T625" s="235"/>
      <c r="U625" s="235"/>
      <c r="V625" s="233"/>
      <c r="W625" s="235"/>
      <c r="X625" s="235"/>
      <c r="Y625" s="235"/>
      <c r="Z625" s="233"/>
      <c r="AA625" s="233"/>
      <c r="AB625" s="233"/>
      <c r="AC625" s="245"/>
      <c r="AD625" s="245"/>
      <c r="AE625" s="245"/>
    </row>
    <row r="626" spans="1:31" ht="15.75" customHeight="1">
      <c r="A626" s="232"/>
      <c r="B626" s="233"/>
      <c r="C626" s="232"/>
      <c r="D626" s="233"/>
      <c r="E626" s="233"/>
      <c r="F626" s="235"/>
      <c r="G626" s="233"/>
      <c r="H626" s="233"/>
      <c r="I626" s="235"/>
      <c r="J626" s="235"/>
      <c r="K626" s="235"/>
      <c r="L626" s="233"/>
      <c r="M626" s="233"/>
      <c r="N626" s="233"/>
      <c r="O626" s="235"/>
      <c r="P626" s="235"/>
      <c r="Q626" s="235"/>
      <c r="R626" s="235"/>
      <c r="S626" s="233"/>
      <c r="T626" s="235"/>
      <c r="U626" s="235"/>
      <c r="V626" s="233"/>
      <c r="W626" s="235"/>
      <c r="X626" s="235"/>
      <c r="Y626" s="235"/>
      <c r="Z626" s="233"/>
      <c r="AA626" s="233"/>
      <c r="AB626" s="233"/>
      <c r="AC626" s="245"/>
      <c r="AD626" s="245"/>
      <c r="AE626" s="245"/>
    </row>
    <row r="627" spans="1:31" ht="15.75" customHeight="1">
      <c r="A627" s="232"/>
      <c r="B627" s="233"/>
      <c r="C627" s="232"/>
      <c r="D627" s="233"/>
      <c r="E627" s="233"/>
      <c r="F627" s="235"/>
      <c r="G627" s="233"/>
      <c r="H627" s="233"/>
      <c r="I627" s="235"/>
      <c r="J627" s="235"/>
      <c r="K627" s="235"/>
      <c r="L627" s="233"/>
      <c r="M627" s="233"/>
      <c r="N627" s="233"/>
      <c r="O627" s="235"/>
      <c r="P627" s="235"/>
      <c r="Q627" s="235"/>
      <c r="R627" s="235"/>
      <c r="S627" s="233"/>
      <c r="T627" s="235"/>
      <c r="U627" s="235"/>
      <c r="V627" s="233"/>
      <c r="W627" s="235"/>
      <c r="X627" s="235"/>
      <c r="Y627" s="235"/>
      <c r="Z627" s="233"/>
      <c r="AA627" s="233"/>
      <c r="AB627" s="233"/>
      <c r="AC627" s="245"/>
      <c r="AD627" s="245"/>
      <c r="AE627" s="245"/>
    </row>
    <row r="628" spans="1:31" ht="15.75" customHeight="1">
      <c r="A628" s="232"/>
      <c r="B628" s="233"/>
      <c r="C628" s="232"/>
      <c r="D628" s="233"/>
      <c r="E628" s="233"/>
      <c r="F628" s="235"/>
      <c r="G628" s="233"/>
      <c r="H628" s="233"/>
      <c r="I628" s="235"/>
      <c r="J628" s="235"/>
      <c r="K628" s="235"/>
      <c r="L628" s="233"/>
      <c r="M628" s="233"/>
      <c r="N628" s="233"/>
      <c r="O628" s="235"/>
      <c r="P628" s="235"/>
      <c r="Q628" s="235"/>
      <c r="R628" s="235"/>
      <c r="S628" s="233"/>
      <c r="T628" s="235"/>
      <c r="U628" s="235"/>
      <c r="V628" s="233"/>
      <c r="W628" s="235"/>
      <c r="X628" s="235"/>
      <c r="Y628" s="235"/>
      <c r="Z628" s="233"/>
      <c r="AA628" s="233"/>
      <c r="AB628" s="233"/>
      <c r="AC628" s="245"/>
      <c r="AD628" s="245"/>
      <c r="AE628" s="245"/>
    </row>
    <row r="629" spans="1:31" ht="15.75" customHeight="1">
      <c r="A629" s="232"/>
      <c r="B629" s="233"/>
      <c r="C629" s="232"/>
      <c r="D629" s="233"/>
      <c r="E629" s="233"/>
      <c r="F629" s="235"/>
      <c r="G629" s="233"/>
      <c r="H629" s="233"/>
      <c r="I629" s="235"/>
      <c r="J629" s="235"/>
      <c r="K629" s="235"/>
      <c r="L629" s="233"/>
      <c r="M629" s="233"/>
      <c r="N629" s="233"/>
      <c r="O629" s="235"/>
      <c r="P629" s="235"/>
      <c r="Q629" s="235"/>
      <c r="R629" s="235"/>
      <c r="S629" s="233"/>
      <c r="T629" s="235"/>
      <c r="U629" s="235"/>
      <c r="V629" s="233"/>
      <c r="W629" s="235"/>
      <c r="X629" s="235"/>
      <c r="Y629" s="235"/>
      <c r="Z629" s="233"/>
      <c r="AA629" s="233"/>
      <c r="AB629" s="233"/>
      <c r="AC629" s="245"/>
      <c r="AD629" s="245"/>
      <c r="AE629" s="245"/>
    </row>
    <row r="630" spans="1:31" ht="15.75" customHeight="1">
      <c r="A630" s="232"/>
      <c r="B630" s="233"/>
      <c r="C630" s="232"/>
      <c r="D630" s="233"/>
      <c r="E630" s="233"/>
      <c r="F630" s="235"/>
      <c r="G630" s="233"/>
      <c r="H630" s="233"/>
      <c r="I630" s="235"/>
      <c r="J630" s="235"/>
      <c r="K630" s="235"/>
      <c r="L630" s="233"/>
      <c r="M630" s="233"/>
      <c r="N630" s="233"/>
      <c r="O630" s="235"/>
      <c r="P630" s="235"/>
      <c r="Q630" s="235"/>
      <c r="R630" s="235"/>
      <c r="S630" s="233"/>
      <c r="T630" s="235"/>
      <c r="U630" s="235"/>
      <c r="V630" s="233"/>
      <c r="W630" s="235"/>
      <c r="X630" s="235"/>
      <c r="Y630" s="235"/>
      <c r="Z630" s="233"/>
      <c r="AA630" s="233"/>
      <c r="AB630" s="233"/>
      <c r="AC630" s="245"/>
      <c r="AD630" s="245"/>
      <c r="AE630" s="245"/>
    </row>
    <row r="631" spans="1:31" ht="15.75" customHeight="1">
      <c r="A631" s="232"/>
      <c r="B631" s="233"/>
      <c r="C631" s="232"/>
      <c r="D631" s="233"/>
      <c r="E631" s="233"/>
      <c r="F631" s="235"/>
      <c r="G631" s="233"/>
      <c r="H631" s="233"/>
      <c r="I631" s="235"/>
      <c r="J631" s="235"/>
      <c r="K631" s="235"/>
      <c r="L631" s="233"/>
      <c r="M631" s="233"/>
      <c r="N631" s="233"/>
      <c r="O631" s="235"/>
      <c r="P631" s="235"/>
      <c r="Q631" s="235"/>
      <c r="R631" s="235"/>
      <c r="S631" s="233"/>
      <c r="T631" s="235"/>
      <c r="U631" s="235"/>
      <c r="V631" s="233"/>
      <c r="W631" s="235"/>
      <c r="X631" s="235"/>
      <c r="Y631" s="235"/>
      <c r="Z631" s="233"/>
      <c r="AA631" s="233"/>
      <c r="AB631" s="233"/>
      <c r="AC631" s="245"/>
      <c r="AD631" s="245"/>
      <c r="AE631" s="245"/>
    </row>
    <row r="632" spans="1:31" ht="15.75" customHeight="1">
      <c r="A632" s="232"/>
      <c r="B632" s="233"/>
      <c r="C632" s="232"/>
      <c r="D632" s="233"/>
      <c r="E632" s="233"/>
      <c r="F632" s="235"/>
      <c r="G632" s="233"/>
      <c r="H632" s="233"/>
      <c r="I632" s="235"/>
      <c r="J632" s="235"/>
      <c r="K632" s="235"/>
      <c r="L632" s="233"/>
      <c r="M632" s="233"/>
      <c r="N632" s="233"/>
      <c r="O632" s="235"/>
      <c r="P632" s="235"/>
      <c r="Q632" s="235"/>
      <c r="R632" s="235"/>
      <c r="S632" s="233"/>
      <c r="T632" s="235"/>
      <c r="U632" s="235"/>
      <c r="V632" s="233"/>
      <c r="W632" s="235"/>
      <c r="X632" s="235"/>
      <c r="Y632" s="235"/>
      <c r="Z632" s="233"/>
      <c r="AA632" s="233"/>
      <c r="AB632" s="233"/>
      <c r="AC632" s="245"/>
      <c r="AD632" s="245"/>
      <c r="AE632" s="245"/>
    </row>
    <row r="633" spans="1:31" ht="15.75" customHeight="1">
      <c r="A633" s="232"/>
      <c r="B633" s="233"/>
      <c r="C633" s="232"/>
      <c r="D633" s="233"/>
      <c r="E633" s="233"/>
      <c r="F633" s="235"/>
      <c r="G633" s="233"/>
      <c r="H633" s="233"/>
      <c r="I633" s="235"/>
      <c r="J633" s="235"/>
      <c r="K633" s="235"/>
      <c r="L633" s="233"/>
      <c r="M633" s="233"/>
      <c r="N633" s="233"/>
      <c r="O633" s="235"/>
      <c r="P633" s="235"/>
      <c r="Q633" s="235"/>
      <c r="R633" s="235"/>
      <c r="S633" s="233"/>
      <c r="T633" s="235"/>
      <c r="U633" s="235"/>
      <c r="V633" s="233"/>
      <c r="W633" s="235"/>
      <c r="X633" s="235"/>
      <c r="Y633" s="235"/>
      <c r="Z633" s="233"/>
      <c r="AA633" s="233"/>
      <c r="AB633" s="233"/>
      <c r="AC633" s="245"/>
      <c r="AD633" s="245"/>
      <c r="AE633" s="245"/>
    </row>
    <row r="634" spans="1:31" ht="15.75" customHeight="1">
      <c r="A634" s="232"/>
      <c r="B634" s="233"/>
      <c r="C634" s="232"/>
      <c r="D634" s="233"/>
      <c r="E634" s="233"/>
      <c r="F634" s="235"/>
      <c r="G634" s="233"/>
      <c r="H634" s="233"/>
      <c r="I634" s="235"/>
      <c r="J634" s="235"/>
      <c r="K634" s="235"/>
      <c r="L634" s="233"/>
      <c r="M634" s="233"/>
      <c r="N634" s="233"/>
      <c r="O634" s="235"/>
      <c r="P634" s="235"/>
      <c r="Q634" s="235"/>
      <c r="R634" s="235"/>
      <c r="S634" s="233"/>
      <c r="T634" s="235"/>
      <c r="U634" s="235"/>
      <c r="V634" s="233"/>
      <c r="W634" s="235"/>
      <c r="X634" s="235"/>
      <c r="Y634" s="235"/>
      <c r="Z634" s="233"/>
      <c r="AA634" s="233"/>
      <c r="AB634" s="233"/>
      <c r="AC634" s="245"/>
      <c r="AD634" s="245"/>
      <c r="AE634" s="245"/>
    </row>
    <row r="635" spans="1:31" ht="15.75" customHeight="1">
      <c r="A635" s="232"/>
      <c r="B635" s="233"/>
      <c r="C635" s="232"/>
      <c r="D635" s="233"/>
      <c r="E635" s="233"/>
      <c r="F635" s="235"/>
      <c r="G635" s="233"/>
      <c r="H635" s="233"/>
      <c r="I635" s="235"/>
      <c r="J635" s="235"/>
      <c r="K635" s="235"/>
      <c r="L635" s="233"/>
      <c r="M635" s="233"/>
      <c r="N635" s="233"/>
      <c r="O635" s="235"/>
      <c r="P635" s="235"/>
      <c r="Q635" s="235"/>
      <c r="R635" s="235"/>
      <c r="S635" s="233"/>
      <c r="T635" s="235"/>
      <c r="U635" s="235"/>
      <c r="V635" s="233"/>
      <c r="W635" s="235"/>
      <c r="X635" s="235"/>
      <c r="Y635" s="235"/>
      <c r="Z635" s="233"/>
      <c r="AA635" s="233"/>
      <c r="AB635" s="233"/>
      <c r="AC635" s="245"/>
      <c r="AD635" s="245"/>
      <c r="AE635" s="245"/>
    </row>
    <row r="636" spans="1:31" ht="15.75" customHeight="1">
      <c r="A636" s="232"/>
      <c r="B636" s="233"/>
      <c r="C636" s="232"/>
      <c r="D636" s="233"/>
      <c r="E636" s="233"/>
      <c r="F636" s="235"/>
      <c r="G636" s="233"/>
      <c r="H636" s="233"/>
      <c r="I636" s="235"/>
      <c r="J636" s="235"/>
      <c r="K636" s="235"/>
      <c r="L636" s="233"/>
      <c r="M636" s="233"/>
      <c r="N636" s="233"/>
      <c r="O636" s="235"/>
      <c r="P636" s="235"/>
      <c r="Q636" s="235"/>
      <c r="R636" s="235"/>
      <c r="S636" s="233"/>
      <c r="T636" s="235"/>
      <c r="U636" s="235"/>
      <c r="V636" s="233"/>
      <c r="W636" s="235"/>
      <c r="X636" s="235"/>
      <c r="Y636" s="235"/>
      <c r="Z636" s="233"/>
      <c r="AA636" s="233"/>
      <c r="AB636" s="233"/>
      <c r="AC636" s="245"/>
      <c r="AD636" s="245"/>
      <c r="AE636" s="245"/>
    </row>
    <row r="637" spans="1:31" ht="15.75" customHeight="1">
      <c r="A637" s="232"/>
      <c r="B637" s="233"/>
      <c r="C637" s="232"/>
      <c r="D637" s="233"/>
      <c r="E637" s="233"/>
      <c r="F637" s="235"/>
      <c r="G637" s="233"/>
      <c r="H637" s="233"/>
      <c r="I637" s="235"/>
      <c r="J637" s="235"/>
      <c r="K637" s="235"/>
      <c r="L637" s="233"/>
      <c r="M637" s="233"/>
      <c r="N637" s="233"/>
      <c r="O637" s="235"/>
      <c r="P637" s="235"/>
      <c r="Q637" s="235"/>
      <c r="R637" s="235"/>
      <c r="S637" s="233"/>
      <c r="T637" s="235"/>
      <c r="U637" s="235"/>
      <c r="V637" s="233"/>
      <c r="W637" s="235"/>
      <c r="X637" s="235"/>
      <c r="Y637" s="235"/>
      <c r="Z637" s="233"/>
      <c r="AA637" s="233"/>
      <c r="AB637" s="233"/>
      <c r="AC637" s="245"/>
      <c r="AD637" s="245"/>
      <c r="AE637" s="245"/>
    </row>
    <row r="638" spans="1:31" ht="15.75" customHeight="1">
      <c r="A638" s="232"/>
      <c r="B638" s="233"/>
      <c r="C638" s="232"/>
      <c r="D638" s="233"/>
      <c r="E638" s="233"/>
      <c r="F638" s="235"/>
      <c r="G638" s="233"/>
      <c r="H638" s="233"/>
      <c r="I638" s="235"/>
      <c r="J638" s="235"/>
      <c r="K638" s="235"/>
      <c r="L638" s="233"/>
      <c r="M638" s="233"/>
      <c r="N638" s="233"/>
      <c r="O638" s="235"/>
      <c r="P638" s="235"/>
      <c r="Q638" s="235"/>
      <c r="R638" s="235"/>
      <c r="S638" s="233"/>
      <c r="T638" s="235"/>
      <c r="U638" s="235"/>
      <c r="V638" s="233"/>
      <c r="W638" s="235"/>
      <c r="X638" s="235"/>
      <c r="Y638" s="235"/>
      <c r="Z638" s="233"/>
      <c r="AA638" s="233"/>
      <c r="AB638" s="233"/>
      <c r="AC638" s="245"/>
      <c r="AD638" s="245"/>
      <c r="AE638" s="245"/>
    </row>
    <row r="639" spans="1:31" ht="15.75" customHeight="1">
      <c r="A639" s="232"/>
      <c r="B639" s="233"/>
      <c r="C639" s="232"/>
      <c r="D639" s="233"/>
      <c r="E639" s="233"/>
      <c r="F639" s="235"/>
      <c r="G639" s="233"/>
      <c r="H639" s="233"/>
      <c r="I639" s="235"/>
      <c r="J639" s="235"/>
      <c r="K639" s="235"/>
      <c r="L639" s="233"/>
      <c r="M639" s="233"/>
      <c r="N639" s="233"/>
      <c r="O639" s="235"/>
      <c r="P639" s="235"/>
      <c r="Q639" s="235"/>
      <c r="R639" s="235"/>
      <c r="S639" s="233"/>
      <c r="T639" s="235"/>
      <c r="U639" s="235"/>
      <c r="V639" s="233"/>
      <c r="W639" s="235"/>
      <c r="X639" s="235"/>
      <c r="Y639" s="235"/>
      <c r="Z639" s="233"/>
      <c r="AA639" s="233"/>
      <c r="AB639" s="233"/>
      <c r="AC639" s="245"/>
      <c r="AD639" s="245"/>
      <c r="AE639" s="245"/>
    </row>
    <row r="640" spans="1:31" ht="15.75" customHeight="1">
      <c r="A640" s="232"/>
      <c r="B640" s="233"/>
      <c r="C640" s="232"/>
      <c r="D640" s="233"/>
      <c r="E640" s="233"/>
      <c r="F640" s="235"/>
      <c r="G640" s="233"/>
      <c r="H640" s="233"/>
      <c r="I640" s="235"/>
      <c r="J640" s="235"/>
      <c r="K640" s="235"/>
      <c r="L640" s="233"/>
      <c r="M640" s="233"/>
      <c r="N640" s="233"/>
      <c r="O640" s="235"/>
      <c r="P640" s="235"/>
      <c r="Q640" s="235"/>
      <c r="R640" s="235"/>
      <c r="S640" s="233"/>
      <c r="T640" s="235"/>
      <c r="U640" s="235"/>
      <c r="V640" s="233"/>
      <c r="W640" s="235"/>
      <c r="X640" s="235"/>
      <c r="Y640" s="235"/>
      <c r="Z640" s="233"/>
      <c r="AA640" s="233"/>
      <c r="AB640" s="233"/>
      <c r="AC640" s="245"/>
      <c r="AD640" s="245"/>
      <c r="AE640" s="245"/>
    </row>
    <row r="641" spans="1:31" ht="15.75" customHeight="1">
      <c r="A641" s="232"/>
      <c r="B641" s="233"/>
      <c r="C641" s="232"/>
      <c r="D641" s="233"/>
      <c r="E641" s="233"/>
      <c r="F641" s="235"/>
      <c r="G641" s="233"/>
      <c r="H641" s="233"/>
      <c r="I641" s="235"/>
      <c r="J641" s="235"/>
      <c r="K641" s="235"/>
      <c r="L641" s="233"/>
      <c r="M641" s="233"/>
      <c r="N641" s="233"/>
      <c r="O641" s="235"/>
      <c r="P641" s="235"/>
      <c r="Q641" s="235"/>
      <c r="R641" s="235"/>
      <c r="S641" s="233"/>
      <c r="T641" s="235"/>
      <c r="U641" s="235"/>
      <c r="V641" s="233"/>
      <c r="W641" s="235"/>
      <c r="X641" s="235"/>
      <c r="Y641" s="235"/>
      <c r="Z641" s="233"/>
      <c r="AA641" s="233"/>
      <c r="AB641" s="233"/>
      <c r="AC641" s="245"/>
      <c r="AD641" s="245"/>
      <c r="AE641" s="245"/>
    </row>
    <row r="642" spans="1:31" ht="15.75" customHeight="1">
      <c r="A642" s="232"/>
      <c r="B642" s="233"/>
      <c r="C642" s="232"/>
      <c r="D642" s="233"/>
      <c r="E642" s="233"/>
      <c r="F642" s="235"/>
      <c r="G642" s="233"/>
      <c r="H642" s="233"/>
      <c r="I642" s="235"/>
      <c r="J642" s="235"/>
      <c r="K642" s="235"/>
      <c r="L642" s="233"/>
      <c r="M642" s="233"/>
      <c r="N642" s="233"/>
      <c r="O642" s="235"/>
      <c r="P642" s="235"/>
      <c r="Q642" s="235"/>
      <c r="R642" s="235"/>
      <c r="S642" s="233"/>
      <c r="T642" s="235"/>
      <c r="U642" s="235"/>
      <c r="V642" s="233"/>
      <c r="W642" s="235"/>
      <c r="X642" s="235"/>
      <c r="Y642" s="235"/>
      <c r="Z642" s="233"/>
      <c r="AA642" s="233"/>
      <c r="AB642" s="233"/>
      <c r="AC642" s="245"/>
      <c r="AD642" s="245"/>
      <c r="AE642" s="245"/>
    </row>
    <row r="643" spans="1:31" ht="15.75" customHeight="1">
      <c r="A643" s="232"/>
      <c r="B643" s="233"/>
      <c r="C643" s="232"/>
      <c r="D643" s="233"/>
      <c r="E643" s="233"/>
      <c r="F643" s="235"/>
      <c r="G643" s="233"/>
      <c r="H643" s="233"/>
      <c r="I643" s="235"/>
      <c r="J643" s="235"/>
      <c r="K643" s="235"/>
      <c r="L643" s="233"/>
      <c r="M643" s="233"/>
      <c r="N643" s="233"/>
      <c r="O643" s="235"/>
      <c r="P643" s="235"/>
      <c r="Q643" s="235"/>
      <c r="R643" s="235"/>
      <c r="S643" s="233"/>
      <c r="T643" s="235"/>
      <c r="U643" s="235"/>
      <c r="V643" s="233"/>
      <c r="W643" s="235"/>
      <c r="X643" s="235"/>
      <c r="Y643" s="235"/>
      <c r="Z643" s="233"/>
      <c r="AA643" s="233"/>
      <c r="AB643" s="233"/>
      <c r="AC643" s="245"/>
      <c r="AD643" s="245"/>
      <c r="AE643" s="245"/>
    </row>
    <row r="644" spans="1:31" ht="15.75" customHeight="1">
      <c r="A644" s="232"/>
      <c r="B644" s="233"/>
      <c r="C644" s="232"/>
      <c r="D644" s="233"/>
      <c r="E644" s="233"/>
      <c r="F644" s="235"/>
      <c r="G644" s="233"/>
      <c r="H644" s="233"/>
      <c r="I644" s="235"/>
      <c r="J644" s="235"/>
      <c r="K644" s="235"/>
      <c r="L644" s="233"/>
      <c r="M644" s="233"/>
      <c r="N644" s="233"/>
      <c r="O644" s="235"/>
      <c r="P644" s="235"/>
      <c r="Q644" s="235"/>
      <c r="R644" s="235"/>
      <c r="S644" s="233"/>
      <c r="T644" s="235"/>
      <c r="U644" s="235"/>
      <c r="V644" s="233"/>
      <c r="W644" s="235"/>
      <c r="X644" s="235"/>
      <c r="Y644" s="235"/>
      <c r="Z644" s="233"/>
      <c r="AA644" s="233"/>
      <c r="AB644" s="233"/>
      <c r="AC644" s="245"/>
      <c r="AD644" s="245"/>
      <c r="AE644" s="245"/>
    </row>
    <row r="645" spans="1:31" ht="15.75" customHeight="1">
      <c r="A645" s="232"/>
      <c r="B645" s="233"/>
      <c r="C645" s="232"/>
      <c r="D645" s="233"/>
      <c r="E645" s="233"/>
      <c r="F645" s="235"/>
      <c r="G645" s="233"/>
      <c r="H645" s="233"/>
      <c r="I645" s="235"/>
      <c r="J645" s="235"/>
      <c r="K645" s="235"/>
      <c r="L645" s="233"/>
      <c r="M645" s="233"/>
      <c r="N645" s="233"/>
      <c r="O645" s="235"/>
      <c r="P645" s="235"/>
      <c r="Q645" s="235"/>
      <c r="R645" s="235"/>
      <c r="S645" s="233"/>
      <c r="T645" s="235"/>
      <c r="U645" s="235"/>
      <c r="V645" s="233"/>
      <c r="W645" s="235"/>
      <c r="X645" s="235"/>
      <c r="Y645" s="235"/>
      <c r="Z645" s="233"/>
      <c r="AA645" s="233"/>
      <c r="AB645" s="233"/>
      <c r="AC645" s="245"/>
      <c r="AD645" s="245"/>
      <c r="AE645" s="245"/>
    </row>
    <row r="646" spans="1:31" ht="15.75" customHeight="1">
      <c r="A646" s="232"/>
      <c r="B646" s="233"/>
      <c r="C646" s="232"/>
      <c r="D646" s="233"/>
      <c r="E646" s="233"/>
      <c r="F646" s="235"/>
      <c r="G646" s="233"/>
      <c r="H646" s="233"/>
      <c r="I646" s="235"/>
      <c r="J646" s="235"/>
      <c r="K646" s="235"/>
      <c r="L646" s="233"/>
      <c r="M646" s="233"/>
      <c r="N646" s="233"/>
      <c r="O646" s="235"/>
      <c r="P646" s="235"/>
      <c r="Q646" s="235"/>
      <c r="R646" s="235"/>
      <c r="S646" s="233"/>
      <c r="T646" s="235"/>
      <c r="U646" s="235"/>
      <c r="V646" s="233"/>
      <c r="W646" s="235"/>
      <c r="X646" s="235"/>
      <c r="Y646" s="235"/>
      <c r="Z646" s="233"/>
      <c r="AA646" s="233"/>
      <c r="AB646" s="233"/>
      <c r="AC646" s="245"/>
      <c r="AD646" s="245"/>
      <c r="AE646" s="245"/>
    </row>
    <row r="647" spans="1:31" ht="15.75" customHeight="1">
      <c r="A647" s="232"/>
      <c r="B647" s="233"/>
      <c r="C647" s="232"/>
      <c r="D647" s="233"/>
      <c r="E647" s="233"/>
      <c r="F647" s="235"/>
      <c r="G647" s="233"/>
      <c r="H647" s="233"/>
      <c r="I647" s="235"/>
      <c r="J647" s="235"/>
      <c r="K647" s="235"/>
      <c r="L647" s="233"/>
      <c r="M647" s="233"/>
      <c r="N647" s="233"/>
      <c r="O647" s="235"/>
      <c r="P647" s="235"/>
      <c r="Q647" s="235"/>
      <c r="R647" s="235"/>
      <c r="S647" s="233"/>
      <c r="T647" s="235"/>
      <c r="U647" s="235"/>
      <c r="V647" s="233"/>
      <c r="W647" s="235"/>
      <c r="X647" s="235"/>
      <c r="Y647" s="235"/>
      <c r="Z647" s="233"/>
      <c r="AA647" s="233"/>
      <c r="AB647" s="233"/>
      <c r="AC647" s="245"/>
      <c r="AD647" s="245"/>
      <c r="AE647" s="245"/>
    </row>
    <row r="648" spans="1:31" ht="15.75" customHeight="1">
      <c r="A648" s="232"/>
      <c r="B648" s="233"/>
      <c r="C648" s="232"/>
      <c r="D648" s="233"/>
      <c r="E648" s="233"/>
      <c r="F648" s="235"/>
      <c r="G648" s="233"/>
      <c r="H648" s="233"/>
      <c r="I648" s="235"/>
      <c r="J648" s="235"/>
      <c r="K648" s="235"/>
      <c r="L648" s="233"/>
      <c r="M648" s="233"/>
      <c r="N648" s="233"/>
      <c r="O648" s="235"/>
      <c r="P648" s="235"/>
      <c r="Q648" s="235"/>
      <c r="R648" s="235"/>
      <c r="S648" s="233"/>
      <c r="T648" s="235"/>
      <c r="U648" s="235"/>
      <c r="V648" s="233"/>
      <c r="W648" s="235"/>
      <c r="X648" s="235"/>
      <c r="Y648" s="235"/>
      <c r="Z648" s="233"/>
      <c r="AA648" s="233"/>
      <c r="AB648" s="233"/>
      <c r="AC648" s="245"/>
      <c r="AD648" s="245"/>
      <c r="AE648" s="245"/>
    </row>
    <row r="649" spans="1:31" ht="15.75" customHeight="1">
      <c r="A649" s="232"/>
      <c r="B649" s="233"/>
      <c r="C649" s="232"/>
      <c r="D649" s="233"/>
      <c r="E649" s="233"/>
      <c r="F649" s="235"/>
      <c r="G649" s="233"/>
      <c r="H649" s="233"/>
      <c r="I649" s="235"/>
      <c r="J649" s="235"/>
      <c r="K649" s="235"/>
      <c r="L649" s="233"/>
      <c r="M649" s="233"/>
      <c r="N649" s="233"/>
      <c r="O649" s="235"/>
      <c r="P649" s="235"/>
      <c r="Q649" s="235"/>
      <c r="R649" s="235"/>
      <c r="S649" s="233"/>
      <c r="T649" s="235"/>
      <c r="U649" s="235"/>
      <c r="V649" s="233"/>
      <c r="W649" s="235"/>
      <c r="X649" s="235"/>
      <c r="Y649" s="235"/>
      <c r="Z649" s="233"/>
      <c r="AA649" s="233"/>
      <c r="AB649" s="233"/>
      <c r="AC649" s="245"/>
      <c r="AD649" s="245"/>
      <c r="AE649" s="245"/>
    </row>
    <row r="650" spans="1:31" ht="15.75" customHeight="1">
      <c r="A650" s="232"/>
      <c r="B650" s="233"/>
      <c r="C650" s="232"/>
      <c r="D650" s="233"/>
      <c r="E650" s="233"/>
      <c r="F650" s="235"/>
      <c r="G650" s="233"/>
      <c r="H650" s="233"/>
      <c r="I650" s="235"/>
      <c r="J650" s="235"/>
      <c r="K650" s="235"/>
      <c r="L650" s="233"/>
      <c r="M650" s="233"/>
      <c r="N650" s="233"/>
      <c r="O650" s="235"/>
      <c r="P650" s="235"/>
      <c r="Q650" s="235"/>
      <c r="R650" s="235"/>
      <c r="S650" s="233"/>
      <c r="T650" s="235"/>
      <c r="U650" s="235"/>
      <c r="V650" s="233"/>
      <c r="W650" s="235"/>
      <c r="X650" s="235"/>
      <c r="Y650" s="235"/>
      <c r="Z650" s="233"/>
      <c r="AA650" s="233"/>
      <c r="AB650" s="233"/>
      <c r="AC650" s="245"/>
      <c r="AD650" s="245"/>
      <c r="AE650" s="245"/>
    </row>
    <row r="651" spans="1:31" ht="15.75" customHeight="1">
      <c r="A651" s="232"/>
      <c r="B651" s="233"/>
      <c r="C651" s="232"/>
      <c r="D651" s="233"/>
      <c r="E651" s="233"/>
      <c r="F651" s="235"/>
      <c r="G651" s="233"/>
      <c r="H651" s="233"/>
      <c r="I651" s="235"/>
      <c r="J651" s="235"/>
      <c r="K651" s="235"/>
      <c r="L651" s="233"/>
      <c r="M651" s="233"/>
      <c r="N651" s="233"/>
      <c r="O651" s="235"/>
      <c r="P651" s="235"/>
      <c r="Q651" s="235"/>
      <c r="R651" s="235"/>
      <c r="S651" s="233"/>
      <c r="T651" s="235"/>
      <c r="U651" s="235"/>
      <c r="V651" s="233"/>
      <c r="W651" s="235"/>
      <c r="X651" s="235"/>
      <c r="Y651" s="235"/>
      <c r="Z651" s="233"/>
      <c r="AA651" s="233"/>
      <c r="AB651" s="233"/>
      <c r="AC651" s="245"/>
      <c r="AD651" s="245"/>
      <c r="AE651" s="245"/>
    </row>
    <row r="652" spans="1:31" ht="15.75" customHeight="1">
      <c r="A652" s="232"/>
      <c r="B652" s="233"/>
      <c r="C652" s="232"/>
      <c r="D652" s="233"/>
      <c r="E652" s="233"/>
      <c r="F652" s="235"/>
      <c r="G652" s="233"/>
      <c r="H652" s="233"/>
      <c r="I652" s="235"/>
      <c r="J652" s="235"/>
      <c r="K652" s="235"/>
      <c r="L652" s="233"/>
      <c r="M652" s="233"/>
      <c r="N652" s="233"/>
      <c r="O652" s="235"/>
      <c r="P652" s="235"/>
      <c r="Q652" s="235"/>
      <c r="R652" s="235"/>
      <c r="S652" s="233"/>
      <c r="T652" s="235"/>
      <c r="U652" s="235"/>
      <c r="V652" s="233"/>
      <c r="W652" s="235"/>
      <c r="X652" s="235"/>
      <c r="Y652" s="235"/>
      <c r="Z652" s="233"/>
      <c r="AA652" s="233"/>
      <c r="AB652" s="233"/>
      <c r="AC652" s="245"/>
      <c r="AD652" s="245"/>
      <c r="AE652" s="245"/>
    </row>
    <row r="653" spans="1:31" ht="15.75" customHeight="1">
      <c r="A653" s="232"/>
      <c r="B653" s="233"/>
      <c r="C653" s="232"/>
      <c r="D653" s="233"/>
      <c r="E653" s="233"/>
      <c r="F653" s="235"/>
      <c r="G653" s="233"/>
      <c r="H653" s="233"/>
      <c r="I653" s="235"/>
      <c r="J653" s="235"/>
      <c r="K653" s="235"/>
      <c r="L653" s="233"/>
      <c r="M653" s="233"/>
      <c r="N653" s="233"/>
      <c r="O653" s="235"/>
      <c r="P653" s="235"/>
      <c r="Q653" s="235"/>
      <c r="R653" s="235"/>
      <c r="S653" s="233"/>
      <c r="T653" s="235"/>
      <c r="U653" s="235"/>
      <c r="V653" s="233"/>
      <c r="W653" s="235"/>
      <c r="X653" s="235"/>
      <c r="Y653" s="235"/>
      <c r="Z653" s="233"/>
      <c r="AA653" s="233"/>
      <c r="AB653" s="233"/>
      <c r="AC653" s="245"/>
      <c r="AD653" s="245"/>
      <c r="AE653" s="245"/>
    </row>
    <row r="654" spans="1:31" ht="15.75" customHeight="1">
      <c r="A654" s="232"/>
      <c r="B654" s="233"/>
      <c r="C654" s="232"/>
      <c r="D654" s="233"/>
      <c r="E654" s="233"/>
      <c r="F654" s="235"/>
      <c r="G654" s="233"/>
      <c r="H654" s="233"/>
      <c r="I654" s="235"/>
      <c r="J654" s="235"/>
      <c r="K654" s="235"/>
      <c r="L654" s="233"/>
      <c r="M654" s="233"/>
      <c r="N654" s="233"/>
      <c r="O654" s="235"/>
      <c r="P654" s="235"/>
      <c r="Q654" s="235"/>
      <c r="R654" s="235"/>
      <c r="S654" s="233"/>
      <c r="T654" s="235"/>
      <c r="U654" s="235"/>
      <c r="V654" s="233"/>
      <c r="W654" s="235"/>
      <c r="X654" s="235"/>
      <c r="Y654" s="235"/>
      <c r="Z654" s="233"/>
      <c r="AA654" s="233"/>
      <c r="AB654" s="233"/>
      <c r="AC654" s="245"/>
      <c r="AD654" s="245"/>
      <c r="AE654" s="245"/>
    </row>
    <row r="655" spans="1:31" ht="15.75" customHeight="1">
      <c r="A655" s="232"/>
      <c r="B655" s="233"/>
      <c r="C655" s="232"/>
      <c r="D655" s="233"/>
      <c r="E655" s="233"/>
      <c r="F655" s="235"/>
      <c r="G655" s="233"/>
      <c r="H655" s="233"/>
      <c r="I655" s="235"/>
      <c r="J655" s="235"/>
      <c r="K655" s="235"/>
      <c r="L655" s="233"/>
      <c r="M655" s="233"/>
      <c r="N655" s="233"/>
      <c r="O655" s="235"/>
      <c r="P655" s="235"/>
      <c r="Q655" s="235"/>
      <c r="R655" s="235"/>
      <c r="S655" s="233"/>
      <c r="T655" s="235"/>
      <c r="U655" s="235"/>
      <c r="V655" s="233"/>
      <c r="W655" s="235"/>
      <c r="X655" s="235"/>
      <c r="Y655" s="235"/>
      <c r="Z655" s="233"/>
      <c r="AA655" s="233"/>
      <c r="AB655" s="233"/>
      <c r="AC655" s="245"/>
      <c r="AD655" s="245"/>
      <c r="AE655" s="245"/>
    </row>
    <row r="656" spans="1:31" ht="15.75" customHeight="1">
      <c r="A656" s="232"/>
      <c r="B656" s="233"/>
      <c r="C656" s="232"/>
      <c r="D656" s="233"/>
      <c r="E656" s="233"/>
      <c r="F656" s="235"/>
      <c r="G656" s="233"/>
      <c r="H656" s="233"/>
      <c r="I656" s="235"/>
      <c r="J656" s="235"/>
      <c r="K656" s="235"/>
      <c r="L656" s="233"/>
      <c r="M656" s="233"/>
      <c r="N656" s="233"/>
      <c r="O656" s="235"/>
      <c r="P656" s="235"/>
      <c r="Q656" s="235"/>
      <c r="R656" s="235"/>
      <c r="S656" s="233"/>
      <c r="T656" s="235"/>
      <c r="U656" s="235"/>
      <c r="V656" s="233"/>
      <c r="W656" s="235"/>
      <c r="X656" s="235"/>
      <c r="Y656" s="235"/>
      <c r="Z656" s="233"/>
      <c r="AA656" s="233"/>
      <c r="AB656" s="233"/>
      <c r="AC656" s="245"/>
      <c r="AD656" s="245"/>
      <c r="AE656" s="245"/>
    </row>
    <row r="657" spans="1:31" ht="15.75" customHeight="1">
      <c r="A657" s="232"/>
      <c r="B657" s="233"/>
      <c r="C657" s="232"/>
      <c r="D657" s="233"/>
      <c r="E657" s="233"/>
      <c r="F657" s="235"/>
      <c r="G657" s="233"/>
      <c r="H657" s="233"/>
      <c r="I657" s="235"/>
      <c r="J657" s="235"/>
      <c r="K657" s="235"/>
      <c r="L657" s="233"/>
      <c r="M657" s="233"/>
      <c r="N657" s="233"/>
      <c r="O657" s="235"/>
      <c r="P657" s="235"/>
      <c r="Q657" s="235"/>
      <c r="R657" s="235"/>
      <c r="S657" s="233"/>
      <c r="T657" s="235"/>
      <c r="U657" s="235"/>
      <c r="V657" s="233"/>
      <c r="W657" s="235"/>
      <c r="X657" s="235"/>
      <c r="Y657" s="235"/>
      <c r="Z657" s="233"/>
      <c r="AA657" s="233"/>
      <c r="AB657" s="233"/>
      <c r="AC657" s="245"/>
      <c r="AD657" s="245"/>
      <c r="AE657" s="245"/>
    </row>
    <row r="658" spans="1:31" ht="15.75" customHeight="1">
      <c r="A658" s="232"/>
      <c r="B658" s="233"/>
      <c r="C658" s="232"/>
      <c r="D658" s="233"/>
      <c r="E658" s="233"/>
      <c r="F658" s="235"/>
      <c r="G658" s="233"/>
      <c r="H658" s="233"/>
      <c r="I658" s="235"/>
      <c r="J658" s="235"/>
      <c r="K658" s="235"/>
      <c r="L658" s="233"/>
      <c r="M658" s="233"/>
      <c r="N658" s="233"/>
      <c r="O658" s="235"/>
      <c r="P658" s="235"/>
      <c r="Q658" s="235"/>
      <c r="R658" s="235"/>
      <c r="S658" s="233"/>
      <c r="T658" s="235"/>
      <c r="U658" s="235"/>
      <c r="V658" s="233"/>
      <c r="W658" s="235"/>
      <c r="X658" s="235"/>
      <c r="Y658" s="235"/>
      <c r="Z658" s="233"/>
      <c r="AA658" s="233"/>
      <c r="AB658" s="233"/>
      <c r="AC658" s="245"/>
      <c r="AD658" s="245"/>
      <c r="AE658" s="245"/>
    </row>
    <row r="659" spans="1:31" ht="15.75" customHeight="1">
      <c r="A659" s="232"/>
      <c r="B659" s="233"/>
      <c r="C659" s="232"/>
      <c r="D659" s="233"/>
      <c r="E659" s="233"/>
      <c r="F659" s="235"/>
      <c r="G659" s="233"/>
      <c r="H659" s="233"/>
      <c r="I659" s="235"/>
      <c r="J659" s="235"/>
      <c r="K659" s="235"/>
      <c r="L659" s="233"/>
      <c r="M659" s="233"/>
      <c r="N659" s="233"/>
      <c r="O659" s="235"/>
      <c r="P659" s="235"/>
      <c r="Q659" s="235"/>
      <c r="R659" s="235"/>
      <c r="S659" s="233"/>
      <c r="T659" s="235"/>
      <c r="U659" s="235"/>
      <c r="V659" s="233"/>
      <c r="W659" s="235"/>
      <c r="X659" s="235"/>
      <c r="Y659" s="235"/>
      <c r="Z659" s="233"/>
      <c r="AA659" s="233"/>
      <c r="AB659" s="233"/>
      <c r="AC659" s="245"/>
      <c r="AD659" s="245"/>
      <c r="AE659" s="245"/>
    </row>
    <row r="660" spans="1:31" ht="15.75" customHeight="1">
      <c r="A660" s="232"/>
      <c r="B660" s="233"/>
      <c r="C660" s="232"/>
      <c r="D660" s="233"/>
      <c r="E660" s="233"/>
      <c r="F660" s="235"/>
      <c r="G660" s="233"/>
      <c r="H660" s="233"/>
      <c r="I660" s="235"/>
      <c r="J660" s="235"/>
      <c r="K660" s="235"/>
      <c r="L660" s="233"/>
      <c r="M660" s="233"/>
      <c r="N660" s="233"/>
      <c r="O660" s="235"/>
      <c r="P660" s="235"/>
      <c r="Q660" s="235"/>
      <c r="R660" s="235"/>
      <c r="S660" s="233"/>
      <c r="T660" s="235"/>
      <c r="U660" s="235"/>
      <c r="V660" s="233"/>
      <c r="W660" s="235"/>
      <c r="X660" s="235"/>
      <c r="Y660" s="235"/>
      <c r="Z660" s="233"/>
      <c r="AA660" s="233"/>
      <c r="AB660" s="233"/>
      <c r="AC660" s="245"/>
      <c r="AD660" s="245"/>
      <c r="AE660" s="245"/>
    </row>
    <row r="661" spans="1:31" ht="15.75" customHeight="1">
      <c r="A661" s="232"/>
      <c r="B661" s="233"/>
      <c r="C661" s="232"/>
      <c r="D661" s="233"/>
      <c r="E661" s="233"/>
      <c r="F661" s="235"/>
      <c r="G661" s="233"/>
      <c r="H661" s="233"/>
      <c r="I661" s="235"/>
      <c r="J661" s="235"/>
      <c r="K661" s="235"/>
      <c r="L661" s="233"/>
      <c r="M661" s="233"/>
      <c r="N661" s="233"/>
      <c r="O661" s="235"/>
      <c r="P661" s="235"/>
      <c r="Q661" s="235"/>
      <c r="R661" s="235"/>
      <c r="S661" s="233"/>
      <c r="T661" s="235"/>
      <c r="U661" s="235"/>
      <c r="V661" s="233"/>
      <c r="W661" s="235"/>
      <c r="X661" s="235"/>
      <c r="Y661" s="235"/>
      <c r="Z661" s="233"/>
      <c r="AA661" s="233"/>
      <c r="AB661" s="233"/>
      <c r="AC661" s="245"/>
      <c r="AD661" s="245"/>
      <c r="AE661" s="245"/>
    </row>
    <row r="662" spans="1:31" ht="15.75" customHeight="1">
      <c r="A662" s="232"/>
      <c r="B662" s="233"/>
      <c r="C662" s="232"/>
      <c r="D662" s="233"/>
      <c r="E662" s="233"/>
      <c r="F662" s="235"/>
      <c r="G662" s="233"/>
      <c r="H662" s="233"/>
      <c r="I662" s="235"/>
      <c r="J662" s="235"/>
      <c r="K662" s="235"/>
      <c r="L662" s="233"/>
      <c r="M662" s="233"/>
      <c r="N662" s="233"/>
      <c r="O662" s="235"/>
      <c r="P662" s="235"/>
      <c r="Q662" s="235"/>
      <c r="R662" s="235"/>
      <c r="S662" s="233"/>
      <c r="T662" s="235"/>
      <c r="U662" s="235"/>
      <c r="V662" s="233"/>
      <c r="W662" s="235"/>
      <c r="X662" s="235"/>
      <c r="Y662" s="235"/>
      <c r="Z662" s="233"/>
      <c r="AA662" s="233"/>
      <c r="AB662" s="233"/>
      <c r="AC662" s="245"/>
      <c r="AD662" s="245"/>
      <c r="AE662" s="245"/>
    </row>
    <row r="663" spans="1:31" ht="15.75" customHeight="1">
      <c r="A663" s="232"/>
      <c r="B663" s="233"/>
      <c r="C663" s="232"/>
      <c r="D663" s="233"/>
      <c r="E663" s="233"/>
      <c r="F663" s="235"/>
      <c r="G663" s="233"/>
      <c r="H663" s="233"/>
      <c r="I663" s="235"/>
      <c r="J663" s="235"/>
      <c r="K663" s="235"/>
      <c r="L663" s="233"/>
      <c r="M663" s="233"/>
      <c r="N663" s="233"/>
      <c r="O663" s="235"/>
      <c r="P663" s="235"/>
      <c r="Q663" s="235"/>
      <c r="R663" s="235"/>
      <c r="S663" s="233"/>
      <c r="T663" s="235"/>
      <c r="U663" s="235"/>
      <c r="V663" s="233"/>
      <c r="W663" s="235"/>
      <c r="X663" s="235"/>
      <c r="Y663" s="235"/>
      <c r="Z663" s="233"/>
      <c r="AA663" s="233"/>
      <c r="AB663" s="233"/>
      <c r="AC663" s="245"/>
      <c r="AD663" s="245"/>
      <c r="AE663" s="245"/>
    </row>
    <row r="664" spans="1:31" ht="15.75" customHeight="1">
      <c r="A664" s="232"/>
      <c r="B664" s="233"/>
      <c r="C664" s="232"/>
      <c r="D664" s="233"/>
      <c r="E664" s="233"/>
      <c r="F664" s="235"/>
      <c r="G664" s="233"/>
      <c r="H664" s="233"/>
      <c r="I664" s="235"/>
      <c r="J664" s="235"/>
      <c r="K664" s="235"/>
      <c r="L664" s="233"/>
      <c r="M664" s="233"/>
      <c r="N664" s="233"/>
      <c r="O664" s="235"/>
      <c r="P664" s="235"/>
      <c r="Q664" s="235"/>
      <c r="R664" s="235"/>
      <c r="S664" s="233"/>
      <c r="T664" s="235"/>
      <c r="U664" s="235"/>
      <c r="V664" s="233"/>
      <c r="W664" s="235"/>
      <c r="X664" s="235"/>
      <c r="Y664" s="235"/>
      <c r="Z664" s="233"/>
      <c r="AA664" s="233"/>
      <c r="AB664" s="233"/>
      <c r="AC664" s="245"/>
      <c r="AD664" s="245"/>
      <c r="AE664" s="245"/>
    </row>
    <row r="665" spans="1:31" ht="15.75" customHeight="1">
      <c r="A665" s="232"/>
      <c r="B665" s="233"/>
      <c r="C665" s="232"/>
      <c r="D665" s="233"/>
      <c r="E665" s="233"/>
      <c r="F665" s="235"/>
      <c r="G665" s="233"/>
      <c r="H665" s="233"/>
      <c r="I665" s="235"/>
      <c r="J665" s="235"/>
      <c r="K665" s="235"/>
      <c r="L665" s="233"/>
      <c r="M665" s="233"/>
      <c r="N665" s="233"/>
      <c r="O665" s="235"/>
      <c r="P665" s="235"/>
      <c r="Q665" s="235"/>
      <c r="R665" s="235"/>
      <c r="S665" s="233"/>
      <c r="T665" s="235"/>
      <c r="U665" s="235"/>
      <c r="V665" s="233"/>
      <c r="W665" s="235"/>
      <c r="X665" s="235"/>
      <c r="Y665" s="235"/>
      <c r="Z665" s="233"/>
      <c r="AA665" s="233"/>
      <c r="AB665" s="233"/>
      <c r="AC665" s="245"/>
      <c r="AD665" s="245"/>
      <c r="AE665" s="245"/>
    </row>
    <row r="666" spans="1:31" ht="15.75" customHeight="1">
      <c r="A666" s="232"/>
      <c r="B666" s="233"/>
      <c r="C666" s="232"/>
      <c r="D666" s="233"/>
      <c r="E666" s="233"/>
      <c r="F666" s="235"/>
      <c r="G666" s="233"/>
      <c r="H666" s="233"/>
      <c r="I666" s="235"/>
      <c r="J666" s="235"/>
      <c r="K666" s="235"/>
      <c r="L666" s="233"/>
      <c r="M666" s="233"/>
      <c r="N666" s="233"/>
      <c r="O666" s="235"/>
      <c r="P666" s="235"/>
      <c r="Q666" s="235"/>
      <c r="R666" s="235"/>
      <c r="S666" s="233"/>
      <c r="T666" s="235"/>
      <c r="U666" s="235"/>
      <c r="V666" s="233"/>
      <c r="W666" s="235"/>
      <c r="X666" s="235"/>
      <c r="Y666" s="235"/>
      <c r="Z666" s="233"/>
      <c r="AA666" s="233"/>
      <c r="AB666" s="233"/>
      <c r="AC666" s="245"/>
      <c r="AD666" s="245"/>
      <c r="AE666" s="245"/>
    </row>
    <row r="667" spans="1:31" ht="15.75" customHeight="1">
      <c r="A667" s="232"/>
      <c r="B667" s="233"/>
      <c r="C667" s="232"/>
      <c r="D667" s="233"/>
      <c r="E667" s="233"/>
      <c r="F667" s="235"/>
      <c r="G667" s="233"/>
      <c r="H667" s="233"/>
      <c r="I667" s="235"/>
      <c r="J667" s="235"/>
      <c r="K667" s="235"/>
      <c r="L667" s="233"/>
      <c r="M667" s="233"/>
      <c r="N667" s="233"/>
      <c r="O667" s="235"/>
      <c r="P667" s="235"/>
      <c r="Q667" s="235"/>
      <c r="R667" s="235"/>
      <c r="S667" s="233"/>
      <c r="T667" s="235"/>
      <c r="U667" s="235"/>
      <c r="V667" s="233"/>
      <c r="W667" s="235"/>
      <c r="X667" s="235"/>
      <c r="Y667" s="235"/>
      <c r="Z667" s="233"/>
      <c r="AA667" s="233"/>
      <c r="AB667" s="233"/>
      <c r="AC667" s="245"/>
      <c r="AD667" s="245"/>
      <c r="AE667" s="245"/>
    </row>
    <row r="668" spans="1:31" ht="15.75" customHeight="1">
      <c r="A668" s="232"/>
      <c r="B668" s="233"/>
      <c r="C668" s="232"/>
      <c r="D668" s="233"/>
      <c r="E668" s="233"/>
      <c r="F668" s="235"/>
      <c r="G668" s="233"/>
      <c r="H668" s="233"/>
      <c r="I668" s="235"/>
      <c r="J668" s="235"/>
      <c r="K668" s="235"/>
      <c r="L668" s="233"/>
      <c r="M668" s="233"/>
      <c r="N668" s="233"/>
      <c r="O668" s="235"/>
      <c r="P668" s="235"/>
      <c r="Q668" s="235"/>
      <c r="R668" s="235"/>
      <c r="S668" s="233"/>
      <c r="T668" s="235"/>
      <c r="U668" s="235"/>
      <c r="V668" s="233"/>
      <c r="W668" s="235"/>
      <c r="X668" s="235"/>
      <c r="Y668" s="235"/>
      <c r="Z668" s="233"/>
      <c r="AA668" s="233"/>
      <c r="AB668" s="233"/>
      <c r="AC668" s="245"/>
      <c r="AD668" s="245"/>
      <c r="AE668" s="245"/>
    </row>
    <row r="669" spans="1:31" ht="15.75" customHeight="1">
      <c r="A669" s="232"/>
      <c r="B669" s="233"/>
      <c r="C669" s="232"/>
      <c r="D669" s="233"/>
      <c r="E669" s="233"/>
      <c r="F669" s="235"/>
      <c r="G669" s="233"/>
      <c r="H669" s="233"/>
      <c r="I669" s="235"/>
      <c r="J669" s="235"/>
      <c r="K669" s="235"/>
      <c r="L669" s="233"/>
      <c r="M669" s="233"/>
      <c r="N669" s="233"/>
      <c r="O669" s="235"/>
      <c r="P669" s="235"/>
      <c r="Q669" s="235"/>
      <c r="R669" s="235"/>
      <c r="S669" s="233"/>
      <c r="T669" s="235"/>
      <c r="U669" s="235"/>
      <c r="V669" s="233"/>
      <c r="W669" s="235"/>
      <c r="X669" s="235"/>
      <c r="Y669" s="235"/>
      <c r="Z669" s="233"/>
      <c r="AA669" s="233"/>
      <c r="AB669" s="233"/>
      <c r="AC669" s="245"/>
      <c r="AD669" s="245"/>
      <c r="AE669" s="245"/>
    </row>
    <row r="670" spans="1:31" ht="15.75" customHeight="1">
      <c r="A670" s="232"/>
      <c r="B670" s="233"/>
      <c r="C670" s="232"/>
      <c r="D670" s="233"/>
      <c r="E670" s="233"/>
      <c r="F670" s="235"/>
      <c r="G670" s="233"/>
      <c r="H670" s="233"/>
      <c r="I670" s="235"/>
      <c r="J670" s="235"/>
      <c r="K670" s="235"/>
      <c r="L670" s="233"/>
      <c r="M670" s="233"/>
      <c r="N670" s="233"/>
      <c r="O670" s="235"/>
      <c r="P670" s="235"/>
      <c r="Q670" s="235"/>
      <c r="R670" s="235"/>
      <c r="S670" s="233"/>
      <c r="T670" s="235"/>
      <c r="U670" s="235"/>
      <c r="V670" s="233"/>
      <c r="W670" s="235"/>
      <c r="X670" s="235"/>
      <c r="Y670" s="235"/>
      <c r="Z670" s="233"/>
      <c r="AA670" s="233"/>
      <c r="AB670" s="233"/>
      <c r="AC670" s="245"/>
      <c r="AD670" s="245"/>
      <c r="AE670" s="245"/>
    </row>
    <row r="671" spans="1:31" ht="15.75" customHeight="1">
      <c r="A671" s="232"/>
      <c r="B671" s="233"/>
      <c r="C671" s="232"/>
      <c r="D671" s="233"/>
      <c r="E671" s="233"/>
      <c r="F671" s="235"/>
      <c r="G671" s="233"/>
      <c r="H671" s="233"/>
      <c r="I671" s="235"/>
      <c r="J671" s="235"/>
      <c r="K671" s="235"/>
      <c r="L671" s="233"/>
      <c r="M671" s="233"/>
      <c r="N671" s="233"/>
      <c r="O671" s="235"/>
      <c r="P671" s="235"/>
      <c r="Q671" s="235"/>
      <c r="R671" s="235"/>
      <c r="S671" s="233"/>
      <c r="T671" s="235"/>
      <c r="U671" s="235"/>
      <c r="V671" s="233"/>
      <c r="W671" s="235"/>
      <c r="X671" s="235"/>
      <c r="Y671" s="235"/>
      <c r="Z671" s="233"/>
      <c r="AA671" s="233"/>
      <c r="AB671" s="233"/>
      <c r="AC671" s="245"/>
      <c r="AD671" s="245"/>
      <c r="AE671" s="245"/>
    </row>
    <row r="672" spans="1:31" ht="15.75" customHeight="1">
      <c r="A672" s="232"/>
      <c r="B672" s="233"/>
      <c r="C672" s="232"/>
      <c r="D672" s="233"/>
      <c r="E672" s="233"/>
      <c r="F672" s="235"/>
      <c r="G672" s="233"/>
      <c r="H672" s="233"/>
      <c r="I672" s="235"/>
      <c r="J672" s="235"/>
      <c r="K672" s="235"/>
      <c r="L672" s="233"/>
      <c r="M672" s="233"/>
      <c r="N672" s="233"/>
      <c r="O672" s="235"/>
      <c r="P672" s="235"/>
      <c r="Q672" s="235"/>
      <c r="R672" s="235"/>
      <c r="S672" s="233"/>
      <c r="T672" s="235"/>
      <c r="U672" s="235"/>
      <c r="V672" s="233"/>
      <c r="W672" s="235"/>
      <c r="X672" s="235"/>
      <c r="Y672" s="235"/>
      <c r="Z672" s="233"/>
      <c r="AA672" s="233"/>
      <c r="AB672" s="233"/>
      <c r="AC672" s="245"/>
      <c r="AD672" s="245"/>
      <c r="AE672" s="245"/>
    </row>
    <row r="673" spans="1:31" ht="15.75" customHeight="1">
      <c r="A673" s="232"/>
      <c r="B673" s="233"/>
      <c r="C673" s="232"/>
      <c r="D673" s="233"/>
      <c r="E673" s="233"/>
      <c r="F673" s="235"/>
      <c r="G673" s="233"/>
      <c r="H673" s="233"/>
      <c r="I673" s="235"/>
      <c r="J673" s="235"/>
      <c r="K673" s="235"/>
      <c r="L673" s="233"/>
      <c r="M673" s="233"/>
      <c r="N673" s="233"/>
      <c r="O673" s="235"/>
      <c r="P673" s="235"/>
      <c r="Q673" s="235"/>
      <c r="R673" s="235"/>
      <c r="S673" s="233"/>
      <c r="T673" s="235"/>
      <c r="U673" s="235"/>
      <c r="V673" s="233"/>
      <c r="W673" s="235"/>
      <c r="X673" s="235"/>
      <c r="Y673" s="235"/>
      <c r="Z673" s="233"/>
      <c r="AA673" s="233"/>
      <c r="AB673" s="233"/>
      <c r="AC673" s="245"/>
      <c r="AD673" s="245"/>
      <c r="AE673" s="245"/>
    </row>
    <row r="674" spans="1:31" ht="15.75" customHeight="1">
      <c r="A674" s="232"/>
      <c r="B674" s="233"/>
      <c r="C674" s="232"/>
      <c r="D674" s="233"/>
      <c r="E674" s="233"/>
      <c r="F674" s="235"/>
      <c r="G674" s="233"/>
      <c r="H674" s="233"/>
      <c r="I674" s="235"/>
      <c r="J674" s="235"/>
      <c r="K674" s="235"/>
      <c r="L674" s="233"/>
      <c r="M674" s="233"/>
      <c r="N674" s="233"/>
      <c r="O674" s="235"/>
      <c r="P674" s="235"/>
      <c r="Q674" s="235"/>
      <c r="R674" s="235"/>
      <c r="S674" s="233"/>
      <c r="T674" s="235"/>
      <c r="U674" s="235"/>
      <c r="V674" s="233"/>
      <c r="W674" s="235"/>
      <c r="X674" s="235"/>
      <c r="Y674" s="235"/>
      <c r="Z674" s="233"/>
      <c r="AA674" s="233"/>
      <c r="AB674" s="233"/>
      <c r="AC674" s="245"/>
      <c r="AD674" s="245"/>
      <c r="AE674" s="245"/>
    </row>
    <row r="675" spans="1:31" ht="15.75" customHeight="1">
      <c r="A675" s="232"/>
      <c r="B675" s="233"/>
      <c r="C675" s="232"/>
      <c r="D675" s="233"/>
      <c r="E675" s="233"/>
      <c r="F675" s="235"/>
      <c r="G675" s="233"/>
      <c r="H675" s="233"/>
      <c r="I675" s="235"/>
      <c r="J675" s="235"/>
      <c r="K675" s="235"/>
      <c r="L675" s="233"/>
      <c r="M675" s="233"/>
      <c r="N675" s="233"/>
      <c r="O675" s="235"/>
      <c r="P675" s="235"/>
      <c r="Q675" s="235"/>
      <c r="R675" s="235"/>
      <c r="S675" s="233"/>
      <c r="T675" s="235"/>
      <c r="U675" s="235"/>
      <c r="V675" s="233"/>
      <c r="W675" s="235"/>
      <c r="X675" s="235"/>
      <c r="Y675" s="235"/>
      <c r="Z675" s="233"/>
      <c r="AA675" s="233"/>
      <c r="AB675" s="233"/>
      <c r="AC675" s="245"/>
      <c r="AD675" s="245"/>
      <c r="AE675" s="245"/>
    </row>
    <row r="676" spans="1:31" ht="15.75" customHeight="1">
      <c r="A676" s="232"/>
      <c r="B676" s="233"/>
      <c r="C676" s="232"/>
      <c r="D676" s="233"/>
      <c r="E676" s="233"/>
      <c r="F676" s="235"/>
      <c r="G676" s="233"/>
      <c r="H676" s="233"/>
      <c r="I676" s="235"/>
      <c r="J676" s="235"/>
      <c r="K676" s="235"/>
      <c r="L676" s="233"/>
      <c r="M676" s="233"/>
      <c r="N676" s="233"/>
      <c r="O676" s="235"/>
      <c r="P676" s="235"/>
      <c r="Q676" s="235"/>
      <c r="R676" s="235"/>
      <c r="S676" s="233"/>
      <c r="T676" s="235"/>
      <c r="U676" s="235"/>
      <c r="V676" s="233"/>
      <c r="W676" s="235"/>
      <c r="X676" s="235"/>
      <c r="Y676" s="235"/>
      <c r="Z676" s="233"/>
      <c r="AA676" s="233"/>
      <c r="AB676" s="233"/>
      <c r="AC676" s="245"/>
      <c r="AD676" s="245"/>
      <c r="AE676" s="245"/>
    </row>
    <row r="677" spans="1:31" ht="15.75" customHeight="1">
      <c r="A677" s="232"/>
      <c r="B677" s="233"/>
      <c r="C677" s="232"/>
      <c r="D677" s="233"/>
      <c r="E677" s="233"/>
      <c r="F677" s="235"/>
      <c r="G677" s="233"/>
      <c r="H677" s="233"/>
      <c r="I677" s="235"/>
      <c r="J677" s="235"/>
      <c r="K677" s="235"/>
      <c r="L677" s="233"/>
      <c r="M677" s="233"/>
      <c r="N677" s="233"/>
      <c r="O677" s="235"/>
      <c r="P677" s="235"/>
      <c r="Q677" s="235"/>
      <c r="R677" s="235"/>
      <c r="S677" s="233"/>
      <c r="T677" s="235"/>
      <c r="U677" s="235"/>
      <c r="V677" s="233"/>
      <c r="W677" s="235"/>
      <c r="X677" s="235"/>
      <c r="Y677" s="235"/>
      <c r="Z677" s="233"/>
      <c r="AA677" s="233"/>
      <c r="AB677" s="233"/>
      <c r="AC677" s="245"/>
      <c r="AD677" s="245"/>
      <c r="AE677" s="245"/>
    </row>
    <row r="678" spans="1:31" ht="15.75" customHeight="1">
      <c r="A678" s="232"/>
      <c r="B678" s="233"/>
      <c r="C678" s="232"/>
      <c r="D678" s="233"/>
      <c r="E678" s="233"/>
      <c r="F678" s="235"/>
      <c r="G678" s="233"/>
      <c r="H678" s="233"/>
      <c r="I678" s="235"/>
      <c r="J678" s="235"/>
      <c r="K678" s="235"/>
      <c r="L678" s="233"/>
      <c r="M678" s="233"/>
      <c r="N678" s="233"/>
      <c r="O678" s="235"/>
      <c r="P678" s="235"/>
      <c r="Q678" s="235"/>
      <c r="R678" s="235"/>
      <c r="S678" s="233"/>
      <c r="T678" s="235"/>
      <c r="U678" s="235"/>
      <c r="V678" s="233"/>
      <c r="W678" s="235"/>
      <c r="X678" s="235"/>
      <c r="Y678" s="235"/>
      <c r="Z678" s="233"/>
      <c r="AA678" s="233"/>
      <c r="AB678" s="233"/>
      <c r="AC678" s="245"/>
      <c r="AD678" s="245"/>
      <c r="AE678" s="245"/>
    </row>
    <row r="679" spans="1:31" ht="15.75" customHeight="1">
      <c r="A679" s="232"/>
      <c r="B679" s="233"/>
      <c r="C679" s="232"/>
      <c r="D679" s="233"/>
      <c r="E679" s="233"/>
      <c r="F679" s="235"/>
      <c r="G679" s="233"/>
      <c r="H679" s="233"/>
      <c r="I679" s="235"/>
      <c r="J679" s="235"/>
      <c r="K679" s="235"/>
      <c r="L679" s="233"/>
      <c r="M679" s="233"/>
      <c r="N679" s="233"/>
      <c r="O679" s="235"/>
      <c r="P679" s="235"/>
      <c r="Q679" s="235"/>
      <c r="R679" s="235"/>
      <c r="S679" s="233"/>
      <c r="T679" s="235"/>
      <c r="U679" s="235"/>
      <c r="V679" s="233"/>
      <c r="W679" s="235"/>
      <c r="X679" s="235"/>
      <c r="Y679" s="235"/>
      <c r="Z679" s="233"/>
      <c r="AA679" s="233"/>
      <c r="AB679" s="233"/>
      <c r="AC679" s="245"/>
      <c r="AD679" s="245"/>
      <c r="AE679" s="245"/>
    </row>
    <row r="680" spans="1:31" ht="15.75" customHeight="1">
      <c r="A680" s="232"/>
      <c r="B680" s="233"/>
      <c r="C680" s="232"/>
      <c r="D680" s="233"/>
      <c r="E680" s="233"/>
      <c r="F680" s="235"/>
      <c r="G680" s="233"/>
      <c r="H680" s="233"/>
      <c r="I680" s="235"/>
      <c r="J680" s="235"/>
      <c r="K680" s="235"/>
      <c r="L680" s="233"/>
      <c r="M680" s="233"/>
      <c r="N680" s="233"/>
      <c r="O680" s="235"/>
      <c r="P680" s="235"/>
      <c r="Q680" s="235"/>
      <c r="R680" s="235"/>
      <c r="S680" s="233"/>
      <c r="T680" s="235"/>
      <c r="U680" s="235"/>
      <c r="V680" s="233"/>
      <c r="W680" s="235"/>
      <c r="X680" s="235"/>
      <c r="Y680" s="235"/>
      <c r="Z680" s="233"/>
      <c r="AA680" s="233"/>
      <c r="AB680" s="233"/>
      <c r="AC680" s="245"/>
      <c r="AD680" s="245"/>
      <c r="AE680" s="245"/>
    </row>
    <row r="681" spans="1:31" ht="15.75" customHeight="1">
      <c r="A681" s="232"/>
      <c r="B681" s="233"/>
      <c r="C681" s="232"/>
      <c r="D681" s="233"/>
      <c r="E681" s="233"/>
      <c r="F681" s="235"/>
      <c r="G681" s="233"/>
      <c r="H681" s="233"/>
      <c r="I681" s="235"/>
      <c r="J681" s="235"/>
      <c r="K681" s="235"/>
      <c r="L681" s="233"/>
      <c r="M681" s="233"/>
      <c r="N681" s="233"/>
      <c r="O681" s="235"/>
      <c r="P681" s="235"/>
      <c r="Q681" s="235"/>
      <c r="R681" s="235"/>
      <c r="S681" s="233"/>
      <c r="T681" s="235"/>
      <c r="U681" s="235"/>
      <c r="V681" s="233"/>
      <c r="W681" s="235"/>
      <c r="X681" s="235"/>
      <c r="Y681" s="235"/>
      <c r="Z681" s="233"/>
      <c r="AA681" s="233"/>
      <c r="AB681" s="233"/>
      <c r="AC681" s="245"/>
      <c r="AD681" s="245"/>
      <c r="AE681" s="245"/>
    </row>
    <row r="682" spans="1:31" ht="15.75" customHeight="1">
      <c r="A682" s="232"/>
      <c r="B682" s="233"/>
      <c r="C682" s="232"/>
      <c r="D682" s="233"/>
      <c r="E682" s="233"/>
      <c r="F682" s="235"/>
      <c r="G682" s="233"/>
      <c r="H682" s="233"/>
      <c r="I682" s="235"/>
      <c r="J682" s="235"/>
      <c r="K682" s="235"/>
      <c r="L682" s="233"/>
      <c r="M682" s="233"/>
      <c r="N682" s="233"/>
      <c r="O682" s="235"/>
      <c r="P682" s="235"/>
      <c r="Q682" s="235"/>
      <c r="R682" s="235"/>
      <c r="S682" s="233"/>
      <c r="T682" s="235"/>
      <c r="U682" s="235"/>
      <c r="V682" s="233"/>
      <c r="W682" s="235"/>
      <c r="X682" s="235"/>
      <c r="Y682" s="235"/>
      <c r="Z682" s="233"/>
      <c r="AA682" s="233"/>
      <c r="AB682" s="233"/>
      <c r="AC682" s="245"/>
      <c r="AD682" s="245"/>
      <c r="AE682" s="245"/>
    </row>
    <row r="683" spans="1:31" ht="15.75" customHeight="1">
      <c r="A683" s="232"/>
      <c r="B683" s="233"/>
      <c r="C683" s="232"/>
      <c r="D683" s="233"/>
      <c r="E683" s="233"/>
      <c r="F683" s="235"/>
      <c r="G683" s="233"/>
      <c r="H683" s="233"/>
      <c r="I683" s="235"/>
      <c r="J683" s="235"/>
      <c r="K683" s="235"/>
      <c r="L683" s="233"/>
      <c r="M683" s="233"/>
      <c r="N683" s="233"/>
      <c r="O683" s="235"/>
      <c r="P683" s="235"/>
      <c r="Q683" s="235"/>
      <c r="R683" s="235"/>
      <c r="S683" s="233"/>
      <c r="T683" s="235"/>
      <c r="U683" s="235"/>
      <c r="V683" s="233"/>
      <c r="W683" s="235"/>
      <c r="X683" s="235"/>
      <c r="Y683" s="235"/>
      <c r="Z683" s="233"/>
      <c r="AA683" s="233"/>
      <c r="AB683" s="233"/>
      <c r="AC683" s="245"/>
      <c r="AD683" s="245"/>
      <c r="AE683" s="245"/>
    </row>
    <row r="684" spans="1:31" ht="15.75" customHeight="1">
      <c r="A684" s="232"/>
      <c r="B684" s="233"/>
      <c r="C684" s="232"/>
      <c r="D684" s="233"/>
      <c r="E684" s="233"/>
      <c r="F684" s="235"/>
      <c r="G684" s="233"/>
      <c r="H684" s="233"/>
      <c r="I684" s="235"/>
      <c r="J684" s="235"/>
      <c r="K684" s="235"/>
      <c r="L684" s="233"/>
      <c r="M684" s="233"/>
      <c r="N684" s="233"/>
      <c r="O684" s="235"/>
      <c r="P684" s="235"/>
      <c r="Q684" s="235"/>
      <c r="R684" s="235"/>
      <c r="S684" s="233"/>
      <c r="T684" s="235"/>
      <c r="U684" s="235"/>
      <c r="V684" s="233"/>
      <c r="W684" s="235"/>
      <c r="X684" s="235"/>
      <c r="Y684" s="235"/>
      <c r="Z684" s="233"/>
      <c r="AA684" s="233"/>
      <c r="AB684" s="233"/>
      <c r="AC684" s="245"/>
      <c r="AD684" s="245"/>
      <c r="AE684" s="245"/>
    </row>
    <row r="685" spans="1:31" ht="15.75" customHeight="1">
      <c r="A685" s="232"/>
      <c r="B685" s="233"/>
      <c r="C685" s="232"/>
      <c r="D685" s="233"/>
      <c r="E685" s="233"/>
      <c r="F685" s="235"/>
      <c r="G685" s="233"/>
      <c r="H685" s="233"/>
      <c r="I685" s="235"/>
      <c r="J685" s="235"/>
      <c r="K685" s="235"/>
      <c r="L685" s="233"/>
      <c r="M685" s="233"/>
      <c r="N685" s="233"/>
      <c r="O685" s="235"/>
      <c r="P685" s="235"/>
      <c r="Q685" s="235"/>
      <c r="R685" s="235"/>
      <c r="S685" s="233"/>
      <c r="T685" s="235"/>
      <c r="U685" s="235"/>
      <c r="V685" s="233"/>
      <c r="W685" s="235"/>
      <c r="X685" s="235"/>
      <c r="Y685" s="235"/>
      <c r="Z685" s="233"/>
      <c r="AA685" s="233"/>
      <c r="AB685" s="233"/>
      <c r="AC685" s="245"/>
      <c r="AD685" s="245"/>
      <c r="AE685" s="245"/>
    </row>
    <row r="686" spans="1:31" ht="15.75" customHeight="1">
      <c r="A686" s="232"/>
      <c r="B686" s="233"/>
      <c r="C686" s="232"/>
      <c r="D686" s="233"/>
      <c r="E686" s="233"/>
      <c r="F686" s="235"/>
      <c r="G686" s="233"/>
      <c r="H686" s="233"/>
      <c r="I686" s="235"/>
      <c r="J686" s="235"/>
      <c r="K686" s="235"/>
      <c r="L686" s="233"/>
      <c r="M686" s="233"/>
      <c r="N686" s="233"/>
      <c r="O686" s="235"/>
      <c r="P686" s="235"/>
      <c r="Q686" s="235"/>
      <c r="R686" s="235"/>
      <c r="S686" s="233"/>
      <c r="T686" s="235"/>
      <c r="U686" s="235"/>
      <c r="V686" s="233"/>
      <c r="W686" s="235"/>
      <c r="X686" s="235"/>
      <c r="Y686" s="235"/>
      <c r="Z686" s="233"/>
      <c r="AA686" s="233"/>
      <c r="AB686" s="233"/>
      <c r="AC686" s="245"/>
      <c r="AD686" s="245"/>
      <c r="AE686" s="245"/>
    </row>
    <row r="687" spans="1:31" ht="15.75" customHeight="1">
      <c r="A687" s="232"/>
      <c r="B687" s="233"/>
      <c r="C687" s="232"/>
      <c r="D687" s="233"/>
      <c r="E687" s="233"/>
      <c r="F687" s="235"/>
      <c r="G687" s="233"/>
      <c r="H687" s="233"/>
      <c r="I687" s="235"/>
      <c r="J687" s="235"/>
      <c r="K687" s="235"/>
      <c r="L687" s="233"/>
      <c r="M687" s="233"/>
      <c r="N687" s="233"/>
      <c r="O687" s="235"/>
      <c r="P687" s="235"/>
      <c r="Q687" s="235"/>
      <c r="R687" s="235"/>
      <c r="S687" s="233"/>
      <c r="T687" s="235"/>
      <c r="U687" s="235"/>
      <c r="V687" s="233"/>
      <c r="W687" s="235"/>
      <c r="X687" s="235"/>
      <c r="Y687" s="235"/>
      <c r="Z687" s="233"/>
      <c r="AA687" s="233"/>
      <c r="AB687" s="233"/>
      <c r="AC687" s="245"/>
      <c r="AD687" s="245"/>
      <c r="AE687" s="245"/>
    </row>
    <row r="688" spans="1:31" ht="15.75" customHeight="1">
      <c r="A688" s="232"/>
      <c r="B688" s="233"/>
      <c r="C688" s="232"/>
      <c r="D688" s="233"/>
      <c r="E688" s="233"/>
      <c r="F688" s="235"/>
      <c r="G688" s="233"/>
      <c r="H688" s="233"/>
      <c r="I688" s="235"/>
      <c r="J688" s="235"/>
      <c r="K688" s="235"/>
      <c r="L688" s="233"/>
      <c r="M688" s="233"/>
      <c r="N688" s="233"/>
      <c r="O688" s="235"/>
      <c r="P688" s="235"/>
      <c r="Q688" s="235"/>
      <c r="R688" s="235"/>
      <c r="S688" s="233"/>
      <c r="T688" s="235"/>
      <c r="U688" s="235"/>
      <c r="V688" s="233"/>
      <c r="W688" s="235"/>
      <c r="X688" s="235"/>
      <c r="Y688" s="235"/>
      <c r="Z688" s="233"/>
      <c r="AA688" s="233"/>
      <c r="AB688" s="233"/>
      <c r="AC688" s="245"/>
      <c r="AD688" s="245"/>
      <c r="AE688" s="245"/>
    </row>
    <row r="689" spans="1:31" ht="15.75" customHeight="1">
      <c r="A689" s="232"/>
      <c r="B689" s="233"/>
      <c r="C689" s="232"/>
      <c r="D689" s="233"/>
      <c r="E689" s="233"/>
      <c r="F689" s="235"/>
      <c r="G689" s="233"/>
      <c r="H689" s="233"/>
      <c r="I689" s="235"/>
      <c r="J689" s="235"/>
      <c r="K689" s="235"/>
      <c r="L689" s="233"/>
      <c r="M689" s="233"/>
      <c r="N689" s="233"/>
      <c r="O689" s="235"/>
      <c r="P689" s="235"/>
      <c r="Q689" s="235"/>
      <c r="R689" s="235"/>
      <c r="S689" s="233"/>
      <c r="T689" s="235"/>
      <c r="U689" s="235"/>
      <c r="V689" s="233"/>
      <c r="W689" s="235"/>
      <c r="X689" s="235"/>
      <c r="Y689" s="235"/>
      <c r="Z689" s="233"/>
      <c r="AA689" s="233"/>
      <c r="AB689" s="233"/>
      <c r="AC689" s="245"/>
      <c r="AD689" s="245"/>
      <c r="AE689" s="245"/>
    </row>
    <row r="690" spans="1:31" ht="15.75" customHeight="1">
      <c r="A690" s="232"/>
      <c r="B690" s="233"/>
      <c r="C690" s="232"/>
      <c r="D690" s="233"/>
      <c r="E690" s="233"/>
      <c r="F690" s="235"/>
      <c r="G690" s="233"/>
      <c r="H690" s="233"/>
      <c r="I690" s="235"/>
      <c r="J690" s="235"/>
      <c r="K690" s="235"/>
      <c r="L690" s="233"/>
      <c r="M690" s="233"/>
      <c r="N690" s="233"/>
      <c r="O690" s="235"/>
      <c r="P690" s="235"/>
      <c r="Q690" s="235"/>
      <c r="R690" s="235"/>
      <c r="S690" s="233"/>
      <c r="T690" s="235"/>
      <c r="U690" s="235"/>
      <c r="V690" s="233"/>
      <c r="W690" s="235"/>
      <c r="X690" s="235"/>
      <c r="Y690" s="235"/>
      <c r="Z690" s="233"/>
      <c r="AA690" s="233"/>
      <c r="AB690" s="233"/>
      <c r="AC690" s="245"/>
      <c r="AD690" s="245"/>
      <c r="AE690" s="245"/>
    </row>
    <row r="691" spans="1:31" ht="15.75" customHeight="1">
      <c r="A691" s="232"/>
      <c r="B691" s="233"/>
      <c r="C691" s="232"/>
      <c r="D691" s="233"/>
      <c r="E691" s="233"/>
      <c r="F691" s="235"/>
      <c r="G691" s="233"/>
      <c r="H691" s="233"/>
      <c r="I691" s="235"/>
      <c r="J691" s="235"/>
      <c r="K691" s="235"/>
      <c r="L691" s="233"/>
      <c r="M691" s="233"/>
      <c r="N691" s="233"/>
      <c r="O691" s="235"/>
      <c r="P691" s="235"/>
      <c r="Q691" s="235"/>
      <c r="R691" s="235"/>
      <c r="S691" s="233"/>
      <c r="T691" s="235"/>
      <c r="U691" s="235"/>
      <c r="V691" s="233"/>
      <c r="W691" s="235"/>
      <c r="X691" s="235"/>
      <c r="Y691" s="235"/>
      <c r="Z691" s="233"/>
      <c r="AA691" s="233"/>
      <c r="AB691" s="233"/>
      <c r="AC691" s="245"/>
      <c r="AD691" s="245"/>
      <c r="AE691" s="245"/>
    </row>
    <row r="692" spans="1:31" ht="15.75" customHeight="1">
      <c r="A692" s="232"/>
      <c r="B692" s="233"/>
      <c r="C692" s="232"/>
      <c r="D692" s="233"/>
      <c r="E692" s="233"/>
      <c r="F692" s="235"/>
      <c r="G692" s="233"/>
      <c r="H692" s="233"/>
      <c r="I692" s="235"/>
      <c r="J692" s="235"/>
      <c r="K692" s="235"/>
      <c r="L692" s="233"/>
      <c r="M692" s="233"/>
      <c r="N692" s="233"/>
      <c r="O692" s="235"/>
      <c r="P692" s="235"/>
      <c r="Q692" s="235"/>
      <c r="R692" s="235"/>
      <c r="S692" s="233"/>
      <c r="T692" s="235"/>
      <c r="U692" s="235"/>
      <c r="V692" s="233"/>
      <c r="W692" s="235"/>
      <c r="X692" s="235"/>
      <c r="Y692" s="235"/>
      <c r="Z692" s="233"/>
      <c r="AA692" s="233"/>
      <c r="AB692" s="233"/>
      <c r="AC692" s="245"/>
      <c r="AD692" s="245"/>
      <c r="AE692" s="245"/>
    </row>
    <row r="693" spans="1:31" ht="15.75" customHeight="1">
      <c r="A693" s="232"/>
      <c r="B693" s="233"/>
      <c r="C693" s="232"/>
      <c r="D693" s="233"/>
      <c r="E693" s="233"/>
      <c r="F693" s="235"/>
      <c r="G693" s="233"/>
      <c r="H693" s="233"/>
      <c r="I693" s="235"/>
      <c r="J693" s="235"/>
      <c r="K693" s="235"/>
      <c r="L693" s="233"/>
      <c r="M693" s="233"/>
      <c r="N693" s="233"/>
      <c r="O693" s="235"/>
      <c r="P693" s="235"/>
      <c r="Q693" s="235"/>
      <c r="R693" s="235"/>
      <c r="S693" s="233"/>
      <c r="T693" s="235"/>
      <c r="U693" s="235"/>
      <c r="V693" s="233"/>
      <c r="W693" s="235"/>
      <c r="X693" s="235"/>
      <c r="Y693" s="235"/>
      <c r="Z693" s="233"/>
      <c r="AA693" s="233"/>
      <c r="AB693" s="233"/>
      <c r="AC693" s="245"/>
      <c r="AD693" s="245"/>
      <c r="AE693" s="245"/>
    </row>
    <row r="694" spans="1:31" ht="15.75" customHeight="1">
      <c r="A694" s="232"/>
      <c r="B694" s="233"/>
      <c r="C694" s="232"/>
      <c r="D694" s="233"/>
      <c r="E694" s="233"/>
      <c r="F694" s="235"/>
      <c r="G694" s="233"/>
      <c r="H694" s="233"/>
      <c r="I694" s="235"/>
      <c r="J694" s="235"/>
      <c r="K694" s="235"/>
      <c r="L694" s="233"/>
      <c r="M694" s="233"/>
      <c r="N694" s="233"/>
      <c r="O694" s="235"/>
      <c r="P694" s="235"/>
      <c r="Q694" s="235"/>
      <c r="R694" s="235"/>
      <c r="S694" s="233"/>
      <c r="T694" s="235"/>
      <c r="U694" s="235"/>
      <c r="V694" s="233"/>
      <c r="W694" s="235"/>
      <c r="X694" s="235"/>
      <c r="Y694" s="235"/>
      <c r="Z694" s="233"/>
      <c r="AA694" s="233"/>
      <c r="AB694" s="233"/>
      <c r="AC694" s="245"/>
      <c r="AD694" s="245"/>
      <c r="AE694" s="245"/>
    </row>
    <row r="695" spans="1:31" ht="15.75" customHeight="1">
      <c r="A695" s="232"/>
      <c r="B695" s="233"/>
      <c r="C695" s="232"/>
      <c r="D695" s="233"/>
      <c r="E695" s="233"/>
      <c r="F695" s="235"/>
      <c r="G695" s="233"/>
      <c r="H695" s="233"/>
      <c r="I695" s="235"/>
      <c r="J695" s="235"/>
      <c r="K695" s="235"/>
      <c r="L695" s="233"/>
      <c r="M695" s="233"/>
      <c r="N695" s="233"/>
      <c r="O695" s="235"/>
      <c r="P695" s="235"/>
      <c r="Q695" s="235"/>
      <c r="R695" s="235"/>
      <c r="S695" s="233"/>
      <c r="T695" s="235"/>
      <c r="U695" s="235"/>
      <c r="V695" s="233"/>
      <c r="W695" s="235"/>
      <c r="X695" s="235"/>
      <c r="Y695" s="235"/>
      <c r="Z695" s="233"/>
      <c r="AA695" s="233"/>
      <c r="AB695" s="233"/>
      <c r="AC695" s="245"/>
      <c r="AD695" s="245"/>
      <c r="AE695" s="245"/>
    </row>
    <row r="696" spans="1:31" ht="15.75" customHeight="1">
      <c r="A696" s="232"/>
      <c r="B696" s="233"/>
      <c r="C696" s="232"/>
      <c r="D696" s="233"/>
      <c r="E696" s="233"/>
      <c r="F696" s="235"/>
      <c r="G696" s="233"/>
      <c r="H696" s="233"/>
      <c r="I696" s="235"/>
      <c r="J696" s="235"/>
      <c r="K696" s="235"/>
      <c r="L696" s="233"/>
      <c r="M696" s="233"/>
      <c r="N696" s="233"/>
      <c r="O696" s="235"/>
      <c r="P696" s="235"/>
      <c r="Q696" s="235"/>
      <c r="R696" s="235"/>
      <c r="S696" s="233"/>
      <c r="T696" s="235"/>
      <c r="U696" s="235"/>
      <c r="V696" s="233"/>
      <c r="W696" s="235"/>
      <c r="X696" s="235"/>
      <c r="Y696" s="235"/>
      <c r="Z696" s="233"/>
      <c r="AA696" s="233"/>
      <c r="AB696" s="233"/>
      <c r="AC696" s="245"/>
      <c r="AD696" s="245"/>
      <c r="AE696" s="245"/>
    </row>
    <row r="697" spans="1:31" ht="15.75" customHeight="1">
      <c r="A697" s="232"/>
      <c r="B697" s="233"/>
      <c r="C697" s="232"/>
      <c r="D697" s="233"/>
      <c r="E697" s="233"/>
      <c r="F697" s="235"/>
      <c r="G697" s="233"/>
      <c r="H697" s="233"/>
      <c r="I697" s="235"/>
      <c r="J697" s="235"/>
      <c r="K697" s="235"/>
      <c r="L697" s="233"/>
      <c r="M697" s="233"/>
      <c r="N697" s="233"/>
      <c r="O697" s="235"/>
      <c r="P697" s="235"/>
      <c r="Q697" s="235"/>
      <c r="R697" s="235"/>
      <c r="S697" s="233"/>
      <c r="T697" s="235"/>
      <c r="U697" s="235"/>
      <c r="V697" s="233"/>
      <c r="W697" s="235"/>
      <c r="X697" s="235"/>
      <c r="Y697" s="235"/>
      <c r="Z697" s="233"/>
      <c r="AA697" s="233"/>
      <c r="AB697" s="233"/>
      <c r="AC697" s="245"/>
      <c r="AD697" s="245"/>
      <c r="AE697" s="245"/>
    </row>
    <row r="698" spans="1:31" ht="15.75" customHeight="1">
      <c r="A698" s="232"/>
      <c r="B698" s="233"/>
      <c r="C698" s="232"/>
      <c r="D698" s="233"/>
      <c r="E698" s="233"/>
      <c r="F698" s="235"/>
      <c r="G698" s="233"/>
      <c r="H698" s="233"/>
      <c r="I698" s="235"/>
      <c r="J698" s="235"/>
      <c r="K698" s="235"/>
      <c r="L698" s="233"/>
      <c r="M698" s="233"/>
      <c r="N698" s="233"/>
      <c r="O698" s="235"/>
      <c r="P698" s="235"/>
      <c r="Q698" s="235"/>
      <c r="R698" s="235"/>
      <c r="S698" s="233"/>
      <c r="T698" s="235"/>
      <c r="U698" s="235"/>
      <c r="V698" s="233"/>
      <c r="W698" s="235"/>
      <c r="X698" s="235"/>
      <c r="Y698" s="235"/>
      <c r="Z698" s="233"/>
      <c r="AA698" s="233"/>
      <c r="AB698" s="233"/>
      <c r="AC698" s="245"/>
      <c r="AD698" s="245"/>
      <c r="AE698" s="245"/>
    </row>
    <row r="699" spans="1:31" ht="15.75" customHeight="1">
      <c r="A699" s="232"/>
      <c r="B699" s="233"/>
      <c r="C699" s="232"/>
      <c r="D699" s="233"/>
      <c r="E699" s="233"/>
      <c r="F699" s="235"/>
      <c r="G699" s="233"/>
      <c r="H699" s="233"/>
      <c r="I699" s="235"/>
      <c r="J699" s="235"/>
      <c r="K699" s="235"/>
      <c r="L699" s="233"/>
      <c r="M699" s="233"/>
      <c r="N699" s="233"/>
      <c r="O699" s="235"/>
      <c r="P699" s="235"/>
      <c r="Q699" s="235"/>
      <c r="R699" s="235"/>
      <c r="S699" s="233"/>
      <c r="T699" s="235"/>
      <c r="U699" s="235"/>
      <c r="V699" s="233"/>
      <c r="W699" s="235"/>
      <c r="X699" s="235"/>
      <c r="Y699" s="235"/>
      <c r="Z699" s="233"/>
      <c r="AA699" s="233"/>
      <c r="AB699" s="233"/>
      <c r="AC699" s="245"/>
      <c r="AD699" s="245"/>
      <c r="AE699" s="245"/>
    </row>
    <row r="700" spans="1:31" ht="15.75" customHeight="1">
      <c r="A700" s="232"/>
      <c r="B700" s="233"/>
      <c r="C700" s="232"/>
      <c r="D700" s="233"/>
      <c r="E700" s="233"/>
      <c r="F700" s="235"/>
      <c r="G700" s="233"/>
      <c r="H700" s="233"/>
      <c r="I700" s="235"/>
      <c r="J700" s="235"/>
      <c r="K700" s="235"/>
      <c r="L700" s="233"/>
      <c r="M700" s="233"/>
      <c r="N700" s="233"/>
      <c r="O700" s="235"/>
      <c r="P700" s="235"/>
      <c r="Q700" s="235"/>
      <c r="R700" s="235"/>
      <c r="S700" s="233"/>
      <c r="T700" s="235"/>
      <c r="U700" s="235"/>
      <c r="V700" s="233"/>
      <c r="W700" s="235"/>
      <c r="X700" s="235"/>
      <c r="Y700" s="235"/>
      <c r="Z700" s="233"/>
      <c r="AA700" s="233"/>
      <c r="AB700" s="233"/>
      <c r="AC700" s="245"/>
      <c r="AD700" s="245"/>
      <c r="AE700" s="245"/>
    </row>
    <row r="701" spans="1:31" ht="15.75" customHeight="1">
      <c r="A701" s="232"/>
      <c r="B701" s="233"/>
      <c r="C701" s="232"/>
      <c r="D701" s="233"/>
      <c r="E701" s="233"/>
      <c r="F701" s="235"/>
      <c r="G701" s="233"/>
      <c r="H701" s="233"/>
      <c r="I701" s="235"/>
      <c r="J701" s="235"/>
      <c r="K701" s="235"/>
      <c r="L701" s="233"/>
      <c r="M701" s="233"/>
      <c r="N701" s="233"/>
      <c r="O701" s="235"/>
      <c r="P701" s="235"/>
      <c r="Q701" s="235"/>
      <c r="R701" s="235"/>
      <c r="S701" s="233"/>
      <c r="T701" s="235"/>
      <c r="U701" s="235"/>
      <c r="V701" s="233"/>
      <c r="W701" s="235"/>
      <c r="X701" s="235"/>
      <c r="Y701" s="235"/>
      <c r="Z701" s="233"/>
      <c r="AA701" s="233"/>
      <c r="AB701" s="233"/>
      <c r="AC701" s="245"/>
      <c r="AD701" s="245"/>
      <c r="AE701" s="245"/>
    </row>
    <row r="702" spans="1:31" ht="15.75" customHeight="1">
      <c r="A702" s="232"/>
      <c r="B702" s="233"/>
      <c r="C702" s="232"/>
      <c r="D702" s="233"/>
      <c r="E702" s="233"/>
      <c r="F702" s="235"/>
      <c r="G702" s="233"/>
      <c r="H702" s="233"/>
      <c r="I702" s="235"/>
      <c r="J702" s="235"/>
      <c r="K702" s="235"/>
      <c r="L702" s="233"/>
      <c r="M702" s="233"/>
      <c r="N702" s="233"/>
      <c r="O702" s="235"/>
      <c r="P702" s="235"/>
      <c r="Q702" s="235"/>
      <c r="R702" s="235"/>
      <c r="S702" s="233"/>
      <c r="T702" s="235"/>
      <c r="U702" s="235"/>
      <c r="V702" s="233"/>
      <c r="W702" s="235"/>
      <c r="X702" s="235"/>
      <c r="Y702" s="235"/>
      <c r="Z702" s="233"/>
      <c r="AA702" s="233"/>
      <c r="AB702" s="233"/>
      <c r="AC702" s="245"/>
      <c r="AD702" s="245"/>
      <c r="AE702" s="245"/>
    </row>
    <row r="703" spans="1:31" ht="15.75" customHeight="1">
      <c r="A703" s="232"/>
      <c r="B703" s="233"/>
      <c r="C703" s="232"/>
      <c r="D703" s="233"/>
      <c r="E703" s="233"/>
      <c r="F703" s="235"/>
      <c r="G703" s="233"/>
      <c r="H703" s="233"/>
      <c r="I703" s="235"/>
      <c r="J703" s="235"/>
      <c r="K703" s="235"/>
      <c r="L703" s="233"/>
      <c r="M703" s="233"/>
      <c r="N703" s="233"/>
      <c r="O703" s="235"/>
      <c r="P703" s="235"/>
      <c r="Q703" s="235"/>
      <c r="R703" s="235"/>
      <c r="S703" s="233"/>
      <c r="T703" s="235"/>
      <c r="U703" s="235"/>
      <c r="V703" s="233"/>
      <c r="W703" s="235"/>
      <c r="X703" s="235"/>
      <c r="Y703" s="235"/>
      <c r="Z703" s="233"/>
      <c r="AA703" s="233"/>
      <c r="AB703" s="233"/>
      <c r="AC703" s="245"/>
      <c r="AD703" s="245"/>
      <c r="AE703" s="245"/>
    </row>
    <row r="704" spans="1:31" ht="15.75" customHeight="1">
      <c r="A704" s="232"/>
      <c r="B704" s="233"/>
      <c r="C704" s="232"/>
      <c r="D704" s="233"/>
      <c r="E704" s="233"/>
      <c r="F704" s="235"/>
      <c r="G704" s="233"/>
      <c r="H704" s="233"/>
      <c r="I704" s="235"/>
      <c r="J704" s="235"/>
      <c r="K704" s="235"/>
      <c r="L704" s="233"/>
      <c r="M704" s="233"/>
      <c r="N704" s="233"/>
      <c r="O704" s="235"/>
      <c r="P704" s="235"/>
      <c r="Q704" s="235"/>
      <c r="R704" s="235"/>
      <c r="S704" s="233"/>
      <c r="T704" s="235"/>
      <c r="U704" s="235"/>
      <c r="V704" s="233"/>
      <c r="W704" s="235"/>
      <c r="X704" s="235"/>
      <c r="Y704" s="235"/>
      <c r="Z704" s="233"/>
      <c r="AA704" s="233"/>
      <c r="AB704" s="233"/>
      <c r="AC704" s="245"/>
      <c r="AD704" s="245"/>
      <c r="AE704" s="245"/>
    </row>
    <row r="705" spans="1:31" ht="15.75" customHeight="1">
      <c r="A705" s="232"/>
      <c r="B705" s="233"/>
      <c r="C705" s="232"/>
      <c r="D705" s="233"/>
      <c r="E705" s="233"/>
      <c r="F705" s="235"/>
      <c r="G705" s="233"/>
      <c r="H705" s="233"/>
      <c r="I705" s="235"/>
      <c r="J705" s="235"/>
      <c r="K705" s="235"/>
      <c r="L705" s="233"/>
      <c r="M705" s="233"/>
      <c r="N705" s="233"/>
      <c r="O705" s="235"/>
      <c r="P705" s="235"/>
      <c r="Q705" s="235"/>
      <c r="R705" s="235"/>
      <c r="S705" s="233"/>
      <c r="T705" s="235"/>
      <c r="U705" s="235"/>
      <c r="V705" s="233"/>
      <c r="W705" s="235"/>
      <c r="X705" s="235"/>
      <c r="Y705" s="235"/>
      <c r="Z705" s="233"/>
      <c r="AA705" s="233"/>
      <c r="AB705" s="233"/>
      <c r="AC705" s="245"/>
      <c r="AD705" s="245"/>
      <c r="AE705" s="245"/>
    </row>
    <row r="706" spans="1:31" ht="15.75" customHeight="1">
      <c r="A706" s="232"/>
      <c r="B706" s="233"/>
      <c r="C706" s="232"/>
      <c r="D706" s="233"/>
      <c r="E706" s="233"/>
      <c r="F706" s="235"/>
      <c r="G706" s="233"/>
      <c r="H706" s="233"/>
      <c r="I706" s="235"/>
      <c r="J706" s="235"/>
      <c r="K706" s="235"/>
      <c r="L706" s="233"/>
      <c r="M706" s="233"/>
      <c r="N706" s="233"/>
      <c r="O706" s="235"/>
      <c r="P706" s="235"/>
      <c r="Q706" s="235"/>
      <c r="R706" s="235"/>
      <c r="S706" s="233"/>
      <c r="T706" s="235"/>
      <c r="U706" s="235"/>
      <c r="V706" s="233"/>
      <c r="W706" s="235"/>
      <c r="X706" s="235"/>
      <c r="Y706" s="235"/>
      <c r="Z706" s="233"/>
      <c r="AA706" s="233"/>
      <c r="AB706" s="233"/>
      <c r="AC706" s="245"/>
      <c r="AD706" s="245"/>
      <c r="AE706" s="245"/>
    </row>
    <row r="707" spans="1:31" ht="15.75" customHeight="1">
      <c r="A707" s="232"/>
      <c r="B707" s="233"/>
      <c r="C707" s="232"/>
      <c r="D707" s="233"/>
      <c r="E707" s="233"/>
      <c r="F707" s="235"/>
      <c r="G707" s="233"/>
      <c r="H707" s="233"/>
      <c r="I707" s="235"/>
      <c r="J707" s="235"/>
      <c r="K707" s="235"/>
      <c r="L707" s="233"/>
      <c r="M707" s="233"/>
      <c r="N707" s="233"/>
      <c r="O707" s="235"/>
      <c r="P707" s="235"/>
      <c r="Q707" s="235"/>
      <c r="R707" s="235"/>
      <c r="S707" s="233"/>
      <c r="T707" s="235"/>
      <c r="U707" s="235"/>
      <c r="V707" s="233"/>
      <c r="W707" s="235"/>
      <c r="X707" s="235"/>
      <c r="Y707" s="235"/>
      <c r="Z707" s="233"/>
      <c r="AA707" s="233"/>
      <c r="AB707" s="233"/>
      <c r="AC707" s="245"/>
      <c r="AD707" s="245"/>
      <c r="AE707" s="245"/>
    </row>
    <row r="708" spans="1:31" ht="15.75" customHeight="1">
      <c r="A708" s="232"/>
      <c r="B708" s="233"/>
      <c r="C708" s="232"/>
      <c r="D708" s="233"/>
      <c r="E708" s="233"/>
      <c r="F708" s="235"/>
      <c r="G708" s="233"/>
      <c r="H708" s="233"/>
      <c r="I708" s="235"/>
      <c r="J708" s="235"/>
      <c r="K708" s="235"/>
      <c r="L708" s="233"/>
      <c r="M708" s="233"/>
      <c r="N708" s="233"/>
      <c r="O708" s="235"/>
      <c r="P708" s="235"/>
      <c r="Q708" s="235"/>
      <c r="R708" s="235"/>
      <c r="S708" s="233"/>
      <c r="T708" s="235"/>
      <c r="U708" s="235"/>
      <c r="V708" s="233"/>
      <c r="W708" s="235"/>
      <c r="X708" s="235"/>
      <c r="Y708" s="235"/>
      <c r="Z708" s="233"/>
      <c r="AA708" s="233"/>
      <c r="AB708" s="233"/>
      <c r="AC708" s="245"/>
      <c r="AD708" s="245"/>
      <c r="AE708" s="245"/>
    </row>
    <row r="709" spans="1:31" ht="15.75" customHeight="1">
      <c r="A709" s="232"/>
      <c r="B709" s="233"/>
      <c r="C709" s="232"/>
      <c r="D709" s="233"/>
      <c r="E709" s="233"/>
      <c r="F709" s="235"/>
      <c r="G709" s="233"/>
      <c r="H709" s="233"/>
      <c r="I709" s="235"/>
      <c r="J709" s="235"/>
      <c r="K709" s="235"/>
      <c r="L709" s="233"/>
      <c r="M709" s="233"/>
      <c r="N709" s="233"/>
      <c r="O709" s="235"/>
      <c r="P709" s="235"/>
      <c r="Q709" s="235"/>
      <c r="R709" s="235"/>
      <c r="S709" s="233"/>
      <c r="T709" s="235"/>
      <c r="U709" s="235"/>
      <c r="V709" s="233"/>
      <c r="W709" s="235"/>
      <c r="X709" s="235"/>
      <c r="Y709" s="235"/>
      <c r="Z709" s="233"/>
      <c r="AA709" s="233"/>
      <c r="AB709" s="233"/>
      <c r="AC709" s="245"/>
      <c r="AD709" s="245"/>
      <c r="AE709" s="245"/>
    </row>
    <row r="710" spans="1:31" ht="15.75" customHeight="1">
      <c r="A710" s="232"/>
      <c r="B710" s="233"/>
      <c r="C710" s="232"/>
      <c r="D710" s="233"/>
      <c r="E710" s="233"/>
      <c r="F710" s="235"/>
      <c r="G710" s="233"/>
      <c r="H710" s="233"/>
      <c r="I710" s="235"/>
      <c r="J710" s="235"/>
      <c r="K710" s="235"/>
      <c r="L710" s="233"/>
      <c r="M710" s="233"/>
      <c r="N710" s="233"/>
      <c r="O710" s="235"/>
      <c r="P710" s="235"/>
      <c r="Q710" s="235"/>
      <c r="R710" s="235"/>
      <c r="S710" s="233"/>
      <c r="T710" s="235"/>
      <c r="U710" s="235"/>
      <c r="V710" s="233"/>
      <c r="W710" s="235"/>
      <c r="X710" s="235"/>
      <c r="Y710" s="235"/>
      <c r="Z710" s="233"/>
      <c r="AA710" s="233"/>
      <c r="AB710" s="233"/>
      <c r="AC710" s="245"/>
      <c r="AD710" s="245"/>
      <c r="AE710" s="245"/>
    </row>
    <row r="711" spans="1:31" ht="15.75" customHeight="1">
      <c r="A711" s="232"/>
      <c r="B711" s="233"/>
      <c r="C711" s="232"/>
      <c r="D711" s="233"/>
      <c r="E711" s="233"/>
      <c r="F711" s="235"/>
      <c r="G711" s="233"/>
      <c r="H711" s="233"/>
      <c r="I711" s="235"/>
      <c r="J711" s="235"/>
      <c r="K711" s="235"/>
      <c r="L711" s="233"/>
      <c r="M711" s="233"/>
      <c r="N711" s="233"/>
      <c r="O711" s="235"/>
      <c r="P711" s="235"/>
      <c r="Q711" s="235"/>
      <c r="R711" s="235"/>
      <c r="S711" s="233"/>
      <c r="T711" s="235"/>
      <c r="U711" s="235"/>
      <c r="V711" s="233"/>
      <c r="W711" s="235"/>
      <c r="X711" s="235"/>
      <c r="Y711" s="235"/>
      <c r="Z711" s="233"/>
      <c r="AA711" s="233"/>
      <c r="AB711" s="233"/>
      <c r="AC711" s="245"/>
      <c r="AD711" s="245"/>
      <c r="AE711" s="245"/>
    </row>
    <row r="712" spans="1:31" ht="15.75" customHeight="1">
      <c r="A712" s="232"/>
      <c r="B712" s="233"/>
      <c r="C712" s="232"/>
      <c r="D712" s="233"/>
      <c r="E712" s="233"/>
      <c r="F712" s="235"/>
      <c r="G712" s="233"/>
      <c r="H712" s="233"/>
      <c r="I712" s="235"/>
      <c r="J712" s="235"/>
      <c r="K712" s="235"/>
      <c r="L712" s="233"/>
      <c r="M712" s="233"/>
      <c r="N712" s="233"/>
      <c r="O712" s="235"/>
      <c r="P712" s="235"/>
      <c r="Q712" s="235"/>
      <c r="R712" s="235"/>
      <c r="S712" s="233"/>
      <c r="T712" s="235"/>
      <c r="U712" s="235"/>
      <c r="V712" s="233"/>
      <c r="W712" s="235"/>
      <c r="X712" s="235"/>
      <c r="Y712" s="235"/>
      <c r="Z712" s="233"/>
      <c r="AA712" s="233"/>
      <c r="AB712" s="233"/>
      <c r="AC712" s="245"/>
      <c r="AD712" s="245"/>
      <c r="AE712" s="245"/>
    </row>
    <row r="713" spans="1:31" ht="15.75" customHeight="1">
      <c r="A713" s="232"/>
      <c r="B713" s="233"/>
      <c r="C713" s="232"/>
      <c r="D713" s="233"/>
      <c r="E713" s="233"/>
      <c r="F713" s="235"/>
      <c r="G713" s="233"/>
      <c r="H713" s="233"/>
      <c r="I713" s="235"/>
      <c r="J713" s="235"/>
      <c r="K713" s="235"/>
      <c r="L713" s="233"/>
      <c r="M713" s="233"/>
      <c r="N713" s="233"/>
      <c r="O713" s="235"/>
      <c r="P713" s="235"/>
      <c r="Q713" s="235"/>
      <c r="R713" s="235"/>
      <c r="S713" s="233"/>
      <c r="T713" s="235"/>
      <c r="U713" s="235"/>
      <c r="V713" s="233"/>
      <c r="W713" s="235"/>
      <c r="X713" s="235"/>
      <c r="Y713" s="235"/>
      <c r="Z713" s="233"/>
      <c r="AA713" s="233"/>
      <c r="AB713" s="233"/>
      <c r="AC713" s="245"/>
      <c r="AD713" s="245"/>
      <c r="AE713" s="245"/>
    </row>
    <row r="714" spans="1:31" ht="15.75" customHeight="1">
      <c r="A714" s="232"/>
      <c r="B714" s="233"/>
      <c r="C714" s="232"/>
      <c r="D714" s="233"/>
      <c r="E714" s="233"/>
      <c r="F714" s="235"/>
      <c r="G714" s="233"/>
      <c r="H714" s="233"/>
      <c r="I714" s="235"/>
      <c r="J714" s="235"/>
      <c r="K714" s="235"/>
      <c r="L714" s="233"/>
      <c r="M714" s="233"/>
      <c r="N714" s="233"/>
      <c r="O714" s="235"/>
      <c r="P714" s="235"/>
      <c r="Q714" s="235"/>
      <c r="R714" s="235"/>
      <c r="S714" s="233"/>
      <c r="T714" s="235"/>
      <c r="U714" s="235"/>
      <c r="V714" s="233"/>
      <c r="W714" s="235"/>
      <c r="X714" s="235"/>
      <c r="Y714" s="235"/>
      <c r="Z714" s="233"/>
      <c r="AA714" s="233"/>
      <c r="AB714" s="233"/>
      <c r="AC714" s="245"/>
      <c r="AD714" s="245"/>
      <c r="AE714" s="245"/>
    </row>
    <row r="715" spans="1:31" ht="15.75" customHeight="1">
      <c r="A715" s="232"/>
      <c r="B715" s="233"/>
      <c r="C715" s="232"/>
      <c r="D715" s="233"/>
      <c r="E715" s="233"/>
      <c r="F715" s="235"/>
      <c r="G715" s="233"/>
      <c r="H715" s="233"/>
      <c r="I715" s="235"/>
      <c r="J715" s="235"/>
      <c r="K715" s="235"/>
      <c r="L715" s="233"/>
      <c r="M715" s="233"/>
      <c r="N715" s="233"/>
      <c r="O715" s="235"/>
      <c r="P715" s="235"/>
      <c r="Q715" s="235"/>
      <c r="R715" s="235"/>
      <c r="S715" s="233"/>
      <c r="T715" s="235"/>
      <c r="U715" s="235"/>
      <c r="V715" s="233"/>
      <c r="W715" s="235"/>
      <c r="X715" s="235"/>
      <c r="Y715" s="235"/>
      <c r="Z715" s="233"/>
      <c r="AA715" s="233"/>
      <c r="AB715" s="233"/>
      <c r="AC715" s="245"/>
      <c r="AD715" s="245"/>
      <c r="AE715" s="245"/>
    </row>
    <row r="716" spans="1:31" ht="15.75" customHeight="1">
      <c r="A716" s="232"/>
      <c r="B716" s="233"/>
      <c r="C716" s="232"/>
      <c r="D716" s="233"/>
      <c r="E716" s="233"/>
      <c r="F716" s="235"/>
      <c r="G716" s="233"/>
      <c r="H716" s="233"/>
      <c r="I716" s="235"/>
      <c r="J716" s="235"/>
      <c r="K716" s="235"/>
      <c r="L716" s="233"/>
      <c r="M716" s="233"/>
      <c r="N716" s="233"/>
      <c r="O716" s="235"/>
      <c r="P716" s="235"/>
      <c r="Q716" s="235"/>
      <c r="R716" s="235"/>
      <c r="S716" s="233"/>
      <c r="T716" s="235"/>
      <c r="U716" s="235"/>
      <c r="V716" s="233"/>
      <c r="W716" s="235"/>
      <c r="X716" s="235"/>
      <c r="Y716" s="235"/>
      <c r="Z716" s="233"/>
      <c r="AA716" s="233"/>
      <c r="AB716" s="233"/>
      <c r="AC716" s="245"/>
      <c r="AD716" s="245"/>
      <c r="AE716" s="245"/>
    </row>
    <row r="717" spans="1:31" ht="15.75" customHeight="1">
      <c r="A717" s="232"/>
      <c r="B717" s="233"/>
      <c r="C717" s="232"/>
      <c r="D717" s="233"/>
      <c r="E717" s="233"/>
      <c r="F717" s="235"/>
      <c r="G717" s="233"/>
      <c r="H717" s="233"/>
      <c r="I717" s="235"/>
      <c r="J717" s="235"/>
      <c r="K717" s="235"/>
      <c r="L717" s="233"/>
      <c r="M717" s="233"/>
      <c r="N717" s="233"/>
      <c r="O717" s="235"/>
      <c r="P717" s="235"/>
      <c r="Q717" s="235"/>
      <c r="R717" s="235"/>
      <c r="S717" s="233"/>
      <c r="T717" s="235"/>
      <c r="U717" s="235"/>
      <c r="V717" s="233"/>
      <c r="W717" s="235"/>
      <c r="X717" s="235"/>
      <c r="Y717" s="235"/>
      <c r="Z717" s="233"/>
      <c r="AA717" s="233"/>
      <c r="AB717" s="233"/>
      <c r="AC717" s="245"/>
      <c r="AD717" s="245"/>
      <c r="AE717" s="245"/>
    </row>
    <row r="718" spans="1:31" ht="15.75" customHeight="1">
      <c r="A718" s="232"/>
      <c r="B718" s="233"/>
      <c r="C718" s="232"/>
      <c r="D718" s="233"/>
      <c r="E718" s="233"/>
      <c r="F718" s="235"/>
      <c r="G718" s="233"/>
      <c r="H718" s="233"/>
      <c r="I718" s="235"/>
      <c r="J718" s="235"/>
      <c r="K718" s="235"/>
      <c r="L718" s="233"/>
      <c r="M718" s="233"/>
      <c r="N718" s="233"/>
      <c r="O718" s="235"/>
      <c r="P718" s="235"/>
      <c r="Q718" s="235"/>
      <c r="R718" s="235"/>
      <c r="S718" s="233"/>
      <c r="T718" s="235"/>
      <c r="U718" s="235"/>
      <c r="V718" s="233"/>
      <c r="W718" s="235"/>
      <c r="X718" s="235"/>
      <c r="Y718" s="235"/>
      <c r="Z718" s="233"/>
      <c r="AA718" s="233"/>
      <c r="AB718" s="233"/>
      <c r="AC718" s="245"/>
      <c r="AD718" s="245"/>
      <c r="AE718" s="245"/>
    </row>
    <row r="719" spans="1:31" ht="15.75" customHeight="1">
      <c r="A719" s="232"/>
      <c r="B719" s="233"/>
      <c r="C719" s="232"/>
      <c r="D719" s="233"/>
      <c r="E719" s="233"/>
      <c r="F719" s="235"/>
      <c r="G719" s="233"/>
      <c r="H719" s="233"/>
      <c r="I719" s="235"/>
      <c r="J719" s="235"/>
      <c r="K719" s="235"/>
      <c r="L719" s="233"/>
      <c r="M719" s="233"/>
      <c r="N719" s="233"/>
      <c r="O719" s="235"/>
      <c r="P719" s="235"/>
      <c r="Q719" s="235"/>
      <c r="R719" s="235"/>
      <c r="S719" s="233"/>
      <c r="T719" s="235"/>
      <c r="U719" s="235"/>
      <c r="V719" s="233"/>
      <c r="W719" s="235"/>
      <c r="X719" s="235"/>
      <c r="Y719" s="235"/>
      <c r="Z719" s="233"/>
      <c r="AA719" s="233"/>
      <c r="AB719" s="233"/>
      <c r="AC719" s="245"/>
      <c r="AD719" s="245"/>
      <c r="AE719" s="245"/>
    </row>
    <row r="720" spans="1:31" ht="15.75" customHeight="1">
      <c r="A720" s="232"/>
      <c r="B720" s="233"/>
      <c r="C720" s="232"/>
      <c r="D720" s="233"/>
      <c r="E720" s="233"/>
      <c r="F720" s="235"/>
      <c r="G720" s="233"/>
      <c r="H720" s="233"/>
      <c r="I720" s="235"/>
      <c r="J720" s="235"/>
      <c r="K720" s="235"/>
      <c r="L720" s="233"/>
      <c r="M720" s="233"/>
      <c r="N720" s="233"/>
      <c r="O720" s="235"/>
      <c r="P720" s="235"/>
      <c r="Q720" s="235"/>
      <c r="R720" s="235"/>
      <c r="S720" s="233"/>
      <c r="T720" s="235"/>
      <c r="U720" s="235"/>
      <c r="V720" s="233"/>
      <c r="W720" s="235"/>
      <c r="X720" s="235"/>
      <c r="Y720" s="235"/>
      <c r="Z720" s="233"/>
      <c r="AA720" s="233"/>
      <c r="AB720" s="233"/>
      <c r="AC720" s="245"/>
      <c r="AD720" s="245"/>
      <c r="AE720" s="245"/>
    </row>
    <row r="721" spans="1:31" ht="15.75" customHeight="1">
      <c r="A721" s="232"/>
      <c r="B721" s="233"/>
      <c r="C721" s="232"/>
      <c r="D721" s="233"/>
      <c r="E721" s="233"/>
      <c r="F721" s="235"/>
      <c r="G721" s="233"/>
      <c r="H721" s="233"/>
      <c r="I721" s="235"/>
      <c r="J721" s="235"/>
      <c r="K721" s="235"/>
      <c r="L721" s="233"/>
      <c r="M721" s="233"/>
      <c r="N721" s="233"/>
      <c r="O721" s="235"/>
      <c r="P721" s="235"/>
      <c r="Q721" s="235"/>
      <c r="R721" s="235"/>
      <c r="S721" s="233"/>
      <c r="T721" s="235"/>
      <c r="U721" s="235"/>
      <c r="V721" s="233"/>
      <c r="W721" s="235"/>
      <c r="X721" s="235"/>
      <c r="Y721" s="235"/>
      <c r="Z721" s="233"/>
      <c r="AA721" s="233"/>
      <c r="AB721" s="233"/>
      <c r="AC721" s="245"/>
      <c r="AD721" s="245"/>
      <c r="AE721" s="245"/>
    </row>
    <row r="722" spans="1:31" ht="15.75" customHeight="1">
      <c r="A722" s="232"/>
      <c r="B722" s="233"/>
      <c r="C722" s="232"/>
      <c r="D722" s="233"/>
      <c r="E722" s="233"/>
      <c r="F722" s="235"/>
      <c r="G722" s="233"/>
      <c r="H722" s="233"/>
      <c r="I722" s="235"/>
      <c r="J722" s="235"/>
      <c r="K722" s="235"/>
      <c r="L722" s="233"/>
      <c r="M722" s="233"/>
      <c r="N722" s="233"/>
      <c r="O722" s="235"/>
      <c r="P722" s="235"/>
      <c r="Q722" s="235"/>
      <c r="R722" s="235"/>
      <c r="S722" s="233"/>
      <c r="T722" s="235"/>
      <c r="U722" s="235"/>
      <c r="V722" s="233"/>
      <c r="W722" s="235"/>
      <c r="X722" s="235"/>
      <c r="Y722" s="235"/>
      <c r="Z722" s="233"/>
      <c r="AA722" s="233"/>
      <c r="AB722" s="233"/>
      <c r="AC722" s="245"/>
      <c r="AD722" s="245"/>
      <c r="AE722" s="245"/>
    </row>
    <row r="723" spans="1:31" ht="15.75" customHeight="1">
      <c r="A723" s="232"/>
      <c r="B723" s="233"/>
      <c r="C723" s="232"/>
      <c r="D723" s="233"/>
      <c r="E723" s="233"/>
      <c r="F723" s="235"/>
      <c r="G723" s="233"/>
      <c r="H723" s="233"/>
      <c r="I723" s="235"/>
      <c r="J723" s="235"/>
      <c r="K723" s="235"/>
      <c r="L723" s="233"/>
      <c r="M723" s="233"/>
      <c r="N723" s="233"/>
      <c r="O723" s="235"/>
      <c r="P723" s="235"/>
      <c r="Q723" s="235"/>
      <c r="R723" s="235"/>
      <c r="S723" s="233"/>
      <c r="T723" s="235"/>
      <c r="U723" s="235"/>
      <c r="V723" s="233"/>
      <c r="W723" s="235"/>
      <c r="X723" s="235"/>
      <c r="Y723" s="235"/>
      <c r="Z723" s="233"/>
      <c r="AA723" s="233"/>
      <c r="AB723" s="233"/>
      <c r="AC723" s="245"/>
      <c r="AD723" s="245"/>
      <c r="AE723" s="245"/>
    </row>
    <row r="724" spans="1:31" ht="15.75" customHeight="1">
      <c r="A724" s="232"/>
      <c r="B724" s="233"/>
      <c r="C724" s="232"/>
      <c r="D724" s="233"/>
      <c r="E724" s="233"/>
      <c r="F724" s="235"/>
      <c r="G724" s="233"/>
      <c r="H724" s="233"/>
      <c r="I724" s="235"/>
      <c r="J724" s="235"/>
      <c r="K724" s="235"/>
      <c r="L724" s="233"/>
      <c r="M724" s="233"/>
      <c r="N724" s="233"/>
      <c r="O724" s="235"/>
      <c r="P724" s="235"/>
      <c r="Q724" s="235"/>
      <c r="R724" s="235"/>
      <c r="S724" s="233"/>
      <c r="T724" s="235"/>
      <c r="U724" s="235"/>
      <c r="V724" s="233"/>
      <c r="W724" s="235"/>
      <c r="X724" s="235"/>
      <c r="Y724" s="235"/>
      <c r="Z724" s="233"/>
      <c r="AA724" s="233"/>
      <c r="AB724" s="233"/>
      <c r="AC724" s="245"/>
      <c r="AD724" s="245"/>
      <c r="AE724" s="245"/>
    </row>
    <row r="725" spans="1:31" ht="15.75" customHeight="1">
      <c r="A725" s="232"/>
      <c r="B725" s="233"/>
      <c r="C725" s="232"/>
      <c r="D725" s="233"/>
      <c r="E725" s="233"/>
      <c r="F725" s="235"/>
      <c r="G725" s="233"/>
      <c r="H725" s="233"/>
      <c r="I725" s="235"/>
      <c r="J725" s="235"/>
      <c r="K725" s="235"/>
      <c r="L725" s="233"/>
      <c r="M725" s="233"/>
      <c r="N725" s="233"/>
      <c r="O725" s="235"/>
      <c r="P725" s="235"/>
      <c r="Q725" s="235"/>
      <c r="R725" s="235"/>
      <c r="S725" s="233"/>
      <c r="T725" s="235"/>
      <c r="U725" s="235"/>
      <c r="V725" s="233"/>
      <c r="W725" s="235"/>
      <c r="X725" s="235"/>
      <c r="Y725" s="235"/>
      <c r="Z725" s="233"/>
      <c r="AA725" s="233"/>
      <c r="AB725" s="233"/>
      <c r="AC725" s="245"/>
      <c r="AD725" s="245"/>
      <c r="AE725" s="245"/>
    </row>
    <row r="726" spans="1:31" ht="15.75" customHeight="1">
      <c r="A726" s="232"/>
      <c r="B726" s="233"/>
      <c r="C726" s="232"/>
      <c r="D726" s="233"/>
      <c r="E726" s="233"/>
      <c r="F726" s="235"/>
      <c r="G726" s="233"/>
      <c r="H726" s="233"/>
      <c r="I726" s="235"/>
      <c r="J726" s="235"/>
      <c r="K726" s="235"/>
      <c r="L726" s="233"/>
      <c r="M726" s="233"/>
      <c r="N726" s="233"/>
      <c r="O726" s="235"/>
      <c r="P726" s="235"/>
      <c r="Q726" s="235"/>
      <c r="R726" s="235"/>
      <c r="S726" s="233"/>
      <c r="T726" s="235"/>
      <c r="U726" s="235"/>
      <c r="V726" s="233"/>
      <c r="W726" s="235"/>
      <c r="X726" s="235"/>
      <c r="Y726" s="235"/>
      <c r="Z726" s="233"/>
      <c r="AA726" s="233"/>
      <c r="AB726" s="233"/>
      <c r="AC726" s="245"/>
      <c r="AD726" s="245"/>
      <c r="AE726" s="245"/>
    </row>
    <row r="727" spans="1:31" ht="15.75" customHeight="1">
      <c r="A727" s="232"/>
      <c r="B727" s="233"/>
      <c r="C727" s="232"/>
      <c r="D727" s="233"/>
      <c r="E727" s="233"/>
      <c r="F727" s="235"/>
      <c r="G727" s="233"/>
      <c r="H727" s="233"/>
      <c r="I727" s="235"/>
      <c r="J727" s="235"/>
      <c r="K727" s="235"/>
      <c r="L727" s="233"/>
      <c r="M727" s="233"/>
      <c r="N727" s="233"/>
      <c r="O727" s="235"/>
      <c r="P727" s="235"/>
      <c r="Q727" s="235"/>
      <c r="R727" s="235"/>
      <c r="S727" s="233"/>
      <c r="T727" s="235"/>
      <c r="U727" s="235"/>
      <c r="V727" s="233"/>
      <c r="W727" s="235"/>
      <c r="X727" s="235"/>
      <c r="Y727" s="235"/>
      <c r="Z727" s="233"/>
      <c r="AA727" s="233"/>
      <c r="AB727" s="233"/>
      <c r="AC727" s="245"/>
      <c r="AD727" s="245"/>
      <c r="AE727" s="245"/>
    </row>
    <row r="728" spans="1:31" ht="15.75" customHeight="1">
      <c r="A728" s="232"/>
      <c r="B728" s="233"/>
      <c r="C728" s="232"/>
      <c r="D728" s="233"/>
      <c r="E728" s="233"/>
      <c r="F728" s="235"/>
      <c r="G728" s="233"/>
      <c r="H728" s="233"/>
      <c r="I728" s="235"/>
      <c r="J728" s="235"/>
      <c r="K728" s="235"/>
      <c r="L728" s="233"/>
      <c r="M728" s="233"/>
      <c r="N728" s="233"/>
      <c r="O728" s="235"/>
      <c r="P728" s="235"/>
      <c r="Q728" s="235"/>
      <c r="R728" s="235"/>
      <c r="S728" s="233"/>
      <c r="T728" s="235"/>
      <c r="U728" s="235"/>
      <c r="V728" s="233"/>
      <c r="W728" s="235"/>
      <c r="X728" s="235"/>
      <c r="Y728" s="235"/>
      <c r="Z728" s="233"/>
      <c r="AA728" s="233"/>
      <c r="AB728" s="233"/>
      <c r="AC728" s="245"/>
      <c r="AD728" s="245"/>
      <c r="AE728" s="245"/>
    </row>
    <row r="729" spans="1:31" ht="15.75" customHeight="1">
      <c r="A729" s="232"/>
      <c r="B729" s="233"/>
      <c r="C729" s="232"/>
      <c r="D729" s="233"/>
      <c r="E729" s="233"/>
      <c r="F729" s="235"/>
      <c r="G729" s="233"/>
      <c r="H729" s="233"/>
      <c r="I729" s="235"/>
      <c r="J729" s="235"/>
      <c r="K729" s="235"/>
      <c r="L729" s="233"/>
      <c r="M729" s="233"/>
      <c r="N729" s="233"/>
      <c r="O729" s="235"/>
      <c r="P729" s="235"/>
      <c r="Q729" s="235"/>
      <c r="R729" s="235"/>
      <c r="S729" s="233"/>
      <c r="T729" s="235"/>
      <c r="U729" s="235"/>
      <c r="V729" s="233"/>
      <c r="W729" s="235"/>
      <c r="X729" s="235"/>
      <c r="Y729" s="235"/>
      <c r="Z729" s="233"/>
      <c r="AA729" s="233"/>
      <c r="AB729" s="233"/>
      <c r="AC729" s="245"/>
      <c r="AD729" s="245"/>
      <c r="AE729" s="245"/>
    </row>
    <row r="730" spans="1:31" ht="15.75" customHeight="1">
      <c r="A730" s="232"/>
      <c r="B730" s="233"/>
      <c r="C730" s="232"/>
      <c r="D730" s="233"/>
      <c r="E730" s="233"/>
      <c r="F730" s="235"/>
      <c r="G730" s="233"/>
      <c r="H730" s="233"/>
      <c r="I730" s="235"/>
      <c r="J730" s="235"/>
      <c r="K730" s="235"/>
      <c r="L730" s="233"/>
      <c r="M730" s="233"/>
      <c r="N730" s="233"/>
      <c r="O730" s="235"/>
      <c r="P730" s="235"/>
      <c r="Q730" s="235"/>
      <c r="R730" s="235"/>
      <c r="S730" s="233"/>
      <c r="T730" s="235"/>
      <c r="U730" s="235"/>
      <c r="V730" s="233"/>
      <c r="W730" s="235"/>
      <c r="X730" s="235"/>
      <c r="Y730" s="235"/>
      <c r="Z730" s="233"/>
      <c r="AA730" s="233"/>
      <c r="AB730" s="233"/>
      <c r="AC730" s="245"/>
      <c r="AD730" s="245"/>
      <c r="AE730" s="245"/>
    </row>
    <row r="731" spans="1:31" ht="15.75" customHeight="1">
      <c r="A731" s="232"/>
      <c r="B731" s="233"/>
      <c r="C731" s="232"/>
      <c r="D731" s="233"/>
      <c r="E731" s="233"/>
      <c r="F731" s="235"/>
      <c r="G731" s="233"/>
      <c r="H731" s="233"/>
      <c r="I731" s="235"/>
      <c r="J731" s="235"/>
      <c r="K731" s="235"/>
      <c r="L731" s="233"/>
      <c r="M731" s="233"/>
      <c r="N731" s="233"/>
      <c r="O731" s="235"/>
      <c r="P731" s="235"/>
      <c r="Q731" s="235"/>
      <c r="R731" s="235"/>
      <c r="S731" s="233"/>
      <c r="T731" s="235"/>
      <c r="U731" s="235"/>
      <c r="V731" s="233"/>
      <c r="W731" s="235"/>
      <c r="X731" s="235"/>
      <c r="Y731" s="235"/>
      <c r="Z731" s="233"/>
      <c r="AA731" s="233"/>
      <c r="AB731" s="233"/>
      <c r="AC731" s="245"/>
      <c r="AD731" s="245"/>
      <c r="AE731" s="245"/>
    </row>
    <row r="732" spans="1:31" ht="15.75" customHeight="1">
      <c r="A732" s="232"/>
      <c r="B732" s="233"/>
      <c r="C732" s="232"/>
      <c r="D732" s="233"/>
      <c r="E732" s="233"/>
      <c r="F732" s="235"/>
      <c r="G732" s="233"/>
      <c r="H732" s="233"/>
      <c r="I732" s="235"/>
      <c r="J732" s="235"/>
      <c r="K732" s="235"/>
      <c r="L732" s="233"/>
      <c r="M732" s="233"/>
      <c r="N732" s="233"/>
      <c r="O732" s="235"/>
      <c r="P732" s="235"/>
      <c r="Q732" s="235"/>
      <c r="R732" s="235"/>
      <c r="S732" s="233"/>
      <c r="T732" s="235"/>
      <c r="U732" s="235"/>
      <c r="V732" s="233"/>
      <c r="W732" s="235"/>
      <c r="X732" s="235"/>
      <c r="Y732" s="235"/>
      <c r="Z732" s="233"/>
      <c r="AA732" s="233"/>
      <c r="AB732" s="233"/>
      <c r="AC732" s="245"/>
      <c r="AD732" s="245"/>
      <c r="AE732" s="245"/>
    </row>
    <row r="733" spans="1:31" ht="15.75" customHeight="1">
      <c r="A733" s="232"/>
      <c r="B733" s="233"/>
      <c r="C733" s="232"/>
      <c r="D733" s="233"/>
      <c r="E733" s="233"/>
      <c r="F733" s="235"/>
      <c r="G733" s="233"/>
      <c r="H733" s="233"/>
      <c r="I733" s="235"/>
      <c r="J733" s="235"/>
      <c r="K733" s="235"/>
      <c r="L733" s="233"/>
      <c r="M733" s="233"/>
      <c r="N733" s="233"/>
      <c r="O733" s="235"/>
      <c r="P733" s="235"/>
      <c r="Q733" s="235"/>
      <c r="R733" s="235"/>
      <c r="S733" s="233"/>
      <c r="T733" s="235"/>
      <c r="U733" s="235"/>
      <c r="V733" s="233"/>
      <c r="W733" s="235"/>
      <c r="X733" s="235"/>
      <c r="Y733" s="235"/>
      <c r="Z733" s="233"/>
      <c r="AA733" s="233"/>
      <c r="AB733" s="233"/>
      <c r="AC733" s="245"/>
      <c r="AD733" s="245"/>
      <c r="AE733" s="245"/>
    </row>
    <row r="734" spans="1:31" ht="15.75" customHeight="1">
      <c r="A734" s="232"/>
      <c r="B734" s="233"/>
      <c r="C734" s="232"/>
      <c r="D734" s="233"/>
      <c r="E734" s="233"/>
      <c r="F734" s="235"/>
      <c r="G734" s="233"/>
      <c r="H734" s="233"/>
      <c r="I734" s="235"/>
      <c r="J734" s="235"/>
      <c r="K734" s="235"/>
      <c r="L734" s="233"/>
      <c r="M734" s="233"/>
      <c r="N734" s="233"/>
      <c r="O734" s="235"/>
      <c r="P734" s="235"/>
      <c r="Q734" s="235"/>
      <c r="R734" s="235"/>
      <c r="S734" s="233"/>
      <c r="T734" s="235"/>
      <c r="U734" s="235"/>
      <c r="V734" s="233"/>
      <c r="W734" s="235"/>
      <c r="X734" s="235"/>
      <c r="Y734" s="235"/>
      <c r="Z734" s="233"/>
      <c r="AA734" s="233"/>
      <c r="AB734" s="233"/>
      <c r="AC734" s="245"/>
      <c r="AD734" s="245"/>
      <c r="AE734" s="245"/>
    </row>
    <row r="735" spans="1:31" ht="15.75" customHeight="1">
      <c r="A735" s="232"/>
      <c r="B735" s="233"/>
      <c r="C735" s="232"/>
      <c r="D735" s="233"/>
      <c r="E735" s="233"/>
      <c r="F735" s="235"/>
      <c r="G735" s="233"/>
      <c r="H735" s="233"/>
      <c r="I735" s="235"/>
      <c r="J735" s="235"/>
      <c r="K735" s="235"/>
      <c r="L735" s="233"/>
      <c r="M735" s="233"/>
      <c r="N735" s="233"/>
      <c r="O735" s="235"/>
      <c r="P735" s="235"/>
      <c r="Q735" s="235"/>
      <c r="R735" s="235"/>
      <c r="S735" s="233"/>
      <c r="T735" s="235"/>
      <c r="U735" s="235"/>
      <c r="V735" s="233"/>
      <c r="W735" s="235"/>
      <c r="X735" s="235"/>
      <c r="Y735" s="235"/>
      <c r="Z735" s="233"/>
      <c r="AA735" s="233"/>
      <c r="AB735" s="233"/>
      <c r="AC735" s="245"/>
      <c r="AD735" s="245"/>
      <c r="AE735" s="245"/>
    </row>
    <row r="736" spans="1:31" ht="15.75" customHeight="1">
      <c r="A736" s="232"/>
      <c r="B736" s="233"/>
      <c r="C736" s="232"/>
      <c r="D736" s="233"/>
      <c r="E736" s="233"/>
      <c r="F736" s="235"/>
      <c r="G736" s="233"/>
      <c r="H736" s="233"/>
      <c r="I736" s="235"/>
      <c r="J736" s="235"/>
      <c r="K736" s="235"/>
      <c r="L736" s="233"/>
      <c r="M736" s="233"/>
      <c r="N736" s="233"/>
      <c r="O736" s="235"/>
      <c r="P736" s="235"/>
      <c r="Q736" s="235"/>
      <c r="R736" s="235"/>
      <c r="S736" s="233"/>
      <c r="T736" s="235"/>
      <c r="U736" s="235"/>
      <c r="V736" s="233"/>
      <c r="W736" s="235"/>
      <c r="X736" s="235"/>
      <c r="Y736" s="235"/>
      <c r="Z736" s="233"/>
      <c r="AA736" s="233"/>
      <c r="AB736" s="233"/>
      <c r="AC736" s="245"/>
      <c r="AD736" s="245"/>
      <c r="AE736" s="245"/>
    </row>
    <row r="737" spans="1:31" ht="15.75" customHeight="1">
      <c r="A737" s="232"/>
      <c r="B737" s="233"/>
      <c r="C737" s="232"/>
      <c r="D737" s="233"/>
      <c r="E737" s="233"/>
      <c r="F737" s="235"/>
      <c r="G737" s="233"/>
      <c r="H737" s="233"/>
      <c r="I737" s="235"/>
      <c r="J737" s="235"/>
      <c r="K737" s="235"/>
      <c r="L737" s="233"/>
      <c r="M737" s="233"/>
      <c r="N737" s="233"/>
      <c r="O737" s="235"/>
      <c r="P737" s="235"/>
      <c r="Q737" s="235"/>
      <c r="R737" s="235"/>
      <c r="S737" s="233"/>
      <c r="T737" s="235"/>
      <c r="U737" s="235"/>
      <c r="V737" s="233"/>
      <c r="W737" s="235"/>
      <c r="X737" s="235"/>
      <c r="Y737" s="235"/>
      <c r="Z737" s="233"/>
      <c r="AA737" s="233"/>
      <c r="AB737" s="233"/>
      <c r="AC737" s="245"/>
      <c r="AD737" s="245"/>
      <c r="AE737" s="245"/>
    </row>
    <row r="738" spans="1:31" ht="15.75" customHeight="1">
      <c r="A738" s="232"/>
      <c r="B738" s="233"/>
      <c r="C738" s="232"/>
      <c r="D738" s="233"/>
      <c r="E738" s="233"/>
      <c r="F738" s="235"/>
      <c r="G738" s="233"/>
      <c r="H738" s="233"/>
      <c r="I738" s="235"/>
      <c r="J738" s="235"/>
      <c r="K738" s="235"/>
      <c r="L738" s="233"/>
      <c r="M738" s="233"/>
      <c r="N738" s="233"/>
      <c r="O738" s="235"/>
      <c r="P738" s="235"/>
      <c r="Q738" s="235"/>
      <c r="R738" s="235"/>
      <c r="S738" s="233"/>
      <c r="T738" s="235"/>
      <c r="U738" s="235"/>
      <c r="V738" s="233"/>
      <c r="W738" s="235"/>
      <c r="X738" s="235"/>
      <c r="Y738" s="235"/>
      <c r="Z738" s="233"/>
      <c r="AA738" s="233"/>
      <c r="AB738" s="233"/>
      <c r="AC738" s="245"/>
      <c r="AD738" s="245"/>
      <c r="AE738" s="245"/>
    </row>
    <row r="739" spans="1:31" ht="15.75" customHeight="1">
      <c r="A739" s="232"/>
      <c r="B739" s="233"/>
      <c r="C739" s="232"/>
      <c r="D739" s="233"/>
      <c r="E739" s="233"/>
      <c r="F739" s="235"/>
      <c r="G739" s="233"/>
      <c r="H739" s="233"/>
      <c r="I739" s="235"/>
      <c r="J739" s="235"/>
      <c r="K739" s="235"/>
      <c r="L739" s="233"/>
      <c r="M739" s="233"/>
      <c r="N739" s="233"/>
      <c r="O739" s="235"/>
      <c r="P739" s="235"/>
      <c r="Q739" s="235"/>
      <c r="R739" s="235"/>
      <c r="S739" s="233"/>
      <c r="T739" s="235"/>
      <c r="U739" s="235"/>
      <c r="V739" s="233"/>
      <c r="W739" s="235"/>
      <c r="X739" s="235"/>
      <c r="Y739" s="235"/>
      <c r="Z739" s="233"/>
      <c r="AA739" s="233"/>
      <c r="AB739" s="233"/>
      <c r="AC739" s="245"/>
      <c r="AD739" s="245"/>
      <c r="AE739" s="245"/>
    </row>
    <row r="740" spans="1:31" ht="15.75" customHeight="1">
      <c r="A740" s="232"/>
      <c r="B740" s="233"/>
      <c r="C740" s="232"/>
      <c r="D740" s="233"/>
      <c r="E740" s="233"/>
      <c r="F740" s="235"/>
      <c r="G740" s="233"/>
      <c r="H740" s="233"/>
      <c r="I740" s="235"/>
      <c r="J740" s="235"/>
      <c r="K740" s="235"/>
      <c r="L740" s="233"/>
      <c r="M740" s="233"/>
      <c r="N740" s="233"/>
      <c r="O740" s="235"/>
      <c r="P740" s="235"/>
      <c r="Q740" s="235"/>
      <c r="R740" s="235"/>
      <c r="S740" s="233"/>
      <c r="T740" s="235"/>
      <c r="U740" s="235"/>
      <c r="V740" s="233"/>
      <c r="W740" s="235"/>
      <c r="X740" s="235"/>
      <c r="Y740" s="235"/>
      <c r="Z740" s="233"/>
      <c r="AA740" s="233"/>
      <c r="AB740" s="233"/>
      <c r="AC740" s="245"/>
      <c r="AD740" s="245"/>
      <c r="AE740" s="245"/>
    </row>
    <row r="741" spans="1:31" ht="15.75" customHeight="1">
      <c r="A741" s="232"/>
      <c r="B741" s="233"/>
      <c r="C741" s="232"/>
      <c r="D741" s="233"/>
      <c r="E741" s="233"/>
      <c r="F741" s="235"/>
      <c r="G741" s="233"/>
      <c r="H741" s="233"/>
      <c r="I741" s="235"/>
      <c r="J741" s="235"/>
      <c r="K741" s="235"/>
      <c r="L741" s="233"/>
      <c r="M741" s="233"/>
      <c r="N741" s="233"/>
      <c r="O741" s="235"/>
      <c r="P741" s="235"/>
      <c r="Q741" s="235"/>
      <c r="R741" s="235"/>
      <c r="S741" s="233"/>
      <c r="T741" s="235"/>
      <c r="U741" s="235"/>
      <c r="V741" s="233"/>
      <c r="W741" s="235"/>
      <c r="X741" s="235"/>
      <c r="Y741" s="235"/>
      <c r="Z741" s="233"/>
      <c r="AA741" s="233"/>
      <c r="AB741" s="233"/>
      <c r="AC741" s="245"/>
      <c r="AD741" s="245"/>
      <c r="AE741" s="245"/>
    </row>
    <row r="742" spans="1:31" ht="15.75" customHeight="1">
      <c r="A742" s="232"/>
      <c r="B742" s="233"/>
      <c r="C742" s="232"/>
      <c r="D742" s="233"/>
      <c r="E742" s="233"/>
      <c r="F742" s="235"/>
      <c r="G742" s="233"/>
      <c r="H742" s="233"/>
      <c r="I742" s="235"/>
      <c r="J742" s="235"/>
      <c r="K742" s="235"/>
      <c r="L742" s="233"/>
      <c r="M742" s="233"/>
      <c r="N742" s="233"/>
      <c r="O742" s="235"/>
      <c r="P742" s="235"/>
      <c r="Q742" s="235"/>
      <c r="R742" s="235"/>
      <c r="S742" s="233"/>
      <c r="T742" s="235"/>
      <c r="U742" s="235"/>
      <c r="V742" s="233"/>
      <c r="W742" s="235"/>
      <c r="X742" s="235"/>
      <c r="Y742" s="235"/>
      <c r="Z742" s="233"/>
      <c r="AA742" s="233"/>
      <c r="AB742" s="233"/>
      <c r="AC742" s="245"/>
      <c r="AD742" s="245"/>
      <c r="AE742" s="245"/>
    </row>
    <row r="743" spans="1:31" ht="15.75" customHeight="1">
      <c r="A743" s="232"/>
      <c r="B743" s="233"/>
      <c r="C743" s="232"/>
      <c r="D743" s="233"/>
      <c r="E743" s="233"/>
      <c r="F743" s="235"/>
      <c r="G743" s="233"/>
      <c r="H743" s="233"/>
      <c r="I743" s="235"/>
      <c r="J743" s="235"/>
      <c r="K743" s="235"/>
      <c r="L743" s="233"/>
      <c r="M743" s="233"/>
      <c r="N743" s="233"/>
      <c r="O743" s="235"/>
      <c r="P743" s="235"/>
      <c r="Q743" s="235"/>
      <c r="R743" s="235"/>
      <c r="S743" s="233"/>
      <c r="T743" s="235"/>
      <c r="U743" s="235"/>
      <c r="V743" s="233"/>
      <c r="W743" s="235"/>
      <c r="X743" s="235"/>
      <c r="Y743" s="235"/>
      <c r="Z743" s="233"/>
      <c r="AA743" s="233"/>
      <c r="AB743" s="233"/>
      <c r="AC743" s="245"/>
      <c r="AD743" s="245"/>
      <c r="AE743" s="245"/>
    </row>
    <row r="744" spans="1:31" ht="15.75" customHeight="1">
      <c r="A744" s="232"/>
      <c r="B744" s="233"/>
      <c r="C744" s="232"/>
      <c r="D744" s="233"/>
      <c r="E744" s="233"/>
      <c r="F744" s="235"/>
      <c r="G744" s="233"/>
      <c r="H744" s="233"/>
      <c r="I744" s="235"/>
      <c r="J744" s="235"/>
      <c r="K744" s="235"/>
      <c r="L744" s="233"/>
      <c r="M744" s="233"/>
      <c r="N744" s="233"/>
      <c r="O744" s="235"/>
      <c r="P744" s="235"/>
      <c r="Q744" s="235"/>
      <c r="R744" s="235"/>
      <c r="S744" s="233"/>
      <c r="T744" s="235"/>
      <c r="U744" s="235"/>
      <c r="V744" s="233"/>
      <c r="W744" s="235"/>
      <c r="X744" s="235"/>
      <c r="Y744" s="235"/>
      <c r="Z744" s="233"/>
      <c r="AA744" s="233"/>
      <c r="AB744" s="233"/>
      <c r="AC744" s="245"/>
      <c r="AD744" s="245"/>
      <c r="AE744" s="245"/>
    </row>
    <row r="745" spans="1:31" ht="15.75" customHeight="1">
      <c r="A745" s="232"/>
      <c r="B745" s="233"/>
      <c r="C745" s="232"/>
      <c r="D745" s="233"/>
      <c r="E745" s="233"/>
      <c r="F745" s="235"/>
      <c r="G745" s="233"/>
      <c r="H745" s="233"/>
      <c r="I745" s="235"/>
      <c r="J745" s="235"/>
      <c r="K745" s="235"/>
      <c r="L745" s="233"/>
      <c r="M745" s="233"/>
      <c r="N745" s="233"/>
      <c r="O745" s="235"/>
      <c r="P745" s="235"/>
      <c r="Q745" s="235"/>
      <c r="R745" s="235"/>
      <c r="S745" s="233"/>
      <c r="T745" s="235"/>
      <c r="U745" s="235"/>
      <c r="V745" s="233"/>
      <c r="W745" s="235"/>
      <c r="X745" s="235"/>
      <c r="Y745" s="235"/>
      <c r="Z745" s="233"/>
      <c r="AA745" s="233"/>
      <c r="AB745" s="233"/>
      <c r="AC745" s="245"/>
      <c r="AD745" s="245"/>
      <c r="AE745" s="245"/>
    </row>
    <row r="746" spans="1:31" ht="15.75" customHeight="1">
      <c r="A746" s="232"/>
      <c r="B746" s="233"/>
      <c r="C746" s="232"/>
      <c r="D746" s="233"/>
      <c r="E746" s="233"/>
      <c r="F746" s="235"/>
      <c r="G746" s="233"/>
      <c r="H746" s="233"/>
      <c r="I746" s="235"/>
      <c r="J746" s="235"/>
      <c r="K746" s="235"/>
      <c r="L746" s="233"/>
      <c r="M746" s="233"/>
      <c r="N746" s="233"/>
      <c r="O746" s="235"/>
      <c r="P746" s="235"/>
      <c r="Q746" s="235"/>
      <c r="R746" s="235"/>
      <c r="S746" s="233"/>
      <c r="T746" s="235"/>
      <c r="U746" s="235"/>
      <c r="V746" s="233"/>
      <c r="W746" s="235"/>
      <c r="X746" s="235"/>
      <c r="Y746" s="235"/>
      <c r="Z746" s="233"/>
      <c r="AA746" s="233"/>
      <c r="AB746" s="233"/>
      <c r="AC746" s="245"/>
      <c r="AD746" s="245"/>
      <c r="AE746" s="245"/>
    </row>
    <row r="747" spans="1:31" ht="15.75" customHeight="1">
      <c r="A747" s="232"/>
      <c r="B747" s="233"/>
      <c r="C747" s="232"/>
      <c r="D747" s="233"/>
      <c r="E747" s="233"/>
      <c r="F747" s="235"/>
      <c r="G747" s="233"/>
      <c r="H747" s="233"/>
      <c r="I747" s="235"/>
      <c r="J747" s="235"/>
      <c r="K747" s="235"/>
      <c r="L747" s="233"/>
      <c r="M747" s="233"/>
      <c r="N747" s="233"/>
      <c r="O747" s="235"/>
      <c r="P747" s="235"/>
      <c r="Q747" s="235"/>
      <c r="R747" s="235"/>
      <c r="S747" s="233"/>
      <c r="T747" s="235"/>
      <c r="U747" s="235"/>
      <c r="V747" s="233"/>
      <c r="W747" s="235"/>
      <c r="X747" s="235"/>
      <c r="Y747" s="235"/>
      <c r="Z747" s="233"/>
      <c r="AA747" s="233"/>
      <c r="AB747" s="233"/>
      <c r="AC747" s="245"/>
      <c r="AD747" s="245"/>
      <c r="AE747" s="245"/>
    </row>
    <row r="748" spans="1:31" ht="15.75" customHeight="1">
      <c r="A748" s="232"/>
      <c r="B748" s="233"/>
      <c r="C748" s="232"/>
      <c r="D748" s="233"/>
      <c r="E748" s="233"/>
      <c r="F748" s="235"/>
      <c r="G748" s="233"/>
      <c r="H748" s="233"/>
      <c r="I748" s="235"/>
      <c r="J748" s="235"/>
      <c r="K748" s="235"/>
      <c r="L748" s="233"/>
      <c r="M748" s="233"/>
      <c r="N748" s="233"/>
      <c r="O748" s="235"/>
      <c r="P748" s="235"/>
      <c r="Q748" s="235"/>
      <c r="R748" s="235"/>
      <c r="S748" s="233"/>
      <c r="T748" s="235"/>
      <c r="U748" s="235"/>
      <c r="V748" s="233"/>
      <c r="W748" s="235"/>
      <c r="X748" s="235"/>
      <c r="Y748" s="235"/>
      <c r="Z748" s="233"/>
      <c r="AA748" s="233"/>
      <c r="AB748" s="233"/>
      <c r="AC748" s="245"/>
      <c r="AD748" s="245"/>
      <c r="AE748" s="245"/>
    </row>
    <row r="749" spans="1:31" ht="15.75" customHeight="1">
      <c r="A749" s="232"/>
      <c r="B749" s="233"/>
      <c r="C749" s="232"/>
      <c r="D749" s="233"/>
      <c r="E749" s="233"/>
      <c r="F749" s="235"/>
      <c r="G749" s="233"/>
      <c r="H749" s="233"/>
      <c r="I749" s="235"/>
      <c r="J749" s="235"/>
      <c r="K749" s="235"/>
      <c r="L749" s="233"/>
      <c r="M749" s="233"/>
      <c r="N749" s="233"/>
      <c r="O749" s="235"/>
      <c r="P749" s="235"/>
      <c r="Q749" s="235"/>
      <c r="R749" s="235"/>
      <c r="S749" s="233"/>
      <c r="T749" s="235"/>
      <c r="U749" s="235"/>
      <c r="V749" s="233"/>
      <c r="W749" s="235"/>
      <c r="X749" s="235"/>
      <c r="Y749" s="235"/>
      <c r="Z749" s="233"/>
      <c r="AA749" s="233"/>
      <c r="AB749" s="233"/>
      <c r="AC749" s="245"/>
      <c r="AD749" s="245"/>
      <c r="AE749" s="245"/>
    </row>
    <row r="750" spans="1:31" ht="15.75" customHeight="1">
      <c r="A750" s="232"/>
      <c r="B750" s="233"/>
      <c r="C750" s="232"/>
      <c r="D750" s="233"/>
      <c r="E750" s="233"/>
      <c r="F750" s="235"/>
      <c r="G750" s="233"/>
      <c r="H750" s="233"/>
      <c r="I750" s="235"/>
      <c r="J750" s="235"/>
      <c r="K750" s="235"/>
      <c r="L750" s="233"/>
      <c r="M750" s="233"/>
      <c r="N750" s="233"/>
      <c r="O750" s="235"/>
      <c r="P750" s="235"/>
      <c r="Q750" s="235"/>
      <c r="R750" s="235"/>
      <c r="S750" s="233"/>
      <c r="T750" s="235"/>
      <c r="U750" s="235"/>
      <c r="V750" s="233"/>
      <c r="W750" s="235"/>
      <c r="X750" s="235"/>
      <c r="Y750" s="235"/>
      <c r="Z750" s="233"/>
      <c r="AA750" s="233"/>
      <c r="AB750" s="233"/>
      <c r="AC750" s="245"/>
      <c r="AD750" s="245"/>
      <c r="AE750" s="245"/>
    </row>
    <row r="751" spans="1:31" ht="15.75" customHeight="1">
      <c r="A751" s="232"/>
      <c r="B751" s="233"/>
      <c r="C751" s="232"/>
      <c r="D751" s="233"/>
      <c r="E751" s="233"/>
      <c r="F751" s="235"/>
      <c r="G751" s="233"/>
      <c r="H751" s="233"/>
      <c r="I751" s="235"/>
      <c r="J751" s="235"/>
      <c r="K751" s="235"/>
      <c r="L751" s="233"/>
      <c r="M751" s="233"/>
      <c r="N751" s="233"/>
      <c r="O751" s="235"/>
      <c r="P751" s="235"/>
      <c r="Q751" s="235"/>
      <c r="R751" s="235"/>
      <c r="S751" s="233"/>
      <c r="T751" s="235"/>
      <c r="U751" s="235"/>
      <c r="V751" s="233"/>
      <c r="W751" s="235"/>
      <c r="X751" s="235"/>
      <c r="Y751" s="235"/>
      <c r="Z751" s="233"/>
      <c r="AA751" s="233"/>
      <c r="AB751" s="233"/>
      <c r="AC751" s="245"/>
      <c r="AD751" s="245"/>
      <c r="AE751" s="245"/>
    </row>
    <row r="752" spans="1:31" ht="15.75" customHeight="1">
      <c r="A752" s="232"/>
      <c r="B752" s="233"/>
      <c r="C752" s="232"/>
      <c r="D752" s="233"/>
      <c r="E752" s="233"/>
      <c r="F752" s="235"/>
      <c r="G752" s="233"/>
      <c r="H752" s="233"/>
      <c r="I752" s="235"/>
      <c r="J752" s="235"/>
      <c r="K752" s="235"/>
      <c r="L752" s="233"/>
      <c r="M752" s="233"/>
      <c r="N752" s="233"/>
      <c r="O752" s="235"/>
      <c r="P752" s="235"/>
      <c r="Q752" s="235"/>
      <c r="R752" s="235"/>
      <c r="S752" s="233"/>
      <c r="T752" s="235"/>
      <c r="U752" s="235"/>
      <c r="V752" s="233"/>
      <c r="W752" s="235"/>
      <c r="X752" s="235"/>
      <c r="Y752" s="235"/>
      <c r="Z752" s="233"/>
      <c r="AA752" s="233"/>
      <c r="AB752" s="233"/>
      <c r="AC752" s="245"/>
      <c r="AD752" s="245"/>
      <c r="AE752" s="245"/>
    </row>
    <row r="753" spans="1:31" ht="15.75" customHeight="1">
      <c r="A753" s="232"/>
      <c r="B753" s="233"/>
      <c r="C753" s="232"/>
      <c r="D753" s="233"/>
      <c r="E753" s="233"/>
      <c r="F753" s="235"/>
      <c r="G753" s="233"/>
      <c r="H753" s="233"/>
      <c r="I753" s="235"/>
      <c r="J753" s="235"/>
      <c r="K753" s="235"/>
      <c r="L753" s="233"/>
      <c r="M753" s="233"/>
      <c r="N753" s="233"/>
      <c r="O753" s="235"/>
      <c r="P753" s="235"/>
      <c r="Q753" s="235"/>
      <c r="R753" s="235"/>
      <c r="S753" s="233"/>
      <c r="T753" s="235"/>
      <c r="U753" s="235"/>
      <c r="V753" s="233"/>
      <c r="W753" s="235"/>
      <c r="X753" s="235"/>
      <c r="Y753" s="235"/>
      <c r="Z753" s="233"/>
      <c r="AA753" s="233"/>
      <c r="AB753" s="233"/>
      <c r="AC753" s="245"/>
      <c r="AD753" s="245"/>
      <c r="AE753" s="245"/>
    </row>
    <row r="754" spans="1:31" ht="15.75" customHeight="1">
      <c r="A754" s="232"/>
      <c r="B754" s="233"/>
      <c r="C754" s="232"/>
      <c r="D754" s="233"/>
      <c r="E754" s="233"/>
      <c r="F754" s="235"/>
      <c r="G754" s="233"/>
      <c r="H754" s="233"/>
      <c r="I754" s="235"/>
      <c r="J754" s="235"/>
      <c r="K754" s="235"/>
      <c r="L754" s="233"/>
      <c r="M754" s="233"/>
      <c r="N754" s="233"/>
      <c r="O754" s="235"/>
      <c r="P754" s="235"/>
      <c r="Q754" s="235"/>
      <c r="R754" s="235"/>
      <c r="S754" s="233"/>
      <c r="T754" s="235"/>
      <c r="U754" s="235"/>
      <c r="V754" s="233"/>
      <c r="W754" s="235"/>
      <c r="X754" s="235"/>
      <c r="Y754" s="235"/>
      <c r="Z754" s="233"/>
      <c r="AA754" s="233"/>
      <c r="AB754" s="233"/>
      <c r="AC754" s="245"/>
      <c r="AD754" s="245"/>
      <c r="AE754" s="245"/>
    </row>
    <row r="755" spans="1:31" ht="15.75" customHeight="1">
      <c r="A755" s="232"/>
      <c r="B755" s="233"/>
      <c r="C755" s="232"/>
      <c r="D755" s="233"/>
      <c r="E755" s="233"/>
      <c r="F755" s="235"/>
      <c r="G755" s="233"/>
      <c r="H755" s="233"/>
      <c r="I755" s="235"/>
      <c r="J755" s="235"/>
      <c r="K755" s="235"/>
      <c r="L755" s="233"/>
      <c r="M755" s="233"/>
      <c r="N755" s="233"/>
      <c r="O755" s="235"/>
      <c r="P755" s="235"/>
      <c r="Q755" s="235"/>
      <c r="R755" s="235"/>
      <c r="S755" s="233"/>
      <c r="T755" s="235"/>
      <c r="U755" s="235"/>
      <c r="V755" s="233"/>
      <c r="W755" s="235"/>
      <c r="X755" s="235"/>
      <c r="Y755" s="235"/>
      <c r="Z755" s="233"/>
      <c r="AA755" s="233"/>
      <c r="AB755" s="233"/>
      <c r="AC755" s="245"/>
      <c r="AD755" s="245"/>
      <c r="AE755" s="245"/>
    </row>
    <row r="756" spans="1:31" ht="15.75" customHeight="1">
      <c r="A756" s="232"/>
      <c r="B756" s="233"/>
      <c r="C756" s="232"/>
      <c r="D756" s="233"/>
      <c r="E756" s="233"/>
      <c r="F756" s="235"/>
      <c r="G756" s="233"/>
      <c r="H756" s="233"/>
      <c r="I756" s="235"/>
      <c r="J756" s="235"/>
      <c r="K756" s="235"/>
      <c r="L756" s="233"/>
      <c r="M756" s="233"/>
      <c r="N756" s="233"/>
      <c r="O756" s="235"/>
      <c r="P756" s="235"/>
      <c r="Q756" s="235"/>
      <c r="R756" s="235"/>
      <c r="S756" s="233"/>
      <c r="T756" s="235"/>
      <c r="U756" s="235"/>
      <c r="V756" s="233"/>
      <c r="W756" s="235"/>
      <c r="X756" s="235"/>
      <c r="Y756" s="235"/>
      <c r="Z756" s="233"/>
      <c r="AA756" s="233"/>
      <c r="AB756" s="233"/>
      <c r="AC756" s="245"/>
      <c r="AD756" s="245"/>
      <c r="AE756" s="245"/>
    </row>
    <row r="757" spans="1:31" ht="15.75" customHeight="1">
      <c r="A757" s="232"/>
      <c r="B757" s="233"/>
      <c r="C757" s="232"/>
      <c r="D757" s="233"/>
      <c r="E757" s="233"/>
      <c r="F757" s="235"/>
      <c r="G757" s="233"/>
      <c r="H757" s="233"/>
      <c r="I757" s="235"/>
      <c r="J757" s="235"/>
      <c r="K757" s="235"/>
      <c r="L757" s="233"/>
      <c r="M757" s="233"/>
      <c r="N757" s="233"/>
      <c r="O757" s="235"/>
      <c r="P757" s="235"/>
      <c r="Q757" s="235"/>
      <c r="R757" s="235"/>
      <c r="S757" s="233"/>
      <c r="T757" s="235"/>
      <c r="U757" s="235"/>
      <c r="V757" s="233"/>
      <c r="W757" s="235"/>
      <c r="X757" s="235"/>
      <c r="Y757" s="235"/>
      <c r="Z757" s="233"/>
      <c r="AA757" s="233"/>
      <c r="AB757" s="233"/>
      <c r="AC757" s="245"/>
      <c r="AD757" s="245"/>
      <c r="AE757" s="245"/>
    </row>
    <row r="758" spans="1:31" ht="15.75" customHeight="1">
      <c r="A758" s="232"/>
      <c r="B758" s="233"/>
      <c r="C758" s="232"/>
      <c r="D758" s="233"/>
      <c r="E758" s="233"/>
      <c r="F758" s="235"/>
      <c r="G758" s="233"/>
      <c r="H758" s="233"/>
      <c r="I758" s="235"/>
      <c r="J758" s="235"/>
      <c r="K758" s="235"/>
      <c r="L758" s="233"/>
      <c r="M758" s="233"/>
      <c r="N758" s="233"/>
      <c r="O758" s="235"/>
      <c r="P758" s="235"/>
      <c r="Q758" s="235"/>
      <c r="R758" s="235"/>
      <c r="S758" s="233"/>
      <c r="T758" s="235"/>
      <c r="U758" s="235"/>
      <c r="V758" s="233"/>
      <c r="W758" s="235"/>
      <c r="X758" s="235"/>
      <c r="Y758" s="235"/>
      <c r="Z758" s="233"/>
      <c r="AA758" s="233"/>
      <c r="AB758" s="233"/>
      <c r="AC758" s="245"/>
      <c r="AD758" s="245"/>
      <c r="AE758" s="245"/>
    </row>
    <row r="759" spans="1:31" ht="15.75" customHeight="1">
      <c r="A759" s="232"/>
      <c r="B759" s="233"/>
      <c r="C759" s="232"/>
      <c r="D759" s="233"/>
      <c r="E759" s="233"/>
      <c r="F759" s="235"/>
      <c r="G759" s="233"/>
      <c r="H759" s="233"/>
      <c r="I759" s="235"/>
      <c r="J759" s="235"/>
      <c r="K759" s="235"/>
      <c r="L759" s="233"/>
      <c r="M759" s="233"/>
      <c r="N759" s="233"/>
      <c r="O759" s="235"/>
      <c r="P759" s="235"/>
      <c r="Q759" s="235"/>
      <c r="R759" s="235"/>
      <c r="S759" s="233"/>
      <c r="T759" s="235"/>
      <c r="U759" s="235"/>
      <c r="V759" s="233"/>
      <c r="W759" s="235"/>
      <c r="X759" s="235"/>
      <c r="Y759" s="235"/>
      <c r="Z759" s="233"/>
      <c r="AA759" s="233"/>
      <c r="AB759" s="233"/>
      <c r="AC759" s="245"/>
      <c r="AD759" s="245"/>
      <c r="AE759" s="245"/>
    </row>
    <row r="760" spans="1:31" ht="15.75" customHeight="1">
      <c r="A760" s="232"/>
      <c r="B760" s="233"/>
      <c r="C760" s="232"/>
      <c r="D760" s="233"/>
      <c r="E760" s="233"/>
      <c r="F760" s="235"/>
      <c r="G760" s="233"/>
      <c r="H760" s="233"/>
      <c r="I760" s="235"/>
      <c r="J760" s="235"/>
      <c r="K760" s="235"/>
      <c r="L760" s="233"/>
      <c r="M760" s="233"/>
      <c r="N760" s="233"/>
      <c r="O760" s="235"/>
      <c r="P760" s="235"/>
      <c r="Q760" s="235"/>
      <c r="R760" s="235"/>
      <c r="S760" s="233"/>
      <c r="T760" s="235"/>
      <c r="U760" s="235"/>
      <c r="V760" s="233"/>
      <c r="W760" s="235"/>
      <c r="X760" s="235"/>
      <c r="Y760" s="235"/>
      <c r="Z760" s="233"/>
      <c r="AA760" s="233"/>
      <c r="AB760" s="233"/>
      <c r="AC760" s="245"/>
      <c r="AD760" s="245"/>
      <c r="AE760" s="245"/>
    </row>
    <row r="761" spans="1:31" ht="15.75" customHeight="1">
      <c r="A761" s="232"/>
      <c r="B761" s="233"/>
      <c r="C761" s="232"/>
      <c r="D761" s="233"/>
      <c r="E761" s="233"/>
      <c r="F761" s="235"/>
      <c r="G761" s="233"/>
      <c r="H761" s="233"/>
      <c r="I761" s="235"/>
      <c r="J761" s="235"/>
      <c r="K761" s="235"/>
      <c r="L761" s="233"/>
      <c r="M761" s="233"/>
      <c r="N761" s="233"/>
      <c r="O761" s="235"/>
      <c r="P761" s="235"/>
      <c r="Q761" s="235"/>
      <c r="R761" s="235"/>
      <c r="S761" s="233"/>
      <c r="T761" s="235"/>
      <c r="U761" s="235"/>
      <c r="V761" s="233"/>
      <c r="W761" s="235"/>
      <c r="X761" s="235"/>
      <c r="Y761" s="235"/>
      <c r="Z761" s="233"/>
      <c r="AA761" s="233"/>
      <c r="AB761" s="233"/>
      <c r="AC761" s="245"/>
      <c r="AD761" s="245"/>
      <c r="AE761" s="245"/>
    </row>
    <row r="762" spans="1:31" ht="15.75" customHeight="1">
      <c r="A762" s="232"/>
      <c r="B762" s="233"/>
      <c r="C762" s="232"/>
      <c r="D762" s="233"/>
      <c r="E762" s="233"/>
      <c r="F762" s="235"/>
      <c r="G762" s="233"/>
      <c r="H762" s="233"/>
      <c r="I762" s="235"/>
      <c r="J762" s="235"/>
      <c r="K762" s="235"/>
      <c r="L762" s="233"/>
      <c r="M762" s="233"/>
      <c r="N762" s="233"/>
      <c r="O762" s="235"/>
      <c r="P762" s="235"/>
      <c r="Q762" s="235"/>
      <c r="R762" s="235"/>
      <c r="S762" s="233"/>
      <c r="T762" s="235"/>
      <c r="U762" s="235"/>
      <c r="V762" s="233"/>
      <c r="W762" s="235"/>
      <c r="X762" s="235"/>
      <c r="Y762" s="235"/>
      <c r="Z762" s="233"/>
      <c r="AA762" s="233"/>
      <c r="AB762" s="233"/>
      <c r="AC762" s="245"/>
      <c r="AD762" s="245"/>
      <c r="AE762" s="245"/>
    </row>
    <row r="763" spans="1:31" ht="15.75" customHeight="1">
      <c r="A763" s="232"/>
      <c r="B763" s="233"/>
      <c r="C763" s="232"/>
      <c r="D763" s="233"/>
      <c r="E763" s="233"/>
      <c r="F763" s="235"/>
      <c r="G763" s="233"/>
      <c r="H763" s="233"/>
      <c r="I763" s="235"/>
      <c r="J763" s="235"/>
      <c r="K763" s="235"/>
      <c r="L763" s="233"/>
      <c r="M763" s="233"/>
      <c r="N763" s="233"/>
      <c r="O763" s="235"/>
      <c r="P763" s="235"/>
      <c r="Q763" s="235"/>
      <c r="R763" s="235"/>
      <c r="S763" s="233"/>
      <c r="T763" s="235"/>
      <c r="U763" s="235"/>
      <c r="V763" s="233"/>
      <c r="W763" s="235"/>
      <c r="X763" s="235"/>
      <c r="Y763" s="235"/>
      <c r="Z763" s="233"/>
      <c r="AA763" s="233"/>
      <c r="AB763" s="233"/>
      <c r="AC763" s="245"/>
      <c r="AD763" s="245"/>
      <c r="AE763" s="245"/>
    </row>
    <row r="764" spans="1:31" ht="15.75" customHeight="1">
      <c r="A764" s="232"/>
      <c r="B764" s="233"/>
      <c r="C764" s="232"/>
      <c r="D764" s="233"/>
      <c r="E764" s="233"/>
      <c r="F764" s="235"/>
      <c r="G764" s="233"/>
      <c r="H764" s="233"/>
      <c r="I764" s="235"/>
      <c r="J764" s="235"/>
      <c r="K764" s="235"/>
      <c r="L764" s="233"/>
      <c r="M764" s="233"/>
      <c r="N764" s="233"/>
      <c r="O764" s="235"/>
      <c r="P764" s="235"/>
      <c r="Q764" s="235"/>
      <c r="R764" s="235"/>
      <c r="S764" s="233"/>
      <c r="T764" s="235"/>
      <c r="U764" s="235"/>
      <c r="V764" s="233"/>
      <c r="W764" s="235"/>
      <c r="X764" s="235"/>
      <c r="Y764" s="235"/>
      <c r="Z764" s="233"/>
      <c r="AA764" s="233"/>
      <c r="AB764" s="233"/>
      <c r="AC764" s="245"/>
      <c r="AD764" s="245"/>
      <c r="AE764" s="245"/>
    </row>
    <row r="765" spans="1:31" ht="15.75" customHeight="1">
      <c r="A765" s="232"/>
      <c r="B765" s="233"/>
      <c r="C765" s="232"/>
      <c r="D765" s="233"/>
      <c r="E765" s="233"/>
      <c r="F765" s="235"/>
      <c r="G765" s="233"/>
      <c r="H765" s="233"/>
      <c r="I765" s="235"/>
      <c r="J765" s="235"/>
      <c r="K765" s="235"/>
      <c r="L765" s="233"/>
      <c r="M765" s="233"/>
      <c r="N765" s="233"/>
      <c r="O765" s="235"/>
      <c r="P765" s="235"/>
      <c r="Q765" s="235"/>
      <c r="R765" s="235"/>
      <c r="S765" s="233"/>
      <c r="T765" s="235"/>
      <c r="U765" s="235"/>
      <c r="V765" s="233"/>
      <c r="W765" s="235"/>
      <c r="X765" s="235"/>
      <c r="Y765" s="235"/>
      <c r="Z765" s="233"/>
      <c r="AA765" s="233"/>
      <c r="AB765" s="233"/>
      <c r="AC765" s="245"/>
      <c r="AD765" s="245"/>
      <c r="AE765" s="245"/>
    </row>
    <row r="766" spans="1:31" ht="15.75" customHeight="1">
      <c r="A766" s="232"/>
      <c r="B766" s="233"/>
      <c r="C766" s="232"/>
      <c r="D766" s="233"/>
      <c r="E766" s="233"/>
      <c r="F766" s="235"/>
      <c r="G766" s="233"/>
      <c r="H766" s="233"/>
      <c r="I766" s="235"/>
      <c r="J766" s="235"/>
      <c r="K766" s="235"/>
      <c r="L766" s="233"/>
      <c r="M766" s="233"/>
      <c r="N766" s="233"/>
      <c r="O766" s="235"/>
      <c r="P766" s="235"/>
      <c r="Q766" s="235"/>
      <c r="R766" s="235"/>
      <c r="S766" s="233"/>
      <c r="T766" s="235"/>
      <c r="U766" s="235"/>
      <c r="V766" s="233"/>
      <c r="W766" s="235"/>
      <c r="X766" s="235"/>
      <c r="Y766" s="235"/>
      <c r="Z766" s="233"/>
      <c r="AA766" s="233"/>
      <c r="AB766" s="233"/>
      <c r="AC766" s="245"/>
      <c r="AD766" s="245"/>
      <c r="AE766" s="245"/>
    </row>
    <row r="767" spans="1:31" ht="15.75" customHeight="1">
      <c r="A767" s="232"/>
      <c r="B767" s="233"/>
      <c r="C767" s="232"/>
      <c r="D767" s="233"/>
      <c r="E767" s="233"/>
      <c r="F767" s="235"/>
      <c r="G767" s="233"/>
      <c r="H767" s="233"/>
      <c r="I767" s="235"/>
      <c r="J767" s="235"/>
      <c r="K767" s="235"/>
      <c r="L767" s="233"/>
      <c r="M767" s="233"/>
      <c r="N767" s="233"/>
      <c r="O767" s="235"/>
      <c r="P767" s="235"/>
      <c r="Q767" s="235"/>
      <c r="R767" s="235"/>
      <c r="S767" s="233"/>
      <c r="T767" s="235"/>
      <c r="U767" s="235"/>
      <c r="V767" s="233"/>
      <c r="W767" s="235"/>
      <c r="X767" s="235"/>
      <c r="Y767" s="235"/>
      <c r="Z767" s="233"/>
      <c r="AA767" s="233"/>
      <c r="AB767" s="233"/>
      <c r="AC767" s="245"/>
      <c r="AD767" s="245"/>
      <c r="AE767" s="245"/>
    </row>
    <row r="768" spans="1:31" ht="15.75" customHeight="1">
      <c r="A768" s="232"/>
      <c r="B768" s="233"/>
      <c r="C768" s="232"/>
      <c r="D768" s="233"/>
      <c r="E768" s="233"/>
      <c r="F768" s="235"/>
      <c r="G768" s="233"/>
      <c r="H768" s="233"/>
      <c r="I768" s="235"/>
      <c r="J768" s="235"/>
      <c r="K768" s="235"/>
      <c r="L768" s="233"/>
      <c r="M768" s="233"/>
      <c r="N768" s="233"/>
      <c r="O768" s="235"/>
      <c r="P768" s="235"/>
      <c r="Q768" s="235"/>
      <c r="R768" s="235"/>
      <c r="S768" s="233"/>
      <c r="T768" s="235"/>
      <c r="U768" s="235"/>
      <c r="V768" s="233"/>
      <c r="W768" s="235"/>
      <c r="X768" s="235"/>
      <c r="Y768" s="235"/>
      <c r="Z768" s="233"/>
      <c r="AA768" s="233"/>
      <c r="AB768" s="233"/>
      <c r="AC768" s="245"/>
      <c r="AD768" s="245"/>
      <c r="AE768" s="245"/>
    </row>
    <row r="769" spans="1:31" ht="15.75" customHeight="1">
      <c r="A769" s="232"/>
      <c r="B769" s="233"/>
      <c r="C769" s="232"/>
      <c r="D769" s="233"/>
      <c r="E769" s="233"/>
      <c r="F769" s="235"/>
      <c r="G769" s="233"/>
      <c r="H769" s="233"/>
      <c r="I769" s="235"/>
      <c r="J769" s="235"/>
      <c r="K769" s="235"/>
      <c r="L769" s="233"/>
      <c r="M769" s="233"/>
      <c r="N769" s="233"/>
      <c r="O769" s="235"/>
      <c r="P769" s="235"/>
      <c r="Q769" s="235"/>
      <c r="R769" s="235"/>
      <c r="S769" s="233"/>
      <c r="T769" s="235"/>
      <c r="U769" s="235"/>
      <c r="V769" s="233"/>
      <c r="W769" s="235"/>
      <c r="X769" s="235"/>
      <c r="Y769" s="235"/>
      <c r="Z769" s="233"/>
      <c r="AA769" s="233"/>
      <c r="AB769" s="233"/>
      <c r="AC769" s="245"/>
      <c r="AD769" s="245"/>
      <c r="AE769" s="245"/>
    </row>
    <row r="770" spans="1:31" ht="15.75" customHeight="1">
      <c r="A770" s="232"/>
      <c r="B770" s="233"/>
      <c r="C770" s="232"/>
      <c r="D770" s="233"/>
      <c r="E770" s="233"/>
      <c r="F770" s="235"/>
      <c r="G770" s="233"/>
      <c r="H770" s="233"/>
      <c r="I770" s="235"/>
      <c r="J770" s="235"/>
      <c r="K770" s="235"/>
      <c r="L770" s="233"/>
      <c r="M770" s="233"/>
      <c r="N770" s="233"/>
      <c r="O770" s="235"/>
      <c r="P770" s="235"/>
      <c r="Q770" s="235"/>
      <c r="R770" s="235"/>
      <c r="S770" s="233"/>
      <c r="T770" s="235"/>
      <c r="U770" s="235"/>
      <c r="V770" s="233"/>
      <c r="W770" s="235"/>
      <c r="X770" s="235"/>
      <c r="Y770" s="235"/>
      <c r="Z770" s="233"/>
      <c r="AA770" s="233"/>
      <c r="AB770" s="233"/>
      <c r="AC770" s="245"/>
      <c r="AD770" s="245"/>
      <c r="AE770" s="245"/>
    </row>
    <row r="771" spans="1:31" ht="15.75" customHeight="1">
      <c r="A771" s="232"/>
      <c r="B771" s="233"/>
      <c r="C771" s="232"/>
      <c r="D771" s="233"/>
      <c r="E771" s="233"/>
      <c r="F771" s="235"/>
      <c r="G771" s="233"/>
      <c r="H771" s="233"/>
      <c r="I771" s="235"/>
      <c r="J771" s="235"/>
      <c r="K771" s="235"/>
      <c r="L771" s="233"/>
      <c r="M771" s="233"/>
      <c r="N771" s="233"/>
      <c r="O771" s="235"/>
      <c r="P771" s="235"/>
      <c r="Q771" s="235"/>
      <c r="R771" s="235"/>
      <c r="S771" s="233"/>
      <c r="T771" s="235"/>
      <c r="U771" s="235"/>
      <c r="V771" s="233"/>
      <c r="W771" s="235"/>
      <c r="X771" s="235"/>
      <c r="Y771" s="235"/>
      <c r="Z771" s="233"/>
      <c r="AA771" s="233"/>
      <c r="AB771" s="233"/>
      <c r="AC771" s="245"/>
      <c r="AD771" s="245"/>
      <c r="AE771" s="245"/>
    </row>
    <row r="772" spans="1:31" ht="15.75" customHeight="1">
      <c r="A772" s="232"/>
      <c r="B772" s="233"/>
      <c r="C772" s="232"/>
      <c r="D772" s="233"/>
      <c r="E772" s="233"/>
      <c r="F772" s="235"/>
      <c r="G772" s="233"/>
      <c r="H772" s="233"/>
      <c r="I772" s="235"/>
      <c r="J772" s="235"/>
      <c r="K772" s="235"/>
      <c r="L772" s="233"/>
      <c r="M772" s="233"/>
      <c r="N772" s="233"/>
      <c r="O772" s="235"/>
      <c r="P772" s="235"/>
      <c r="Q772" s="235"/>
      <c r="R772" s="235"/>
      <c r="S772" s="233"/>
      <c r="T772" s="235"/>
      <c r="U772" s="235"/>
      <c r="V772" s="233"/>
      <c r="W772" s="235"/>
      <c r="X772" s="235"/>
      <c r="Y772" s="235"/>
      <c r="Z772" s="233"/>
      <c r="AA772" s="233"/>
      <c r="AB772" s="233"/>
      <c r="AC772" s="245"/>
      <c r="AD772" s="245"/>
      <c r="AE772" s="245"/>
    </row>
    <row r="773" spans="1:31" ht="15.75" customHeight="1">
      <c r="A773" s="232"/>
      <c r="B773" s="233"/>
      <c r="C773" s="232"/>
      <c r="D773" s="233"/>
      <c r="E773" s="233"/>
      <c r="F773" s="235"/>
      <c r="G773" s="233"/>
      <c r="H773" s="233"/>
      <c r="I773" s="235"/>
      <c r="J773" s="235"/>
      <c r="K773" s="235"/>
      <c r="L773" s="233"/>
      <c r="M773" s="233"/>
      <c r="N773" s="233"/>
      <c r="O773" s="235"/>
      <c r="P773" s="235"/>
      <c r="Q773" s="235"/>
      <c r="R773" s="235"/>
      <c r="S773" s="233"/>
      <c r="T773" s="235"/>
      <c r="U773" s="235"/>
      <c r="V773" s="233"/>
      <c r="W773" s="235"/>
      <c r="X773" s="235"/>
      <c r="Y773" s="235"/>
      <c r="Z773" s="233"/>
      <c r="AA773" s="233"/>
      <c r="AB773" s="233"/>
      <c r="AC773" s="245"/>
      <c r="AD773" s="245"/>
      <c r="AE773" s="245"/>
    </row>
    <row r="774" spans="1:31" ht="15.75" customHeight="1">
      <c r="A774" s="232"/>
      <c r="B774" s="233"/>
      <c r="C774" s="232"/>
      <c r="D774" s="233"/>
      <c r="E774" s="233"/>
      <c r="F774" s="235"/>
      <c r="G774" s="233"/>
      <c r="H774" s="233"/>
      <c r="I774" s="235"/>
      <c r="J774" s="235"/>
      <c r="K774" s="235"/>
      <c r="L774" s="233"/>
      <c r="M774" s="233"/>
      <c r="N774" s="233"/>
      <c r="O774" s="235"/>
      <c r="P774" s="235"/>
      <c r="Q774" s="235"/>
      <c r="R774" s="235"/>
      <c r="S774" s="233"/>
      <c r="T774" s="235"/>
      <c r="U774" s="235"/>
      <c r="V774" s="233"/>
      <c r="W774" s="235"/>
      <c r="X774" s="235"/>
      <c r="Y774" s="235"/>
      <c r="Z774" s="233"/>
      <c r="AA774" s="233"/>
      <c r="AB774" s="233"/>
      <c r="AC774" s="245"/>
      <c r="AD774" s="245"/>
      <c r="AE774" s="245"/>
    </row>
    <row r="775" spans="1:31" ht="15.75" customHeight="1">
      <c r="A775" s="232"/>
      <c r="B775" s="233"/>
      <c r="C775" s="232"/>
      <c r="D775" s="233"/>
      <c r="E775" s="233"/>
      <c r="F775" s="235"/>
      <c r="G775" s="233"/>
      <c r="H775" s="233"/>
      <c r="I775" s="235"/>
      <c r="J775" s="235"/>
      <c r="K775" s="235"/>
      <c r="L775" s="233"/>
      <c r="M775" s="233"/>
      <c r="N775" s="233"/>
      <c r="O775" s="235"/>
      <c r="P775" s="235"/>
      <c r="Q775" s="235"/>
      <c r="R775" s="235"/>
      <c r="S775" s="233"/>
      <c r="T775" s="235"/>
      <c r="U775" s="235"/>
      <c r="V775" s="233"/>
      <c r="W775" s="235"/>
      <c r="X775" s="235"/>
      <c r="Y775" s="235"/>
      <c r="Z775" s="233"/>
      <c r="AA775" s="233"/>
      <c r="AB775" s="233"/>
      <c r="AC775" s="245"/>
      <c r="AD775" s="245"/>
      <c r="AE775" s="245"/>
    </row>
    <row r="776" spans="1:31" ht="15.75" customHeight="1">
      <c r="A776" s="232"/>
      <c r="B776" s="233"/>
      <c r="C776" s="232"/>
      <c r="D776" s="233"/>
      <c r="E776" s="233"/>
      <c r="F776" s="235"/>
      <c r="G776" s="233"/>
      <c r="H776" s="233"/>
      <c r="I776" s="235"/>
      <c r="J776" s="235"/>
      <c r="K776" s="235"/>
      <c r="L776" s="233"/>
      <c r="M776" s="233"/>
      <c r="N776" s="233"/>
      <c r="O776" s="235"/>
      <c r="P776" s="235"/>
      <c r="Q776" s="235"/>
      <c r="R776" s="235"/>
      <c r="S776" s="233"/>
      <c r="T776" s="235"/>
      <c r="U776" s="235"/>
      <c r="V776" s="233"/>
      <c r="W776" s="235"/>
      <c r="X776" s="235"/>
      <c r="Y776" s="235"/>
      <c r="Z776" s="233"/>
      <c r="AA776" s="233"/>
      <c r="AB776" s="233"/>
      <c r="AC776" s="245"/>
      <c r="AD776" s="245"/>
      <c r="AE776" s="245"/>
    </row>
    <row r="777" spans="1:31" ht="15.75" customHeight="1">
      <c r="A777" s="232"/>
      <c r="B777" s="233"/>
      <c r="C777" s="232"/>
      <c r="D777" s="233"/>
      <c r="E777" s="233"/>
      <c r="F777" s="235"/>
      <c r="G777" s="233"/>
      <c r="H777" s="233"/>
      <c r="I777" s="235"/>
      <c r="J777" s="235"/>
      <c r="K777" s="235"/>
      <c r="L777" s="233"/>
      <c r="M777" s="233"/>
      <c r="N777" s="233"/>
      <c r="O777" s="235"/>
      <c r="P777" s="235"/>
      <c r="Q777" s="235"/>
      <c r="R777" s="235"/>
      <c r="S777" s="233"/>
      <c r="T777" s="235"/>
      <c r="U777" s="235"/>
      <c r="V777" s="233"/>
      <c r="W777" s="235"/>
      <c r="X777" s="235"/>
      <c r="Y777" s="235"/>
      <c r="Z777" s="233"/>
      <c r="AA777" s="233"/>
      <c r="AB777" s="233"/>
      <c r="AC777" s="245"/>
      <c r="AD777" s="245"/>
      <c r="AE777" s="245"/>
    </row>
    <row r="778" spans="1:31" ht="15.75" customHeight="1">
      <c r="A778" s="232"/>
      <c r="B778" s="233"/>
      <c r="C778" s="232"/>
      <c r="D778" s="233"/>
      <c r="E778" s="233"/>
      <c r="F778" s="235"/>
      <c r="G778" s="233"/>
      <c r="H778" s="233"/>
      <c r="I778" s="235"/>
      <c r="J778" s="235"/>
      <c r="K778" s="235"/>
      <c r="L778" s="233"/>
      <c r="M778" s="233"/>
      <c r="N778" s="233"/>
      <c r="O778" s="235"/>
      <c r="P778" s="235"/>
      <c r="Q778" s="235"/>
      <c r="R778" s="235"/>
      <c r="S778" s="233"/>
      <c r="T778" s="235"/>
      <c r="U778" s="235"/>
      <c r="V778" s="233"/>
      <c r="W778" s="235"/>
      <c r="X778" s="235"/>
      <c r="Y778" s="235"/>
      <c r="Z778" s="233"/>
      <c r="AA778" s="233"/>
      <c r="AB778" s="233"/>
      <c r="AC778" s="245"/>
      <c r="AD778" s="245"/>
      <c r="AE778" s="245"/>
    </row>
    <row r="779" spans="1:31" ht="15.75" customHeight="1">
      <c r="A779" s="232"/>
      <c r="B779" s="233"/>
      <c r="C779" s="232"/>
      <c r="D779" s="233"/>
      <c r="E779" s="233"/>
      <c r="F779" s="235"/>
      <c r="G779" s="233"/>
      <c r="H779" s="233"/>
      <c r="I779" s="235"/>
      <c r="J779" s="235"/>
      <c r="K779" s="235"/>
      <c r="L779" s="233"/>
      <c r="M779" s="233"/>
      <c r="N779" s="233"/>
      <c r="O779" s="235"/>
      <c r="P779" s="235"/>
      <c r="Q779" s="235"/>
      <c r="R779" s="235"/>
      <c r="S779" s="233"/>
      <c r="T779" s="235"/>
      <c r="U779" s="235"/>
      <c r="V779" s="233"/>
      <c r="W779" s="235"/>
      <c r="X779" s="235"/>
      <c r="Y779" s="235"/>
      <c r="Z779" s="233"/>
      <c r="AA779" s="233"/>
      <c r="AB779" s="233"/>
      <c r="AC779" s="245"/>
      <c r="AD779" s="245"/>
      <c r="AE779" s="245"/>
    </row>
    <row r="780" spans="1:31" ht="15.75" customHeight="1">
      <c r="A780" s="232"/>
      <c r="B780" s="233"/>
      <c r="C780" s="232"/>
      <c r="D780" s="233"/>
      <c r="E780" s="233"/>
      <c r="F780" s="235"/>
      <c r="G780" s="233"/>
      <c r="H780" s="233"/>
      <c r="I780" s="235"/>
      <c r="J780" s="235"/>
      <c r="K780" s="235"/>
      <c r="L780" s="233"/>
      <c r="M780" s="233"/>
      <c r="N780" s="233"/>
      <c r="O780" s="235"/>
      <c r="P780" s="235"/>
      <c r="Q780" s="235"/>
      <c r="R780" s="235"/>
      <c r="S780" s="233"/>
      <c r="T780" s="235"/>
      <c r="U780" s="235"/>
      <c r="V780" s="233"/>
      <c r="W780" s="235"/>
      <c r="X780" s="235"/>
      <c r="Y780" s="235"/>
      <c r="Z780" s="233"/>
      <c r="AA780" s="233"/>
      <c r="AB780" s="233"/>
      <c r="AC780" s="245"/>
      <c r="AD780" s="245"/>
      <c r="AE780" s="245"/>
    </row>
    <row r="781" spans="1:31" ht="15.75" customHeight="1">
      <c r="A781" s="232"/>
      <c r="B781" s="233"/>
      <c r="C781" s="232"/>
      <c r="D781" s="233"/>
      <c r="E781" s="233"/>
      <c r="F781" s="235"/>
      <c r="G781" s="233"/>
      <c r="H781" s="233"/>
      <c r="I781" s="235"/>
      <c r="J781" s="235"/>
      <c r="K781" s="235"/>
      <c r="L781" s="233"/>
      <c r="M781" s="233"/>
      <c r="N781" s="233"/>
      <c r="O781" s="235"/>
      <c r="P781" s="235"/>
      <c r="Q781" s="235"/>
      <c r="R781" s="235"/>
      <c r="S781" s="233"/>
      <c r="T781" s="235"/>
      <c r="U781" s="235"/>
      <c r="V781" s="233"/>
      <c r="W781" s="235"/>
      <c r="X781" s="235"/>
      <c r="Y781" s="235"/>
      <c r="Z781" s="233"/>
      <c r="AA781" s="233"/>
      <c r="AB781" s="233"/>
      <c r="AC781" s="245"/>
      <c r="AD781" s="245"/>
      <c r="AE781" s="245"/>
    </row>
    <row r="782" spans="1:31" ht="15.75" customHeight="1">
      <c r="A782" s="232"/>
      <c r="B782" s="233"/>
      <c r="C782" s="232"/>
      <c r="D782" s="233"/>
      <c r="E782" s="233"/>
      <c r="F782" s="235"/>
      <c r="G782" s="233"/>
      <c r="H782" s="233"/>
      <c r="I782" s="235"/>
      <c r="J782" s="235"/>
      <c r="K782" s="235"/>
      <c r="L782" s="233"/>
      <c r="M782" s="233"/>
      <c r="N782" s="233"/>
      <c r="O782" s="235"/>
      <c r="P782" s="235"/>
      <c r="Q782" s="235"/>
      <c r="R782" s="235"/>
      <c r="S782" s="233"/>
      <c r="T782" s="235"/>
      <c r="U782" s="235"/>
      <c r="V782" s="233"/>
      <c r="W782" s="235"/>
      <c r="X782" s="235"/>
      <c r="Y782" s="235"/>
      <c r="Z782" s="233"/>
      <c r="AA782" s="233"/>
      <c r="AB782" s="233"/>
      <c r="AC782" s="245"/>
      <c r="AD782" s="245"/>
      <c r="AE782" s="245"/>
    </row>
    <row r="783" spans="1:31" ht="15.75" customHeight="1">
      <c r="A783" s="232"/>
      <c r="B783" s="233"/>
      <c r="C783" s="232"/>
      <c r="D783" s="233"/>
      <c r="E783" s="233"/>
      <c r="F783" s="235"/>
      <c r="G783" s="233"/>
      <c r="H783" s="233"/>
      <c r="I783" s="235"/>
      <c r="J783" s="235"/>
      <c r="K783" s="235"/>
      <c r="L783" s="233"/>
      <c r="M783" s="233"/>
      <c r="N783" s="233"/>
      <c r="O783" s="235"/>
      <c r="P783" s="235"/>
      <c r="Q783" s="235"/>
      <c r="R783" s="235"/>
      <c r="S783" s="233"/>
      <c r="T783" s="235"/>
      <c r="U783" s="235"/>
      <c r="V783" s="233"/>
      <c r="W783" s="235"/>
      <c r="X783" s="235"/>
      <c r="Y783" s="235"/>
      <c r="Z783" s="233"/>
      <c r="AA783" s="233"/>
      <c r="AB783" s="233"/>
      <c r="AC783" s="245"/>
      <c r="AD783" s="245"/>
      <c r="AE783" s="245"/>
    </row>
    <row r="784" spans="1:31" ht="15.75" customHeight="1">
      <c r="A784" s="232"/>
      <c r="B784" s="233"/>
      <c r="C784" s="232"/>
      <c r="D784" s="233"/>
      <c r="E784" s="233"/>
      <c r="F784" s="235"/>
      <c r="G784" s="233"/>
      <c r="H784" s="233"/>
      <c r="I784" s="235"/>
      <c r="J784" s="235"/>
      <c r="K784" s="235"/>
      <c r="L784" s="233"/>
      <c r="M784" s="233"/>
      <c r="N784" s="233"/>
      <c r="O784" s="235"/>
      <c r="P784" s="235"/>
      <c r="Q784" s="235"/>
      <c r="R784" s="235"/>
      <c r="S784" s="233"/>
      <c r="T784" s="235"/>
      <c r="U784" s="235"/>
      <c r="V784" s="233"/>
      <c r="W784" s="235"/>
      <c r="X784" s="235"/>
      <c r="Y784" s="235"/>
      <c r="Z784" s="233"/>
      <c r="AA784" s="233"/>
      <c r="AB784" s="233"/>
      <c r="AC784" s="245"/>
      <c r="AD784" s="245"/>
      <c r="AE784" s="245"/>
    </row>
    <row r="785" spans="1:31" ht="15.75" customHeight="1">
      <c r="A785" s="232"/>
      <c r="B785" s="233"/>
      <c r="C785" s="232"/>
      <c r="D785" s="233"/>
      <c r="E785" s="233"/>
      <c r="F785" s="235"/>
      <c r="G785" s="233"/>
      <c r="H785" s="233"/>
      <c r="I785" s="235"/>
      <c r="J785" s="235"/>
      <c r="K785" s="235"/>
      <c r="L785" s="233"/>
      <c r="M785" s="233"/>
      <c r="N785" s="233"/>
      <c r="O785" s="235"/>
      <c r="P785" s="235"/>
      <c r="Q785" s="235"/>
      <c r="R785" s="235"/>
      <c r="S785" s="233"/>
      <c r="T785" s="235"/>
      <c r="U785" s="235"/>
      <c r="V785" s="233"/>
      <c r="W785" s="235"/>
      <c r="X785" s="235"/>
      <c r="Y785" s="235"/>
      <c r="Z785" s="233"/>
      <c r="AA785" s="233"/>
      <c r="AB785" s="233"/>
      <c r="AC785" s="245"/>
      <c r="AD785" s="245"/>
      <c r="AE785" s="245"/>
    </row>
    <row r="786" spans="1:31" ht="15.75" customHeight="1">
      <c r="A786" s="232"/>
      <c r="B786" s="233"/>
      <c r="C786" s="232"/>
      <c r="D786" s="233"/>
      <c r="E786" s="233"/>
      <c r="F786" s="235"/>
      <c r="G786" s="233"/>
      <c r="H786" s="233"/>
      <c r="I786" s="235"/>
      <c r="J786" s="235"/>
      <c r="K786" s="235"/>
      <c r="L786" s="233"/>
      <c r="M786" s="233"/>
      <c r="N786" s="233"/>
      <c r="O786" s="235"/>
      <c r="P786" s="235"/>
      <c r="Q786" s="235"/>
      <c r="R786" s="235"/>
      <c r="S786" s="233"/>
      <c r="T786" s="235"/>
      <c r="U786" s="235"/>
      <c r="V786" s="233"/>
      <c r="W786" s="235"/>
      <c r="X786" s="235"/>
      <c r="Y786" s="235"/>
      <c r="Z786" s="233"/>
      <c r="AA786" s="233"/>
      <c r="AB786" s="233"/>
      <c r="AC786" s="245"/>
      <c r="AD786" s="245"/>
      <c r="AE786" s="245"/>
    </row>
    <row r="787" spans="1:31" ht="15.75" customHeight="1">
      <c r="A787" s="232"/>
      <c r="B787" s="233"/>
      <c r="C787" s="232"/>
      <c r="D787" s="233"/>
      <c r="E787" s="233"/>
      <c r="F787" s="235"/>
      <c r="G787" s="233"/>
      <c r="H787" s="233"/>
      <c r="I787" s="235"/>
      <c r="J787" s="235"/>
      <c r="K787" s="235"/>
      <c r="L787" s="233"/>
      <c r="M787" s="233"/>
      <c r="N787" s="233"/>
      <c r="O787" s="235"/>
      <c r="P787" s="235"/>
      <c r="Q787" s="235"/>
      <c r="R787" s="235"/>
      <c r="S787" s="233"/>
      <c r="T787" s="235"/>
      <c r="U787" s="235"/>
      <c r="V787" s="233"/>
      <c r="W787" s="235"/>
      <c r="X787" s="235"/>
      <c r="Y787" s="235"/>
      <c r="Z787" s="233"/>
      <c r="AA787" s="233"/>
      <c r="AB787" s="233"/>
      <c r="AC787" s="245"/>
      <c r="AD787" s="245"/>
      <c r="AE787" s="245"/>
    </row>
    <row r="788" spans="1:31" ht="15.75" customHeight="1">
      <c r="A788" s="232"/>
      <c r="B788" s="233"/>
      <c r="C788" s="232"/>
      <c r="D788" s="233"/>
      <c r="E788" s="233"/>
      <c r="F788" s="235"/>
      <c r="G788" s="233"/>
      <c r="H788" s="233"/>
      <c r="I788" s="235"/>
      <c r="J788" s="235"/>
      <c r="K788" s="235"/>
      <c r="L788" s="233"/>
      <c r="M788" s="233"/>
      <c r="N788" s="233"/>
      <c r="O788" s="235"/>
      <c r="P788" s="235"/>
      <c r="Q788" s="235"/>
      <c r="R788" s="235"/>
      <c r="S788" s="233"/>
      <c r="T788" s="235"/>
      <c r="U788" s="235"/>
      <c r="V788" s="233"/>
      <c r="W788" s="235"/>
      <c r="X788" s="235"/>
      <c r="Y788" s="235"/>
      <c r="Z788" s="233"/>
      <c r="AA788" s="233"/>
      <c r="AB788" s="233"/>
      <c r="AC788" s="245"/>
      <c r="AD788" s="245"/>
      <c r="AE788" s="245"/>
    </row>
    <row r="789" spans="1:31" ht="15.75" customHeight="1">
      <c r="A789" s="232"/>
      <c r="B789" s="233"/>
      <c r="C789" s="232"/>
      <c r="D789" s="233"/>
      <c r="E789" s="233"/>
      <c r="F789" s="235"/>
      <c r="G789" s="233"/>
      <c r="H789" s="233"/>
      <c r="I789" s="235"/>
      <c r="J789" s="235"/>
      <c r="K789" s="235"/>
      <c r="L789" s="233"/>
      <c r="M789" s="233"/>
      <c r="N789" s="233"/>
      <c r="O789" s="235"/>
      <c r="P789" s="235"/>
      <c r="Q789" s="235"/>
      <c r="R789" s="235"/>
      <c r="S789" s="233"/>
      <c r="T789" s="235"/>
      <c r="U789" s="235"/>
      <c r="V789" s="233"/>
      <c r="W789" s="235"/>
      <c r="X789" s="235"/>
      <c r="Y789" s="235"/>
      <c r="Z789" s="233"/>
      <c r="AA789" s="233"/>
      <c r="AB789" s="233"/>
      <c r="AC789" s="245"/>
      <c r="AD789" s="245"/>
      <c r="AE789" s="245"/>
    </row>
    <row r="790" spans="1:31" ht="15.75" customHeight="1">
      <c r="A790" s="232"/>
      <c r="B790" s="233"/>
      <c r="C790" s="232"/>
      <c r="D790" s="233"/>
      <c r="E790" s="233"/>
      <c r="F790" s="235"/>
      <c r="G790" s="233"/>
      <c r="H790" s="233"/>
      <c r="I790" s="235"/>
      <c r="J790" s="235"/>
      <c r="K790" s="235"/>
      <c r="L790" s="233"/>
      <c r="M790" s="233"/>
      <c r="N790" s="233"/>
      <c r="O790" s="235"/>
      <c r="P790" s="235"/>
      <c r="Q790" s="235"/>
      <c r="R790" s="235"/>
      <c r="S790" s="233"/>
      <c r="T790" s="235"/>
      <c r="U790" s="235"/>
      <c r="V790" s="233"/>
      <c r="W790" s="235"/>
      <c r="X790" s="235"/>
      <c r="Y790" s="235"/>
      <c r="Z790" s="233"/>
      <c r="AA790" s="233"/>
      <c r="AB790" s="233"/>
      <c r="AC790" s="245"/>
      <c r="AD790" s="245"/>
      <c r="AE790" s="245"/>
    </row>
    <row r="791" spans="1:31" ht="15.75" customHeight="1">
      <c r="A791" s="232"/>
      <c r="B791" s="233"/>
      <c r="C791" s="232"/>
      <c r="D791" s="233"/>
      <c r="E791" s="233"/>
      <c r="F791" s="235"/>
      <c r="G791" s="233"/>
      <c r="H791" s="233"/>
      <c r="I791" s="235"/>
      <c r="J791" s="235"/>
      <c r="K791" s="235"/>
      <c r="L791" s="233"/>
      <c r="M791" s="233"/>
      <c r="N791" s="233"/>
      <c r="O791" s="235"/>
      <c r="P791" s="235"/>
      <c r="Q791" s="235"/>
      <c r="R791" s="235"/>
      <c r="S791" s="233"/>
      <c r="T791" s="235"/>
      <c r="U791" s="235"/>
      <c r="V791" s="233"/>
      <c r="W791" s="235"/>
      <c r="X791" s="235"/>
      <c r="Y791" s="235"/>
      <c r="Z791" s="233"/>
      <c r="AA791" s="233"/>
      <c r="AB791" s="233"/>
      <c r="AC791" s="245"/>
      <c r="AD791" s="245"/>
      <c r="AE791" s="245"/>
    </row>
    <row r="792" spans="1:31" ht="15.75" customHeight="1">
      <c r="A792" s="232"/>
      <c r="B792" s="233"/>
      <c r="C792" s="232"/>
      <c r="D792" s="233"/>
      <c r="E792" s="233"/>
      <c r="F792" s="235"/>
      <c r="G792" s="233"/>
      <c r="H792" s="233"/>
      <c r="I792" s="235"/>
      <c r="J792" s="235"/>
      <c r="K792" s="235"/>
      <c r="L792" s="233"/>
      <c r="M792" s="233"/>
      <c r="N792" s="233"/>
      <c r="O792" s="235"/>
      <c r="P792" s="235"/>
      <c r="Q792" s="235"/>
      <c r="R792" s="235"/>
      <c r="S792" s="233"/>
      <c r="T792" s="235"/>
      <c r="U792" s="235"/>
      <c r="V792" s="233"/>
      <c r="W792" s="235"/>
      <c r="X792" s="235"/>
      <c r="Y792" s="235"/>
      <c r="Z792" s="233"/>
      <c r="AA792" s="233"/>
      <c r="AB792" s="233"/>
      <c r="AC792" s="245"/>
      <c r="AD792" s="245"/>
      <c r="AE792" s="245"/>
    </row>
    <row r="793" spans="1:31" ht="15.75" customHeight="1">
      <c r="A793" s="232"/>
      <c r="B793" s="233"/>
      <c r="C793" s="232"/>
      <c r="D793" s="233"/>
      <c r="E793" s="233"/>
      <c r="F793" s="235"/>
      <c r="G793" s="233"/>
      <c r="H793" s="233"/>
      <c r="I793" s="235"/>
      <c r="J793" s="235"/>
      <c r="K793" s="235"/>
      <c r="L793" s="233"/>
      <c r="M793" s="233"/>
      <c r="N793" s="233"/>
      <c r="O793" s="235"/>
      <c r="P793" s="235"/>
      <c r="Q793" s="235"/>
      <c r="R793" s="235"/>
      <c r="S793" s="233"/>
      <c r="T793" s="235"/>
      <c r="U793" s="235"/>
      <c r="V793" s="233"/>
      <c r="W793" s="235"/>
      <c r="X793" s="235"/>
      <c r="Y793" s="235"/>
      <c r="Z793" s="233"/>
      <c r="AA793" s="233"/>
      <c r="AB793" s="233"/>
      <c r="AC793" s="245"/>
      <c r="AD793" s="245"/>
      <c r="AE793" s="245"/>
    </row>
    <row r="794" spans="1:31" ht="15.75" customHeight="1">
      <c r="A794" s="232"/>
      <c r="B794" s="233"/>
      <c r="C794" s="232"/>
      <c r="D794" s="233"/>
      <c r="E794" s="233"/>
      <c r="F794" s="235"/>
      <c r="G794" s="233"/>
      <c r="H794" s="233"/>
      <c r="I794" s="235"/>
      <c r="J794" s="235"/>
      <c r="K794" s="235"/>
      <c r="L794" s="233"/>
      <c r="M794" s="233"/>
      <c r="N794" s="233"/>
      <c r="O794" s="235"/>
      <c r="P794" s="235"/>
      <c r="Q794" s="235"/>
      <c r="R794" s="235"/>
      <c r="S794" s="233"/>
      <c r="T794" s="235"/>
      <c r="U794" s="235"/>
      <c r="V794" s="233"/>
      <c r="W794" s="235"/>
      <c r="X794" s="235"/>
      <c r="Y794" s="235"/>
      <c r="Z794" s="233"/>
      <c r="AA794" s="233"/>
      <c r="AB794" s="233"/>
      <c r="AC794" s="245"/>
      <c r="AD794" s="245"/>
      <c r="AE794" s="245"/>
    </row>
    <row r="795" spans="1:31" ht="15.75" customHeight="1">
      <c r="A795" s="232"/>
      <c r="B795" s="233"/>
      <c r="C795" s="232"/>
      <c r="D795" s="233"/>
      <c r="E795" s="233"/>
      <c r="F795" s="235"/>
      <c r="G795" s="233"/>
      <c r="H795" s="233"/>
      <c r="I795" s="235"/>
      <c r="J795" s="235"/>
      <c r="K795" s="235"/>
      <c r="L795" s="233"/>
      <c r="M795" s="233"/>
      <c r="N795" s="233"/>
      <c r="O795" s="235"/>
      <c r="P795" s="235"/>
      <c r="Q795" s="235"/>
      <c r="R795" s="235"/>
      <c r="S795" s="233"/>
      <c r="T795" s="235"/>
      <c r="U795" s="235"/>
      <c r="V795" s="233"/>
      <c r="W795" s="235"/>
      <c r="X795" s="235"/>
      <c r="Y795" s="235"/>
      <c r="Z795" s="233"/>
      <c r="AA795" s="233"/>
      <c r="AB795" s="233"/>
      <c r="AC795" s="245"/>
      <c r="AD795" s="245"/>
      <c r="AE795" s="245"/>
    </row>
    <row r="796" spans="1:31" ht="15.75" customHeight="1">
      <c r="A796" s="232"/>
      <c r="B796" s="233"/>
      <c r="C796" s="232"/>
      <c r="D796" s="233"/>
      <c r="E796" s="233"/>
      <c r="F796" s="235"/>
      <c r="G796" s="233"/>
      <c r="H796" s="233"/>
      <c r="I796" s="235"/>
      <c r="J796" s="235"/>
      <c r="K796" s="235"/>
      <c r="L796" s="233"/>
      <c r="M796" s="233"/>
      <c r="N796" s="233"/>
      <c r="O796" s="235"/>
      <c r="P796" s="235"/>
      <c r="Q796" s="235"/>
      <c r="R796" s="235"/>
      <c r="S796" s="233"/>
      <c r="T796" s="235"/>
      <c r="U796" s="235"/>
      <c r="V796" s="233"/>
      <c r="W796" s="235"/>
      <c r="X796" s="235"/>
      <c r="Y796" s="235"/>
      <c r="Z796" s="233"/>
      <c r="AA796" s="233"/>
      <c r="AB796" s="233"/>
      <c r="AC796" s="245"/>
      <c r="AD796" s="245"/>
      <c r="AE796" s="245"/>
    </row>
    <row r="797" spans="1:31" ht="15.75" customHeight="1">
      <c r="A797" s="232"/>
      <c r="B797" s="233"/>
      <c r="C797" s="232"/>
      <c r="D797" s="233"/>
      <c r="E797" s="233"/>
      <c r="F797" s="235"/>
      <c r="G797" s="233"/>
      <c r="H797" s="233"/>
      <c r="I797" s="235"/>
      <c r="J797" s="235"/>
      <c r="K797" s="235"/>
      <c r="L797" s="233"/>
      <c r="M797" s="233"/>
      <c r="N797" s="233"/>
      <c r="O797" s="235"/>
      <c r="P797" s="235"/>
      <c r="Q797" s="235"/>
      <c r="R797" s="235"/>
      <c r="S797" s="233"/>
      <c r="T797" s="235"/>
      <c r="U797" s="235"/>
      <c r="V797" s="233"/>
      <c r="W797" s="235"/>
      <c r="X797" s="235"/>
      <c r="Y797" s="235"/>
      <c r="Z797" s="233"/>
      <c r="AA797" s="233"/>
      <c r="AB797" s="233"/>
      <c r="AC797" s="245"/>
      <c r="AD797" s="245"/>
      <c r="AE797" s="245"/>
    </row>
    <row r="798" spans="1:31" ht="15.75" customHeight="1">
      <c r="A798" s="232"/>
      <c r="B798" s="233"/>
      <c r="C798" s="232"/>
      <c r="D798" s="233"/>
      <c r="E798" s="233"/>
      <c r="F798" s="235"/>
      <c r="G798" s="233"/>
      <c r="H798" s="233"/>
      <c r="I798" s="235"/>
      <c r="J798" s="235"/>
      <c r="K798" s="235"/>
      <c r="L798" s="233"/>
      <c r="M798" s="233"/>
      <c r="N798" s="233"/>
      <c r="O798" s="235"/>
      <c r="P798" s="235"/>
      <c r="Q798" s="235"/>
      <c r="R798" s="235"/>
      <c r="S798" s="233"/>
      <c r="T798" s="235"/>
      <c r="U798" s="235"/>
      <c r="V798" s="233"/>
      <c r="W798" s="235"/>
      <c r="X798" s="235"/>
      <c r="Y798" s="235"/>
      <c r="Z798" s="233"/>
      <c r="AA798" s="233"/>
      <c r="AB798" s="233"/>
      <c r="AC798" s="245"/>
      <c r="AD798" s="245"/>
      <c r="AE798" s="245"/>
    </row>
    <row r="799" spans="1:31" ht="15.75" customHeight="1">
      <c r="A799" s="232"/>
      <c r="B799" s="233"/>
      <c r="C799" s="232"/>
      <c r="D799" s="233"/>
      <c r="E799" s="233"/>
      <c r="F799" s="235"/>
      <c r="G799" s="233"/>
      <c r="H799" s="233"/>
      <c r="I799" s="235"/>
      <c r="J799" s="235"/>
      <c r="K799" s="235"/>
      <c r="L799" s="233"/>
      <c r="M799" s="233"/>
      <c r="N799" s="233"/>
      <c r="O799" s="235"/>
      <c r="P799" s="235"/>
      <c r="Q799" s="235"/>
      <c r="R799" s="235"/>
      <c r="S799" s="233"/>
      <c r="T799" s="235"/>
      <c r="U799" s="235"/>
      <c r="V799" s="233"/>
      <c r="W799" s="235"/>
      <c r="X799" s="235"/>
      <c r="Y799" s="235"/>
      <c r="Z799" s="233"/>
      <c r="AA799" s="233"/>
      <c r="AB799" s="233"/>
      <c r="AC799" s="245"/>
      <c r="AD799" s="245"/>
      <c r="AE799" s="245"/>
    </row>
    <row r="800" spans="1:31" ht="15.75" customHeight="1">
      <c r="A800" s="232"/>
      <c r="B800" s="233"/>
      <c r="C800" s="232"/>
      <c r="D800" s="233"/>
      <c r="E800" s="233"/>
      <c r="F800" s="235"/>
      <c r="G800" s="233"/>
      <c r="H800" s="233"/>
      <c r="I800" s="235"/>
      <c r="J800" s="235"/>
      <c r="K800" s="235"/>
      <c r="L800" s="233"/>
      <c r="M800" s="233"/>
      <c r="N800" s="233"/>
      <c r="O800" s="235"/>
      <c r="P800" s="235"/>
      <c r="Q800" s="235"/>
      <c r="R800" s="235"/>
      <c r="S800" s="233"/>
      <c r="T800" s="235"/>
      <c r="U800" s="235"/>
      <c r="V800" s="233"/>
      <c r="W800" s="235"/>
      <c r="X800" s="235"/>
      <c r="Y800" s="235"/>
      <c r="Z800" s="233"/>
      <c r="AA800" s="233"/>
      <c r="AB800" s="233"/>
      <c r="AC800" s="245"/>
      <c r="AD800" s="245"/>
      <c r="AE800" s="245"/>
    </row>
    <row r="801" spans="1:31" ht="15.75" customHeight="1">
      <c r="A801" s="232"/>
      <c r="B801" s="233"/>
      <c r="C801" s="232"/>
      <c r="D801" s="233"/>
      <c r="E801" s="233"/>
      <c r="F801" s="235"/>
      <c r="G801" s="233"/>
      <c r="H801" s="233"/>
      <c r="I801" s="235"/>
      <c r="J801" s="235"/>
      <c r="K801" s="235"/>
      <c r="L801" s="233"/>
      <c r="M801" s="233"/>
      <c r="N801" s="233"/>
      <c r="O801" s="235"/>
      <c r="P801" s="235"/>
      <c r="Q801" s="235"/>
      <c r="R801" s="235"/>
      <c r="S801" s="233"/>
      <c r="T801" s="235"/>
      <c r="U801" s="235"/>
      <c r="V801" s="233"/>
      <c r="W801" s="235"/>
      <c r="X801" s="235"/>
      <c r="Y801" s="235"/>
      <c r="Z801" s="233"/>
      <c r="AA801" s="233"/>
      <c r="AB801" s="233"/>
      <c r="AC801" s="245"/>
      <c r="AD801" s="245"/>
      <c r="AE801" s="245"/>
    </row>
    <row r="802" spans="1:31" ht="15.75" customHeight="1">
      <c r="A802" s="232"/>
      <c r="B802" s="233"/>
      <c r="C802" s="232"/>
      <c r="D802" s="233"/>
      <c r="E802" s="233"/>
      <c r="F802" s="235"/>
      <c r="G802" s="233"/>
      <c r="H802" s="233"/>
      <c r="I802" s="235"/>
      <c r="J802" s="235"/>
      <c r="K802" s="235"/>
      <c r="L802" s="233"/>
      <c r="M802" s="233"/>
      <c r="N802" s="233"/>
      <c r="O802" s="235"/>
      <c r="P802" s="235"/>
      <c r="Q802" s="235"/>
      <c r="R802" s="235"/>
      <c r="S802" s="233"/>
      <c r="T802" s="235"/>
      <c r="U802" s="235"/>
      <c r="V802" s="233"/>
      <c r="W802" s="235"/>
      <c r="X802" s="235"/>
      <c r="Y802" s="235"/>
      <c r="Z802" s="233"/>
      <c r="AA802" s="233"/>
      <c r="AB802" s="233"/>
      <c r="AC802" s="245"/>
      <c r="AD802" s="245"/>
      <c r="AE802" s="245"/>
    </row>
    <row r="803" spans="1:31" ht="15.75" customHeight="1">
      <c r="A803" s="232"/>
      <c r="B803" s="233"/>
      <c r="C803" s="232"/>
      <c r="D803" s="233"/>
      <c r="E803" s="233"/>
      <c r="F803" s="235"/>
      <c r="G803" s="233"/>
      <c r="H803" s="233"/>
      <c r="I803" s="235"/>
      <c r="J803" s="235"/>
      <c r="K803" s="235"/>
      <c r="L803" s="233"/>
      <c r="M803" s="233"/>
      <c r="N803" s="233"/>
      <c r="O803" s="235"/>
      <c r="P803" s="235"/>
      <c r="Q803" s="235"/>
      <c r="R803" s="235"/>
      <c r="S803" s="233"/>
      <c r="T803" s="235"/>
      <c r="U803" s="235"/>
      <c r="V803" s="233"/>
      <c r="W803" s="235"/>
      <c r="X803" s="235"/>
      <c r="Y803" s="235"/>
      <c r="Z803" s="233"/>
      <c r="AA803" s="233"/>
      <c r="AB803" s="233"/>
      <c r="AC803" s="245"/>
      <c r="AD803" s="245"/>
      <c r="AE803" s="245"/>
    </row>
    <row r="804" spans="1:31" ht="15.75" customHeight="1">
      <c r="A804" s="232"/>
      <c r="B804" s="233"/>
      <c r="C804" s="232"/>
      <c r="D804" s="233"/>
      <c r="E804" s="233"/>
      <c r="F804" s="235"/>
      <c r="G804" s="233"/>
      <c r="H804" s="233"/>
      <c r="I804" s="235"/>
      <c r="J804" s="235"/>
      <c r="K804" s="235"/>
      <c r="L804" s="233"/>
      <c r="M804" s="233"/>
      <c r="N804" s="233"/>
      <c r="O804" s="235"/>
      <c r="P804" s="235"/>
      <c r="Q804" s="235"/>
      <c r="R804" s="235"/>
      <c r="S804" s="233"/>
      <c r="T804" s="235"/>
      <c r="U804" s="235"/>
      <c r="V804" s="233"/>
      <c r="W804" s="235"/>
      <c r="X804" s="235"/>
      <c r="Y804" s="235"/>
      <c r="Z804" s="233"/>
      <c r="AA804" s="233"/>
      <c r="AB804" s="233"/>
      <c r="AC804" s="245"/>
      <c r="AD804" s="245"/>
      <c r="AE804" s="245"/>
    </row>
    <row r="805" spans="1:31" ht="15.75" customHeight="1">
      <c r="A805" s="232"/>
      <c r="B805" s="233"/>
      <c r="C805" s="232"/>
      <c r="D805" s="233"/>
      <c r="E805" s="233"/>
      <c r="F805" s="235"/>
      <c r="G805" s="233"/>
      <c r="H805" s="233"/>
      <c r="I805" s="235"/>
      <c r="J805" s="235"/>
      <c r="K805" s="235"/>
      <c r="L805" s="233"/>
      <c r="M805" s="233"/>
      <c r="N805" s="233"/>
      <c r="O805" s="235"/>
      <c r="P805" s="235"/>
      <c r="Q805" s="235"/>
      <c r="R805" s="235"/>
      <c r="S805" s="233"/>
      <c r="T805" s="235"/>
      <c r="U805" s="235"/>
      <c r="V805" s="233"/>
      <c r="W805" s="235"/>
      <c r="X805" s="235"/>
      <c r="Y805" s="235"/>
      <c r="Z805" s="233"/>
      <c r="AA805" s="233"/>
      <c r="AB805" s="233"/>
      <c r="AC805" s="245"/>
      <c r="AD805" s="245"/>
      <c r="AE805" s="245"/>
    </row>
    <row r="806" spans="1:31" ht="15.75" customHeight="1">
      <c r="A806" s="232"/>
      <c r="B806" s="233"/>
      <c r="C806" s="232"/>
      <c r="D806" s="233"/>
      <c r="E806" s="233"/>
      <c r="F806" s="235"/>
      <c r="G806" s="233"/>
      <c r="H806" s="233"/>
      <c r="I806" s="235"/>
      <c r="J806" s="235"/>
      <c r="K806" s="235"/>
      <c r="L806" s="233"/>
      <c r="M806" s="233"/>
      <c r="N806" s="233"/>
      <c r="O806" s="235"/>
      <c r="P806" s="235"/>
      <c r="Q806" s="235"/>
      <c r="R806" s="235"/>
      <c r="S806" s="233"/>
      <c r="T806" s="235"/>
      <c r="U806" s="235"/>
      <c r="V806" s="233"/>
      <c r="W806" s="235"/>
      <c r="X806" s="235"/>
      <c r="Y806" s="235"/>
      <c r="Z806" s="233"/>
      <c r="AA806" s="233"/>
      <c r="AB806" s="233"/>
      <c r="AC806" s="245"/>
      <c r="AD806" s="245"/>
      <c r="AE806" s="245"/>
    </row>
    <row r="807" spans="1:31" ht="15.75" customHeight="1">
      <c r="A807" s="232"/>
      <c r="B807" s="233"/>
      <c r="C807" s="232"/>
      <c r="D807" s="233"/>
      <c r="E807" s="233"/>
      <c r="F807" s="235"/>
      <c r="G807" s="233"/>
      <c r="H807" s="233"/>
      <c r="I807" s="235"/>
      <c r="J807" s="235"/>
      <c r="K807" s="235"/>
      <c r="L807" s="233"/>
      <c r="M807" s="233"/>
      <c r="N807" s="233"/>
      <c r="O807" s="235"/>
      <c r="P807" s="235"/>
      <c r="Q807" s="235"/>
      <c r="R807" s="235"/>
      <c r="S807" s="233"/>
      <c r="T807" s="235"/>
      <c r="U807" s="235"/>
      <c r="V807" s="233"/>
      <c r="W807" s="235"/>
      <c r="X807" s="235"/>
      <c r="Y807" s="235"/>
      <c r="Z807" s="233"/>
      <c r="AA807" s="233"/>
      <c r="AB807" s="233"/>
      <c r="AC807" s="245"/>
      <c r="AD807" s="245"/>
      <c r="AE807" s="245"/>
    </row>
    <row r="808" spans="1:31" ht="15.75" customHeight="1">
      <c r="A808" s="232"/>
      <c r="B808" s="233"/>
      <c r="C808" s="232"/>
      <c r="D808" s="233"/>
      <c r="E808" s="233"/>
      <c r="F808" s="235"/>
      <c r="G808" s="233"/>
      <c r="H808" s="233"/>
      <c r="I808" s="235"/>
      <c r="J808" s="235"/>
      <c r="K808" s="235"/>
      <c r="L808" s="233"/>
      <c r="M808" s="233"/>
      <c r="N808" s="233"/>
      <c r="O808" s="235"/>
      <c r="P808" s="235"/>
      <c r="Q808" s="235"/>
      <c r="R808" s="235"/>
      <c r="S808" s="233"/>
      <c r="T808" s="235"/>
      <c r="U808" s="235"/>
      <c r="V808" s="233"/>
      <c r="W808" s="235"/>
      <c r="X808" s="235"/>
      <c r="Y808" s="235"/>
      <c r="Z808" s="233"/>
      <c r="AA808" s="233"/>
      <c r="AB808" s="233"/>
      <c r="AC808" s="245"/>
      <c r="AD808" s="245"/>
      <c r="AE808" s="245"/>
    </row>
    <row r="809" spans="1:31" ht="15.75" customHeight="1">
      <c r="A809" s="232"/>
      <c r="B809" s="233"/>
      <c r="C809" s="232"/>
      <c r="D809" s="233"/>
      <c r="E809" s="233"/>
      <c r="F809" s="235"/>
      <c r="G809" s="233"/>
      <c r="H809" s="233"/>
      <c r="I809" s="235"/>
      <c r="J809" s="235"/>
      <c r="K809" s="235"/>
      <c r="L809" s="233"/>
      <c r="M809" s="233"/>
      <c r="N809" s="233"/>
      <c r="O809" s="235"/>
      <c r="P809" s="235"/>
      <c r="Q809" s="235"/>
      <c r="R809" s="235"/>
      <c r="S809" s="233"/>
      <c r="T809" s="235"/>
      <c r="U809" s="235"/>
      <c r="V809" s="233"/>
      <c r="W809" s="235"/>
      <c r="X809" s="235"/>
      <c r="Y809" s="235"/>
      <c r="Z809" s="233"/>
      <c r="AA809" s="233"/>
      <c r="AB809" s="233"/>
      <c r="AC809" s="245"/>
      <c r="AD809" s="245"/>
      <c r="AE809" s="245"/>
    </row>
    <row r="810" spans="1:31" ht="15.75" customHeight="1">
      <c r="A810" s="232"/>
      <c r="B810" s="233"/>
      <c r="C810" s="232"/>
      <c r="D810" s="233"/>
      <c r="E810" s="233"/>
      <c r="F810" s="235"/>
      <c r="G810" s="233"/>
      <c r="H810" s="233"/>
      <c r="I810" s="235"/>
      <c r="J810" s="235"/>
      <c r="K810" s="235"/>
      <c r="L810" s="233"/>
      <c r="M810" s="233"/>
      <c r="N810" s="233"/>
      <c r="O810" s="235"/>
      <c r="P810" s="235"/>
      <c r="Q810" s="235"/>
      <c r="R810" s="235"/>
      <c r="S810" s="233"/>
      <c r="T810" s="235"/>
      <c r="U810" s="235"/>
      <c r="V810" s="233"/>
      <c r="W810" s="235"/>
      <c r="X810" s="235"/>
      <c r="Y810" s="235"/>
      <c r="Z810" s="233"/>
      <c r="AA810" s="233"/>
      <c r="AB810" s="233"/>
      <c r="AC810" s="245"/>
      <c r="AD810" s="245"/>
      <c r="AE810" s="245"/>
    </row>
    <row r="811" spans="1:31" ht="15.75" customHeight="1">
      <c r="A811" s="232"/>
      <c r="B811" s="233"/>
      <c r="C811" s="232"/>
      <c r="D811" s="233"/>
      <c r="E811" s="233"/>
      <c r="F811" s="235"/>
      <c r="G811" s="233"/>
      <c r="H811" s="233"/>
      <c r="I811" s="235"/>
      <c r="J811" s="235"/>
      <c r="K811" s="235"/>
      <c r="L811" s="233"/>
      <c r="M811" s="233"/>
      <c r="N811" s="233"/>
      <c r="O811" s="235"/>
      <c r="P811" s="235"/>
      <c r="Q811" s="235"/>
      <c r="R811" s="235"/>
      <c r="S811" s="233"/>
      <c r="T811" s="235"/>
      <c r="U811" s="235"/>
      <c r="V811" s="233"/>
      <c r="W811" s="235"/>
      <c r="X811" s="235"/>
      <c r="Y811" s="235"/>
      <c r="Z811" s="233"/>
      <c r="AA811" s="233"/>
      <c r="AB811" s="233"/>
      <c r="AC811" s="245"/>
      <c r="AD811" s="245"/>
      <c r="AE811" s="245"/>
    </row>
    <row r="812" spans="1:31" ht="15.75" customHeight="1">
      <c r="A812" s="232"/>
      <c r="B812" s="233"/>
      <c r="C812" s="232"/>
      <c r="D812" s="233"/>
      <c r="E812" s="233"/>
      <c r="F812" s="235"/>
      <c r="G812" s="233"/>
      <c r="H812" s="233"/>
      <c r="I812" s="235"/>
      <c r="J812" s="235"/>
      <c r="K812" s="235"/>
      <c r="L812" s="233"/>
      <c r="M812" s="233"/>
      <c r="N812" s="233"/>
      <c r="O812" s="235"/>
      <c r="P812" s="235"/>
      <c r="Q812" s="235"/>
      <c r="R812" s="235"/>
      <c r="S812" s="233"/>
      <c r="T812" s="235"/>
      <c r="U812" s="235"/>
      <c r="V812" s="233"/>
      <c r="W812" s="235"/>
      <c r="X812" s="235"/>
      <c r="Y812" s="235"/>
      <c r="Z812" s="233"/>
      <c r="AA812" s="233"/>
      <c r="AB812" s="233"/>
      <c r="AC812" s="245"/>
      <c r="AD812" s="245"/>
      <c r="AE812" s="245"/>
    </row>
    <row r="813" spans="1:31" ht="15.75" customHeight="1">
      <c r="A813" s="232"/>
      <c r="B813" s="233"/>
      <c r="C813" s="232"/>
      <c r="D813" s="233"/>
      <c r="E813" s="233"/>
      <c r="F813" s="235"/>
      <c r="G813" s="233"/>
      <c r="H813" s="233"/>
      <c r="I813" s="235"/>
      <c r="J813" s="235"/>
      <c r="K813" s="235"/>
      <c r="L813" s="233"/>
      <c r="M813" s="233"/>
      <c r="N813" s="233"/>
      <c r="O813" s="235"/>
      <c r="P813" s="235"/>
      <c r="Q813" s="235"/>
      <c r="R813" s="235"/>
      <c r="S813" s="233"/>
      <c r="T813" s="235"/>
      <c r="U813" s="235"/>
      <c r="V813" s="233"/>
      <c r="W813" s="235"/>
      <c r="X813" s="235"/>
      <c r="Y813" s="235"/>
      <c r="Z813" s="233"/>
      <c r="AA813" s="233"/>
      <c r="AB813" s="233"/>
      <c r="AC813" s="245"/>
      <c r="AD813" s="245"/>
      <c r="AE813" s="245"/>
    </row>
    <row r="814" spans="1:31" ht="15.75" customHeight="1">
      <c r="A814" s="232"/>
      <c r="B814" s="233"/>
      <c r="C814" s="232"/>
      <c r="D814" s="233"/>
      <c r="E814" s="233"/>
      <c r="F814" s="235"/>
      <c r="G814" s="233"/>
      <c r="H814" s="233"/>
      <c r="I814" s="235"/>
      <c r="J814" s="235"/>
      <c r="K814" s="235"/>
      <c r="L814" s="233"/>
      <c r="M814" s="233"/>
      <c r="N814" s="233"/>
      <c r="O814" s="235"/>
      <c r="P814" s="235"/>
      <c r="Q814" s="235"/>
      <c r="R814" s="235"/>
      <c r="S814" s="233"/>
      <c r="T814" s="235"/>
      <c r="U814" s="235"/>
      <c r="V814" s="233"/>
      <c r="W814" s="235"/>
      <c r="X814" s="235"/>
      <c r="Y814" s="235"/>
      <c r="Z814" s="233"/>
      <c r="AA814" s="233"/>
      <c r="AB814" s="233"/>
      <c r="AC814" s="245"/>
      <c r="AD814" s="245"/>
      <c r="AE814" s="245"/>
    </row>
    <row r="815" spans="1:31" ht="15.75" customHeight="1">
      <c r="A815" s="232"/>
      <c r="B815" s="233"/>
      <c r="C815" s="232"/>
      <c r="D815" s="233"/>
      <c r="E815" s="233"/>
      <c r="F815" s="235"/>
      <c r="G815" s="233"/>
      <c r="H815" s="233"/>
      <c r="I815" s="235"/>
      <c r="J815" s="235"/>
      <c r="K815" s="235"/>
      <c r="L815" s="233"/>
      <c r="M815" s="233"/>
      <c r="N815" s="233"/>
      <c r="O815" s="235"/>
      <c r="P815" s="235"/>
      <c r="Q815" s="235"/>
      <c r="R815" s="235"/>
      <c r="S815" s="233"/>
      <c r="T815" s="235"/>
      <c r="U815" s="235"/>
      <c r="V815" s="233"/>
      <c r="W815" s="235"/>
      <c r="X815" s="235"/>
      <c r="Y815" s="235"/>
      <c r="Z815" s="233"/>
      <c r="AA815" s="233"/>
      <c r="AB815" s="233"/>
      <c r="AC815" s="245"/>
      <c r="AD815" s="245"/>
      <c r="AE815" s="245"/>
    </row>
    <row r="816" spans="1:31" ht="15.75" customHeight="1">
      <c r="A816" s="232"/>
      <c r="B816" s="233"/>
      <c r="C816" s="232"/>
      <c r="D816" s="233"/>
      <c r="E816" s="233"/>
      <c r="F816" s="235"/>
      <c r="G816" s="233"/>
      <c r="H816" s="233"/>
      <c r="I816" s="235"/>
      <c r="J816" s="235"/>
      <c r="K816" s="235"/>
      <c r="L816" s="233"/>
      <c r="M816" s="233"/>
      <c r="N816" s="233"/>
      <c r="O816" s="235"/>
      <c r="P816" s="235"/>
      <c r="Q816" s="235"/>
      <c r="R816" s="235"/>
      <c r="S816" s="233"/>
      <c r="T816" s="235"/>
      <c r="U816" s="235"/>
      <c r="V816" s="233"/>
      <c r="W816" s="235"/>
      <c r="X816" s="235"/>
      <c r="Y816" s="235"/>
      <c r="Z816" s="233"/>
      <c r="AA816" s="233"/>
      <c r="AB816" s="233"/>
      <c r="AC816" s="245"/>
      <c r="AD816" s="245"/>
      <c r="AE816" s="245"/>
    </row>
    <row r="817" spans="1:31" ht="15.75" customHeight="1">
      <c r="A817" s="232"/>
      <c r="B817" s="233"/>
      <c r="C817" s="232"/>
      <c r="D817" s="233"/>
      <c r="E817" s="233"/>
      <c r="F817" s="235"/>
      <c r="G817" s="233"/>
      <c r="H817" s="233"/>
      <c r="I817" s="235"/>
      <c r="J817" s="235"/>
      <c r="K817" s="235"/>
      <c r="L817" s="233"/>
      <c r="M817" s="233"/>
      <c r="N817" s="233"/>
      <c r="O817" s="235"/>
      <c r="P817" s="235"/>
      <c r="Q817" s="235"/>
      <c r="R817" s="235"/>
      <c r="S817" s="233"/>
      <c r="T817" s="235"/>
      <c r="U817" s="235"/>
      <c r="V817" s="233"/>
      <c r="W817" s="235"/>
      <c r="X817" s="235"/>
      <c r="Y817" s="235"/>
      <c r="Z817" s="233"/>
      <c r="AA817" s="233"/>
      <c r="AB817" s="233"/>
      <c r="AC817" s="245"/>
      <c r="AD817" s="245"/>
      <c r="AE817" s="245"/>
    </row>
    <row r="818" spans="1:31" ht="15.75" customHeight="1">
      <c r="A818" s="232"/>
      <c r="B818" s="233"/>
      <c r="C818" s="232"/>
      <c r="D818" s="233"/>
      <c r="E818" s="233"/>
      <c r="F818" s="235"/>
      <c r="G818" s="233"/>
      <c r="H818" s="233"/>
      <c r="I818" s="235"/>
      <c r="J818" s="235"/>
      <c r="K818" s="235"/>
      <c r="L818" s="233"/>
      <c r="M818" s="233"/>
      <c r="N818" s="233"/>
      <c r="O818" s="235"/>
      <c r="P818" s="235"/>
      <c r="Q818" s="235"/>
      <c r="R818" s="235"/>
      <c r="S818" s="233"/>
      <c r="T818" s="235"/>
      <c r="U818" s="235"/>
      <c r="V818" s="233"/>
      <c r="W818" s="235"/>
      <c r="X818" s="235"/>
      <c r="Y818" s="235"/>
      <c r="Z818" s="233"/>
      <c r="AA818" s="233"/>
      <c r="AB818" s="233"/>
      <c r="AC818" s="245"/>
      <c r="AD818" s="245"/>
      <c r="AE818" s="245"/>
    </row>
    <row r="819" spans="1:31" ht="15.75" customHeight="1">
      <c r="A819" s="232"/>
      <c r="B819" s="233"/>
      <c r="C819" s="232"/>
      <c r="D819" s="233"/>
      <c r="E819" s="233"/>
      <c r="F819" s="235"/>
      <c r="G819" s="233"/>
      <c r="H819" s="233"/>
      <c r="I819" s="235"/>
      <c r="J819" s="235"/>
      <c r="K819" s="235"/>
      <c r="L819" s="233"/>
      <c r="M819" s="233"/>
      <c r="N819" s="233"/>
      <c r="O819" s="235"/>
      <c r="P819" s="235"/>
      <c r="Q819" s="235"/>
      <c r="R819" s="235"/>
      <c r="S819" s="233"/>
      <c r="T819" s="235"/>
      <c r="U819" s="235"/>
      <c r="V819" s="233"/>
      <c r="W819" s="235"/>
      <c r="X819" s="235"/>
      <c r="Y819" s="235"/>
      <c r="Z819" s="233"/>
      <c r="AA819" s="233"/>
      <c r="AB819" s="233"/>
      <c r="AC819" s="245"/>
      <c r="AD819" s="245"/>
      <c r="AE819" s="245"/>
    </row>
    <row r="820" spans="1:31" ht="15.75" customHeight="1">
      <c r="A820" s="232"/>
      <c r="B820" s="233"/>
      <c r="C820" s="232"/>
      <c r="D820" s="233"/>
      <c r="E820" s="233"/>
      <c r="F820" s="235"/>
      <c r="G820" s="233"/>
      <c r="H820" s="233"/>
      <c r="I820" s="235"/>
      <c r="J820" s="235"/>
      <c r="K820" s="235"/>
      <c r="L820" s="233"/>
      <c r="M820" s="233"/>
      <c r="N820" s="233"/>
      <c r="O820" s="235"/>
      <c r="P820" s="235"/>
      <c r="Q820" s="235"/>
      <c r="R820" s="235"/>
      <c r="S820" s="233"/>
      <c r="T820" s="235"/>
      <c r="U820" s="235"/>
      <c r="V820" s="233"/>
      <c r="W820" s="235"/>
      <c r="X820" s="235"/>
      <c r="Y820" s="235"/>
      <c r="Z820" s="233"/>
      <c r="AA820" s="233"/>
      <c r="AB820" s="233"/>
      <c r="AC820" s="245"/>
      <c r="AD820" s="245"/>
      <c r="AE820" s="245"/>
    </row>
    <row r="821" spans="1:31" ht="15.75" customHeight="1">
      <c r="A821" s="232"/>
      <c r="B821" s="233"/>
      <c r="C821" s="232"/>
      <c r="D821" s="233"/>
      <c r="E821" s="233"/>
      <c r="F821" s="235"/>
      <c r="G821" s="233"/>
      <c r="H821" s="233"/>
      <c r="I821" s="235"/>
      <c r="J821" s="235"/>
      <c r="K821" s="235"/>
      <c r="L821" s="233"/>
      <c r="M821" s="233"/>
      <c r="N821" s="233"/>
      <c r="O821" s="235"/>
      <c r="P821" s="235"/>
      <c r="Q821" s="235"/>
      <c r="R821" s="235"/>
      <c r="S821" s="233"/>
      <c r="T821" s="235"/>
      <c r="U821" s="235"/>
      <c r="V821" s="233"/>
      <c r="W821" s="235"/>
      <c r="X821" s="235"/>
      <c r="Y821" s="235"/>
      <c r="Z821" s="233"/>
      <c r="AA821" s="233"/>
      <c r="AB821" s="233"/>
      <c r="AC821" s="245"/>
      <c r="AD821" s="245"/>
      <c r="AE821" s="245"/>
    </row>
    <row r="822" spans="1:31" ht="15.75" customHeight="1">
      <c r="A822" s="232"/>
      <c r="B822" s="233"/>
      <c r="C822" s="232"/>
      <c r="D822" s="233"/>
      <c r="E822" s="233"/>
      <c r="F822" s="235"/>
      <c r="G822" s="233"/>
      <c r="H822" s="233"/>
      <c r="I822" s="235"/>
      <c r="J822" s="235"/>
      <c r="K822" s="235"/>
      <c r="L822" s="233"/>
      <c r="M822" s="233"/>
      <c r="N822" s="233"/>
      <c r="O822" s="235"/>
      <c r="P822" s="235"/>
      <c r="Q822" s="235"/>
      <c r="R822" s="235"/>
      <c r="S822" s="233"/>
      <c r="T822" s="235"/>
      <c r="U822" s="235"/>
      <c r="V822" s="233"/>
      <c r="W822" s="235"/>
      <c r="X822" s="235"/>
      <c r="Y822" s="235"/>
      <c r="Z822" s="233"/>
      <c r="AA822" s="233"/>
      <c r="AB822" s="233"/>
      <c r="AC822" s="245"/>
      <c r="AD822" s="245"/>
      <c r="AE822" s="245"/>
    </row>
    <row r="823" spans="1:31" ht="15.75" customHeight="1">
      <c r="A823" s="232"/>
      <c r="B823" s="233"/>
      <c r="C823" s="232"/>
      <c r="D823" s="233"/>
      <c r="E823" s="233"/>
      <c r="F823" s="235"/>
      <c r="G823" s="233"/>
      <c r="H823" s="233"/>
      <c r="I823" s="235"/>
      <c r="J823" s="235"/>
      <c r="K823" s="235"/>
      <c r="L823" s="233"/>
      <c r="M823" s="233"/>
      <c r="N823" s="233"/>
      <c r="O823" s="235"/>
      <c r="P823" s="235"/>
      <c r="Q823" s="235"/>
      <c r="R823" s="235"/>
      <c r="S823" s="233"/>
      <c r="T823" s="235"/>
      <c r="U823" s="235"/>
      <c r="V823" s="233"/>
      <c r="W823" s="235"/>
      <c r="X823" s="235"/>
      <c r="Y823" s="235"/>
      <c r="Z823" s="233"/>
      <c r="AA823" s="233"/>
      <c r="AB823" s="233"/>
      <c r="AC823" s="245"/>
      <c r="AD823" s="245"/>
      <c r="AE823" s="245"/>
    </row>
    <row r="824" spans="1:31" ht="15.75" customHeight="1">
      <c r="A824" s="232"/>
      <c r="B824" s="233"/>
      <c r="C824" s="232"/>
      <c r="D824" s="233"/>
      <c r="E824" s="233"/>
      <c r="F824" s="235"/>
      <c r="G824" s="233"/>
      <c r="H824" s="233"/>
      <c r="I824" s="235"/>
      <c r="J824" s="235"/>
      <c r="K824" s="235"/>
      <c r="L824" s="233"/>
      <c r="M824" s="233"/>
      <c r="N824" s="233"/>
      <c r="O824" s="235"/>
      <c r="P824" s="235"/>
      <c r="Q824" s="235"/>
      <c r="R824" s="235"/>
      <c r="S824" s="233"/>
      <c r="T824" s="235"/>
      <c r="U824" s="235"/>
      <c r="V824" s="233"/>
      <c r="W824" s="235"/>
      <c r="X824" s="235"/>
      <c r="Y824" s="235"/>
      <c r="Z824" s="233"/>
      <c r="AA824" s="233"/>
      <c r="AB824" s="233"/>
      <c r="AC824" s="245"/>
      <c r="AD824" s="245"/>
      <c r="AE824" s="245"/>
    </row>
    <row r="825" spans="1:31" ht="15.75" customHeight="1">
      <c r="A825" s="232"/>
      <c r="B825" s="233"/>
      <c r="C825" s="232"/>
      <c r="D825" s="233"/>
      <c r="E825" s="233"/>
      <c r="F825" s="235"/>
      <c r="G825" s="233"/>
      <c r="H825" s="233"/>
      <c r="I825" s="235"/>
      <c r="J825" s="235"/>
      <c r="K825" s="235"/>
      <c r="L825" s="233"/>
      <c r="M825" s="233"/>
      <c r="N825" s="233"/>
      <c r="O825" s="235"/>
      <c r="P825" s="235"/>
      <c r="Q825" s="235"/>
      <c r="R825" s="235"/>
      <c r="S825" s="233"/>
      <c r="T825" s="235"/>
      <c r="U825" s="235"/>
      <c r="V825" s="233"/>
      <c r="W825" s="235"/>
      <c r="X825" s="235"/>
      <c r="Y825" s="235"/>
      <c r="Z825" s="233"/>
      <c r="AA825" s="233"/>
      <c r="AB825" s="233"/>
      <c r="AC825" s="245"/>
      <c r="AD825" s="245"/>
      <c r="AE825" s="245"/>
    </row>
    <row r="826" spans="1:31" ht="15.75" customHeight="1">
      <c r="A826" s="232"/>
      <c r="B826" s="233"/>
      <c r="C826" s="232"/>
      <c r="D826" s="233"/>
      <c r="E826" s="233"/>
      <c r="F826" s="235"/>
      <c r="G826" s="233"/>
      <c r="H826" s="233"/>
      <c r="I826" s="235"/>
      <c r="J826" s="235"/>
      <c r="K826" s="235"/>
      <c r="L826" s="233"/>
      <c r="M826" s="233"/>
      <c r="N826" s="233"/>
      <c r="O826" s="235"/>
      <c r="P826" s="235"/>
      <c r="Q826" s="235"/>
      <c r="R826" s="235"/>
      <c r="S826" s="233"/>
      <c r="T826" s="235"/>
      <c r="U826" s="235"/>
      <c r="V826" s="233"/>
      <c r="W826" s="235"/>
      <c r="X826" s="235"/>
      <c r="Y826" s="235"/>
      <c r="Z826" s="233"/>
      <c r="AA826" s="233"/>
      <c r="AB826" s="233"/>
      <c r="AC826" s="245"/>
      <c r="AD826" s="245"/>
      <c r="AE826" s="245"/>
    </row>
    <row r="827" spans="1:31" ht="15.75" customHeight="1">
      <c r="A827" s="232"/>
      <c r="B827" s="233"/>
      <c r="C827" s="232"/>
      <c r="D827" s="233"/>
      <c r="E827" s="233"/>
      <c r="F827" s="235"/>
      <c r="G827" s="233"/>
      <c r="H827" s="233"/>
      <c r="I827" s="235"/>
      <c r="J827" s="235"/>
      <c r="K827" s="235"/>
      <c r="L827" s="233"/>
      <c r="M827" s="233"/>
      <c r="N827" s="233"/>
      <c r="O827" s="235"/>
      <c r="P827" s="235"/>
      <c r="Q827" s="235"/>
      <c r="R827" s="235"/>
      <c r="S827" s="233"/>
      <c r="T827" s="235"/>
      <c r="U827" s="235"/>
      <c r="V827" s="233"/>
      <c r="W827" s="235"/>
      <c r="X827" s="235"/>
      <c r="Y827" s="235"/>
      <c r="Z827" s="233"/>
      <c r="AA827" s="233"/>
      <c r="AB827" s="233"/>
      <c r="AC827" s="245"/>
      <c r="AD827" s="245"/>
      <c r="AE827" s="245"/>
    </row>
    <row r="828" spans="1:31" ht="15.75" customHeight="1">
      <c r="A828" s="232"/>
      <c r="B828" s="233"/>
      <c r="C828" s="232"/>
      <c r="D828" s="233"/>
      <c r="E828" s="233"/>
      <c r="F828" s="235"/>
      <c r="G828" s="233"/>
      <c r="H828" s="233"/>
      <c r="I828" s="235"/>
      <c r="J828" s="235"/>
      <c r="K828" s="235"/>
      <c r="L828" s="233"/>
      <c r="M828" s="233"/>
      <c r="N828" s="233"/>
      <c r="O828" s="235"/>
      <c r="P828" s="235"/>
      <c r="Q828" s="235"/>
      <c r="R828" s="235"/>
      <c r="S828" s="233"/>
      <c r="T828" s="235"/>
      <c r="U828" s="235"/>
      <c r="V828" s="233"/>
      <c r="W828" s="235"/>
      <c r="X828" s="235"/>
      <c r="Y828" s="235"/>
      <c r="Z828" s="233"/>
      <c r="AA828" s="233"/>
      <c r="AB828" s="233"/>
      <c r="AC828" s="245"/>
      <c r="AD828" s="245"/>
      <c r="AE828" s="245"/>
    </row>
    <row r="829" spans="1:31" ht="15.75" customHeight="1">
      <c r="A829" s="232"/>
      <c r="B829" s="233"/>
      <c r="C829" s="232"/>
      <c r="D829" s="233"/>
      <c r="E829" s="233"/>
      <c r="F829" s="235"/>
      <c r="G829" s="233"/>
      <c r="H829" s="233"/>
      <c r="I829" s="235"/>
      <c r="J829" s="235"/>
      <c r="K829" s="235"/>
      <c r="L829" s="233"/>
      <c r="M829" s="233"/>
      <c r="N829" s="233"/>
      <c r="O829" s="235"/>
      <c r="P829" s="235"/>
      <c r="Q829" s="235"/>
      <c r="R829" s="235"/>
      <c r="S829" s="233"/>
      <c r="T829" s="235"/>
      <c r="U829" s="235"/>
      <c r="V829" s="233"/>
      <c r="W829" s="235"/>
      <c r="X829" s="235"/>
      <c r="Y829" s="235"/>
      <c r="Z829" s="233"/>
      <c r="AA829" s="233"/>
      <c r="AB829" s="233"/>
      <c r="AC829" s="245"/>
      <c r="AD829" s="245"/>
      <c r="AE829" s="245"/>
    </row>
    <row r="830" spans="1:31" ht="15.75" customHeight="1">
      <c r="A830" s="232"/>
      <c r="B830" s="233"/>
      <c r="C830" s="232"/>
      <c r="D830" s="233"/>
      <c r="E830" s="233"/>
      <c r="F830" s="235"/>
      <c r="G830" s="233"/>
      <c r="H830" s="233"/>
      <c r="I830" s="235"/>
      <c r="J830" s="235"/>
      <c r="K830" s="235"/>
      <c r="L830" s="233"/>
      <c r="M830" s="233"/>
      <c r="N830" s="233"/>
      <c r="O830" s="235"/>
      <c r="P830" s="235"/>
      <c r="Q830" s="235"/>
      <c r="R830" s="235"/>
      <c r="S830" s="233"/>
      <c r="T830" s="235"/>
      <c r="U830" s="235"/>
      <c r="V830" s="233"/>
      <c r="W830" s="235"/>
      <c r="X830" s="235"/>
      <c r="Y830" s="235"/>
      <c r="Z830" s="233"/>
      <c r="AA830" s="233"/>
      <c r="AB830" s="233"/>
      <c r="AC830" s="245"/>
      <c r="AD830" s="245"/>
      <c r="AE830" s="245"/>
    </row>
    <row r="831" spans="1:31" ht="15.75" customHeight="1">
      <c r="A831" s="232"/>
      <c r="B831" s="233"/>
      <c r="C831" s="232"/>
      <c r="D831" s="233"/>
      <c r="E831" s="233"/>
      <c r="F831" s="235"/>
      <c r="G831" s="233"/>
      <c r="H831" s="233"/>
      <c r="I831" s="235"/>
      <c r="J831" s="235"/>
      <c r="K831" s="235"/>
      <c r="L831" s="233"/>
      <c r="M831" s="233"/>
      <c r="N831" s="233"/>
      <c r="O831" s="235"/>
      <c r="P831" s="235"/>
      <c r="Q831" s="235"/>
      <c r="R831" s="235"/>
      <c r="S831" s="233"/>
      <c r="T831" s="235"/>
      <c r="U831" s="235"/>
      <c r="V831" s="233"/>
      <c r="W831" s="235"/>
      <c r="X831" s="235"/>
      <c r="Y831" s="235"/>
      <c r="Z831" s="233"/>
      <c r="AA831" s="233"/>
      <c r="AB831" s="233"/>
      <c r="AC831" s="245"/>
      <c r="AD831" s="245"/>
      <c r="AE831" s="245"/>
    </row>
    <row r="832" spans="1:31" ht="15.75" customHeight="1">
      <c r="A832" s="232"/>
      <c r="B832" s="233"/>
      <c r="C832" s="232"/>
      <c r="D832" s="233"/>
      <c r="E832" s="233"/>
      <c r="F832" s="235"/>
      <c r="G832" s="233"/>
      <c r="H832" s="233"/>
      <c r="I832" s="235"/>
      <c r="J832" s="235"/>
      <c r="K832" s="235"/>
      <c r="L832" s="233"/>
      <c r="M832" s="233"/>
      <c r="N832" s="233"/>
      <c r="O832" s="235"/>
      <c r="P832" s="235"/>
      <c r="Q832" s="235"/>
      <c r="R832" s="235"/>
      <c r="S832" s="233"/>
      <c r="T832" s="235"/>
      <c r="U832" s="235"/>
      <c r="V832" s="233"/>
      <c r="W832" s="235"/>
      <c r="X832" s="235"/>
      <c r="Y832" s="235"/>
      <c r="Z832" s="233"/>
      <c r="AA832" s="233"/>
      <c r="AB832" s="233"/>
      <c r="AC832" s="245"/>
      <c r="AD832" s="245"/>
      <c r="AE832" s="245"/>
    </row>
    <row r="833" spans="1:31" ht="15.75" customHeight="1">
      <c r="A833" s="232"/>
      <c r="B833" s="233"/>
      <c r="C833" s="232"/>
      <c r="D833" s="233"/>
      <c r="E833" s="233"/>
      <c r="F833" s="235"/>
      <c r="G833" s="233"/>
      <c r="H833" s="233"/>
      <c r="I833" s="235"/>
      <c r="J833" s="235"/>
      <c r="K833" s="235"/>
      <c r="L833" s="233"/>
      <c r="M833" s="233"/>
      <c r="N833" s="233"/>
      <c r="O833" s="235"/>
      <c r="P833" s="235"/>
      <c r="Q833" s="235"/>
      <c r="R833" s="235"/>
      <c r="S833" s="233"/>
      <c r="T833" s="235"/>
      <c r="U833" s="235"/>
      <c r="V833" s="233"/>
      <c r="W833" s="235"/>
      <c r="X833" s="235"/>
      <c r="Y833" s="235"/>
      <c r="Z833" s="233"/>
      <c r="AA833" s="233"/>
      <c r="AB833" s="233"/>
      <c r="AC833" s="245"/>
      <c r="AD833" s="245"/>
      <c r="AE833" s="245"/>
    </row>
    <row r="834" spans="1:31" ht="15.75" customHeight="1">
      <c r="A834" s="232"/>
      <c r="B834" s="233"/>
      <c r="C834" s="232"/>
      <c r="D834" s="233"/>
      <c r="E834" s="233"/>
      <c r="F834" s="235"/>
      <c r="G834" s="233"/>
      <c r="H834" s="233"/>
      <c r="I834" s="235"/>
      <c r="J834" s="235"/>
      <c r="K834" s="235"/>
      <c r="L834" s="233"/>
      <c r="M834" s="233"/>
      <c r="N834" s="233"/>
      <c r="O834" s="235"/>
      <c r="P834" s="235"/>
      <c r="Q834" s="235"/>
      <c r="R834" s="235"/>
      <c r="S834" s="233"/>
      <c r="T834" s="235"/>
      <c r="U834" s="235"/>
      <c r="V834" s="233"/>
      <c r="W834" s="235"/>
      <c r="X834" s="235"/>
      <c r="Y834" s="235"/>
      <c r="Z834" s="233"/>
      <c r="AA834" s="233"/>
      <c r="AB834" s="233"/>
      <c r="AC834" s="245"/>
      <c r="AD834" s="245"/>
      <c r="AE834" s="245"/>
    </row>
    <row r="835" spans="1:31" ht="15.75" customHeight="1">
      <c r="A835" s="232"/>
      <c r="B835" s="233"/>
      <c r="C835" s="232"/>
      <c r="D835" s="233"/>
      <c r="E835" s="233"/>
      <c r="F835" s="235"/>
      <c r="G835" s="233"/>
      <c r="H835" s="233"/>
      <c r="I835" s="235"/>
      <c r="J835" s="235"/>
      <c r="K835" s="235"/>
      <c r="L835" s="233"/>
      <c r="M835" s="233"/>
      <c r="N835" s="233"/>
      <c r="O835" s="235"/>
      <c r="P835" s="235"/>
      <c r="Q835" s="235"/>
      <c r="R835" s="235"/>
      <c r="S835" s="233"/>
      <c r="T835" s="235"/>
      <c r="U835" s="235"/>
      <c r="V835" s="233"/>
      <c r="W835" s="235"/>
      <c r="X835" s="235"/>
      <c r="Y835" s="235"/>
      <c r="Z835" s="233"/>
      <c r="AA835" s="233"/>
      <c r="AB835" s="233"/>
      <c r="AC835" s="245"/>
      <c r="AD835" s="245"/>
      <c r="AE835" s="245"/>
    </row>
    <row r="836" spans="1:31" ht="15.75" customHeight="1">
      <c r="A836" s="232"/>
      <c r="B836" s="233"/>
      <c r="C836" s="232"/>
      <c r="D836" s="233"/>
      <c r="E836" s="233"/>
      <c r="F836" s="235"/>
      <c r="G836" s="233"/>
      <c r="H836" s="233"/>
      <c r="I836" s="235"/>
      <c r="J836" s="235"/>
      <c r="K836" s="235"/>
      <c r="L836" s="233"/>
      <c r="M836" s="233"/>
      <c r="N836" s="233"/>
      <c r="O836" s="235"/>
      <c r="P836" s="235"/>
      <c r="Q836" s="235"/>
      <c r="R836" s="235"/>
      <c r="S836" s="233"/>
      <c r="T836" s="235"/>
      <c r="U836" s="235"/>
      <c r="V836" s="233"/>
      <c r="W836" s="235"/>
      <c r="X836" s="235"/>
      <c r="Y836" s="235"/>
      <c r="Z836" s="233"/>
      <c r="AA836" s="233"/>
      <c r="AB836" s="233"/>
      <c r="AC836" s="245"/>
      <c r="AD836" s="245"/>
      <c r="AE836" s="245"/>
    </row>
    <row r="837" spans="1:31" ht="15.75" customHeight="1">
      <c r="A837" s="232"/>
      <c r="B837" s="233"/>
      <c r="C837" s="232"/>
      <c r="D837" s="233"/>
      <c r="E837" s="233"/>
      <c r="F837" s="235"/>
      <c r="G837" s="233"/>
      <c r="H837" s="233"/>
      <c r="I837" s="235"/>
      <c r="J837" s="235"/>
      <c r="K837" s="235"/>
      <c r="L837" s="233"/>
      <c r="M837" s="233"/>
      <c r="N837" s="233"/>
      <c r="O837" s="235"/>
      <c r="P837" s="235"/>
      <c r="Q837" s="235"/>
      <c r="R837" s="235"/>
      <c r="S837" s="233"/>
      <c r="T837" s="235"/>
      <c r="U837" s="235"/>
      <c r="V837" s="233"/>
      <c r="W837" s="235"/>
      <c r="X837" s="235"/>
      <c r="Y837" s="235"/>
      <c r="Z837" s="233"/>
      <c r="AA837" s="233"/>
      <c r="AB837" s="233"/>
      <c r="AC837" s="245"/>
      <c r="AD837" s="245"/>
      <c r="AE837" s="245"/>
    </row>
    <row r="838" spans="1:31" ht="15.75" customHeight="1">
      <c r="A838" s="232"/>
      <c r="B838" s="233"/>
      <c r="C838" s="232"/>
      <c r="D838" s="233"/>
      <c r="E838" s="233"/>
      <c r="F838" s="235"/>
      <c r="G838" s="233"/>
      <c r="H838" s="233"/>
      <c r="I838" s="235"/>
      <c r="J838" s="235"/>
      <c r="K838" s="235"/>
      <c r="L838" s="233"/>
      <c r="M838" s="233"/>
      <c r="N838" s="233"/>
      <c r="O838" s="235"/>
      <c r="P838" s="235"/>
      <c r="Q838" s="235"/>
      <c r="R838" s="235"/>
      <c r="S838" s="233"/>
      <c r="T838" s="235"/>
      <c r="U838" s="235"/>
      <c r="V838" s="233"/>
      <c r="W838" s="235"/>
      <c r="X838" s="235"/>
      <c r="Y838" s="235"/>
      <c r="Z838" s="233"/>
      <c r="AA838" s="233"/>
      <c r="AB838" s="233"/>
      <c r="AC838" s="245"/>
      <c r="AD838" s="245"/>
      <c r="AE838" s="245"/>
    </row>
    <row r="839" spans="1:31" ht="15.75" customHeight="1">
      <c r="A839" s="232"/>
      <c r="B839" s="233"/>
      <c r="C839" s="232"/>
      <c r="D839" s="233"/>
      <c r="E839" s="233"/>
      <c r="F839" s="235"/>
      <c r="G839" s="233"/>
      <c r="H839" s="233"/>
      <c r="I839" s="235"/>
      <c r="J839" s="235"/>
      <c r="K839" s="235"/>
      <c r="L839" s="233"/>
      <c r="M839" s="233"/>
      <c r="N839" s="233"/>
      <c r="O839" s="235"/>
      <c r="P839" s="235"/>
      <c r="Q839" s="235"/>
      <c r="R839" s="235"/>
      <c r="S839" s="233"/>
      <c r="T839" s="235"/>
      <c r="U839" s="235"/>
      <c r="V839" s="233"/>
      <c r="W839" s="235"/>
      <c r="X839" s="235"/>
      <c r="Y839" s="235"/>
      <c r="Z839" s="233"/>
      <c r="AA839" s="233"/>
      <c r="AB839" s="233"/>
      <c r="AC839" s="245"/>
      <c r="AD839" s="245"/>
      <c r="AE839" s="245"/>
    </row>
    <row r="840" spans="1:31" ht="15.75" customHeight="1">
      <c r="A840" s="232"/>
      <c r="B840" s="233"/>
      <c r="C840" s="232"/>
      <c r="D840" s="233"/>
      <c r="E840" s="233"/>
      <c r="F840" s="235"/>
      <c r="G840" s="233"/>
      <c r="H840" s="233"/>
      <c r="I840" s="235"/>
      <c r="J840" s="235"/>
      <c r="K840" s="235"/>
      <c r="L840" s="233"/>
      <c r="M840" s="233"/>
      <c r="N840" s="233"/>
      <c r="O840" s="235"/>
      <c r="P840" s="235"/>
      <c r="Q840" s="235"/>
      <c r="R840" s="235"/>
      <c r="S840" s="233"/>
      <c r="T840" s="235"/>
      <c r="U840" s="235"/>
      <c r="V840" s="233"/>
      <c r="W840" s="235"/>
      <c r="X840" s="235"/>
      <c r="Y840" s="235"/>
      <c r="Z840" s="233"/>
      <c r="AA840" s="233"/>
      <c r="AB840" s="233"/>
      <c r="AC840" s="245"/>
      <c r="AD840" s="245"/>
      <c r="AE840" s="245"/>
    </row>
    <row r="841" spans="1:31" ht="15.75" customHeight="1">
      <c r="A841" s="232"/>
      <c r="B841" s="233"/>
      <c r="C841" s="232"/>
      <c r="D841" s="233"/>
      <c r="E841" s="233"/>
      <c r="F841" s="235"/>
      <c r="G841" s="233"/>
      <c r="H841" s="233"/>
      <c r="I841" s="235"/>
      <c r="J841" s="235"/>
      <c r="K841" s="235"/>
      <c r="L841" s="233"/>
      <c r="M841" s="233"/>
      <c r="N841" s="233"/>
      <c r="O841" s="235"/>
      <c r="P841" s="235"/>
      <c r="Q841" s="235"/>
      <c r="R841" s="235"/>
      <c r="S841" s="233"/>
      <c r="T841" s="235"/>
      <c r="U841" s="235"/>
      <c r="V841" s="233"/>
      <c r="W841" s="235"/>
      <c r="X841" s="235"/>
      <c r="Y841" s="235"/>
      <c r="Z841" s="233"/>
      <c r="AA841" s="233"/>
      <c r="AB841" s="233"/>
      <c r="AC841" s="245"/>
      <c r="AD841" s="245"/>
      <c r="AE841" s="245"/>
    </row>
    <row r="842" spans="1:31" ht="15.75" customHeight="1">
      <c r="A842" s="232"/>
      <c r="B842" s="233"/>
      <c r="C842" s="232"/>
      <c r="D842" s="233"/>
      <c r="E842" s="233"/>
      <c r="F842" s="235"/>
      <c r="G842" s="233"/>
      <c r="H842" s="233"/>
      <c r="I842" s="235"/>
      <c r="J842" s="235"/>
      <c r="K842" s="235"/>
      <c r="L842" s="233"/>
      <c r="M842" s="233"/>
      <c r="N842" s="233"/>
      <c r="O842" s="235"/>
      <c r="P842" s="235"/>
      <c r="Q842" s="235"/>
      <c r="R842" s="235"/>
      <c r="S842" s="233"/>
      <c r="T842" s="235"/>
      <c r="U842" s="235"/>
      <c r="V842" s="233"/>
      <c r="W842" s="235"/>
      <c r="X842" s="235"/>
      <c r="Y842" s="235"/>
      <c r="Z842" s="233"/>
      <c r="AA842" s="233"/>
      <c r="AB842" s="233"/>
      <c r="AC842" s="245"/>
      <c r="AD842" s="245"/>
      <c r="AE842" s="245"/>
    </row>
    <row r="843" spans="1:31" ht="15.75" customHeight="1">
      <c r="A843" s="232"/>
      <c r="B843" s="233"/>
      <c r="C843" s="232"/>
      <c r="D843" s="233"/>
      <c r="E843" s="233"/>
      <c r="F843" s="235"/>
      <c r="G843" s="233"/>
      <c r="H843" s="233"/>
      <c r="I843" s="235"/>
      <c r="J843" s="235"/>
      <c r="K843" s="235"/>
      <c r="L843" s="233"/>
      <c r="M843" s="233"/>
      <c r="N843" s="233"/>
      <c r="O843" s="235"/>
      <c r="P843" s="235"/>
      <c r="Q843" s="235"/>
      <c r="R843" s="235"/>
      <c r="S843" s="233"/>
      <c r="T843" s="235"/>
      <c r="U843" s="235"/>
      <c r="V843" s="233"/>
      <c r="W843" s="235"/>
      <c r="X843" s="235"/>
      <c r="Y843" s="235"/>
      <c r="Z843" s="233"/>
      <c r="AA843" s="233"/>
      <c r="AB843" s="233"/>
      <c r="AC843" s="245"/>
      <c r="AD843" s="245"/>
      <c r="AE843" s="245"/>
    </row>
    <row r="844" spans="1:31" ht="15.75" customHeight="1">
      <c r="A844" s="232"/>
      <c r="B844" s="233"/>
      <c r="C844" s="232"/>
      <c r="D844" s="233"/>
      <c r="E844" s="233"/>
      <c r="F844" s="235"/>
      <c r="G844" s="233"/>
      <c r="H844" s="233"/>
      <c r="I844" s="235"/>
      <c r="J844" s="235"/>
      <c r="K844" s="235"/>
      <c r="L844" s="233"/>
      <c r="M844" s="233"/>
      <c r="N844" s="233"/>
      <c r="O844" s="235"/>
      <c r="P844" s="235"/>
      <c r="Q844" s="235"/>
      <c r="R844" s="235"/>
      <c r="S844" s="233"/>
      <c r="T844" s="235"/>
      <c r="U844" s="235"/>
      <c r="V844" s="233"/>
      <c r="W844" s="235"/>
      <c r="X844" s="235"/>
      <c r="Y844" s="235"/>
      <c r="Z844" s="233"/>
      <c r="AA844" s="233"/>
      <c r="AB844" s="233"/>
      <c r="AC844" s="245"/>
      <c r="AD844" s="245"/>
      <c r="AE844" s="245"/>
    </row>
    <row r="845" spans="1:31" ht="15.75" customHeight="1">
      <c r="A845" s="232"/>
      <c r="B845" s="233"/>
      <c r="C845" s="232"/>
      <c r="D845" s="233"/>
      <c r="E845" s="233"/>
      <c r="F845" s="235"/>
      <c r="G845" s="233"/>
      <c r="H845" s="233"/>
      <c r="I845" s="235"/>
      <c r="J845" s="235"/>
      <c r="K845" s="235"/>
      <c r="L845" s="233"/>
      <c r="M845" s="233"/>
      <c r="N845" s="233"/>
      <c r="O845" s="235"/>
      <c r="P845" s="235"/>
      <c r="Q845" s="235"/>
      <c r="R845" s="235"/>
      <c r="S845" s="233"/>
      <c r="T845" s="235"/>
      <c r="U845" s="235"/>
      <c r="V845" s="233"/>
      <c r="W845" s="235"/>
      <c r="X845" s="235"/>
      <c r="Y845" s="235"/>
      <c r="Z845" s="233"/>
      <c r="AA845" s="233"/>
      <c r="AB845" s="233"/>
      <c r="AC845" s="245"/>
      <c r="AD845" s="245"/>
      <c r="AE845" s="245"/>
    </row>
    <row r="846" spans="1:31" ht="15.75" customHeight="1">
      <c r="A846" s="232"/>
      <c r="B846" s="233"/>
      <c r="C846" s="232"/>
      <c r="D846" s="233"/>
      <c r="E846" s="233"/>
      <c r="F846" s="235"/>
      <c r="G846" s="233"/>
      <c r="H846" s="233"/>
      <c r="I846" s="235"/>
      <c r="J846" s="235"/>
      <c r="K846" s="235"/>
      <c r="L846" s="233"/>
      <c r="M846" s="233"/>
      <c r="N846" s="233"/>
      <c r="O846" s="235"/>
      <c r="P846" s="235"/>
      <c r="Q846" s="235"/>
      <c r="R846" s="235"/>
      <c r="S846" s="233"/>
      <c r="T846" s="235"/>
      <c r="U846" s="235"/>
      <c r="V846" s="233"/>
      <c r="W846" s="235"/>
      <c r="X846" s="235"/>
      <c r="Y846" s="235"/>
      <c r="Z846" s="233"/>
      <c r="AA846" s="233"/>
      <c r="AB846" s="233"/>
      <c r="AC846" s="245"/>
      <c r="AD846" s="245"/>
      <c r="AE846" s="245"/>
    </row>
    <row r="847" spans="1:31" ht="15.75" customHeight="1">
      <c r="A847" s="232"/>
      <c r="B847" s="233"/>
      <c r="C847" s="232"/>
      <c r="D847" s="233"/>
      <c r="E847" s="233"/>
      <c r="F847" s="235"/>
      <c r="G847" s="233"/>
      <c r="H847" s="233"/>
      <c r="I847" s="235"/>
      <c r="J847" s="235"/>
      <c r="K847" s="235"/>
      <c r="L847" s="233"/>
      <c r="M847" s="233"/>
      <c r="N847" s="233"/>
      <c r="O847" s="235"/>
      <c r="P847" s="235"/>
      <c r="Q847" s="235"/>
      <c r="R847" s="235"/>
      <c r="S847" s="233"/>
      <c r="T847" s="235"/>
      <c r="U847" s="235"/>
      <c r="V847" s="233"/>
      <c r="W847" s="235"/>
      <c r="X847" s="235"/>
      <c r="Y847" s="235"/>
      <c r="Z847" s="233"/>
      <c r="AA847" s="233"/>
      <c r="AB847" s="233"/>
      <c r="AC847" s="245"/>
      <c r="AD847" s="245"/>
      <c r="AE847" s="245"/>
    </row>
    <row r="848" spans="1:31" ht="15.75" customHeight="1">
      <c r="A848" s="232"/>
      <c r="B848" s="233"/>
      <c r="C848" s="232"/>
      <c r="D848" s="233"/>
      <c r="E848" s="233"/>
      <c r="F848" s="235"/>
      <c r="G848" s="233"/>
      <c r="H848" s="233"/>
      <c r="I848" s="235"/>
      <c r="J848" s="235"/>
      <c r="K848" s="235"/>
      <c r="L848" s="233"/>
      <c r="M848" s="233"/>
      <c r="N848" s="233"/>
      <c r="O848" s="235"/>
      <c r="P848" s="235"/>
      <c r="Q848" s="235"/>
      <c r="R848" s="235"/>
      <c r="S848" s="233"/>
      <c r="T848" s="235"/>
      <c r="U848" s="235"/>
      <c r="V848" s="233"/>
      <c r="W848" s="235"/>
      <c r="X848" s="235"/>
      <c r="Y848" s="235"/>
      <c r="Z848" s="233"/>
      <c r="AA848" s="233"/>
      <c r="AB848" s="233"/>
      <c r="AC848" s="245"/>
      <c r="AD848" s="245"/>
      <c r="AE848" s="245"/>
    </row>
    <row r="849" spans="1:31" ht="15.75" customHeight="1">
      <c r="A849" s="232"/>
      <c r="B849" s="233"/>
      <c r="C849" s="232"/>
      <c r="D849" s="233"/>
      <c r="E849" s="233"/>
      <c r="F849" s="235"/>
      <c r="G849" s="233"/>
      <c r="H849" s="233"/>
      <c r="I849" s="235"/>
      <c r="J849" s="235"/>
      <c r="K849" s="235"/>
      <c r="L849" s="233"/>
      <c r="M849" s="233"/>
      <c r="N849" s="233"/>
      <c r="O849" s="235"/>
      <c r="P849" s="235"/>
      <c r="Q849" s="235"/>
      <c r="R849" s="235"/>
      <c r="S849" s="233"/>
      <c r="T849" s="235"/>
      <c r="U849" s="235"/>
      <c r="V849" s="233"/>
      <c r="W849" s="235"/>
      <c r="X849" s="235"/>
      <c r="Y849" s="235"/>
      <c r="Z849" s="233"/>
      <c r="AA849" s="233"/>
      <c r="AB849" s="233"/>
      <c r="AC849" s="245"/>
      <c r="AD849" s="245"/>
      <c r="AE849" s="245"/>
    </row>
    <row r="850" spans="1:31" ht="15.75" customHeight="1">
      <c r="A850" s="232"/>
      <c r="B850" s="233"/>
      <c r="C850" s="232"/>
      <c r="D850" s="233"/>
      <c r="E850" s="233"/>
      <c r="F850" s="235"/>
      <c r="G850" s="233"/>
      <c r="H850" s="233"/>
      <c r="I850" s="235"/>
      <c r="J850" s="235"/>
      <c r="K850" s="235"/>
      <c r="L850" s="233"/>
      <c r="M850" s="233"/>
      <c r="N850" s="233"/>
      <c r="O850" s="235"/>
      <c r="P850" s="235"/>
      <c r="Q850" s="235"/>
      <c r="R850" s="235"/>
      <c r="S850" s="233"/>
      <c r="T850" s="235"/>
      <c r="U850" s="235"/>
      <c r="V850" s="233"/>
      <c r="W850" s="235"/>
      <c r="X850" s="235"/>
      <c r="Y850" s="235"/>
      <c r="Z850" s="233"/>
      <c r="AA850" s="233"/>
      <c r="AB850" s="233"/>
      <c r="AC850" s="245"/>
      <c r="AD850" s="245"/>
      <c r="AE850" s="245"/>
    </row>
    <row r="851" spans="1:31" ht="15.75" customHeight="1">
      <c r="A851" s="232"/>
      <c r="B851" s="233"/>
      <c r="C851" s="232"/>
      <c r="D851" s="233"/>
      <c r="E851" s="233"/>
      <c r="F851" s="235"/>
      <c r="G851" s="233"/>
      <c r="H851" s="233"/>
      <c r="I851" s="235"/>
      <c r="J851" s="235"/>
      <c r="K851" s="235"/>
      <c r="L851" s="233"/>
      <c r="M851" s="233"/>
      <c r="N851" s="233"/>
      <c r="O851" s="235"/>
      <c r="P851" s="235"/>
      <c r="Q851" s="235"/>
      <c r="R851" s="235"/>
      <c r="S851" s="233"/>
      <c r="T851" s="235"/>
      <c r="U851" s="235"/>
      <c r="V851" s="233"/>
      <c r="W851" s="235"/>
      <c r="X851" s="235"/>
      <c r="Y851" s="235"/>
      <c r="Z851" s="233"/>
      <c r="AA851" s="233"/>
      <c r="AB851" s="233"/>
      <c r="AC851" s="245"/>
      <c r="AD851" s="245"/>
      <c r="AE851" s="245"/>
    </row>
    <row r="852" spans="1:31" ht="15.75" customHeight="1">
      <c r="A852" s="232"/>
      <c r="B852" s="233"/>
      <c r="C852" s="232"/>
      <c r="D852" s="233"/>
      <c r="E852" s="233"/>
      <c r="F852" s="235"/>
      <c r="G852" s="233"/>
      <c r="H852" s="233"/>
      <c r="I852" s="235"/>
      <c r="J852" s="235"/>
      <c r="K852" s="235"/>
      <c r="L852" s="233"/>
      <c r="M852" s="233"/>
      <c r="N852" s="233"/>
      <c r="O852" s="235"/>
      <c r="P852" s="235"/>
      <c r="Q852" s="235"/>
      <c r="R852" s="235"/>
      <c r="S852" s="233"/>
      <c r="T852" s="235"/>
      <c r="U852" s="235"/>
      <c r="V852" s="233"/>
      <c r="W852" s="235"/>
      <c r="X852" s="235"/>
      <c r="Y852" s="235"/>
      <c r="Z852" s="233"/>
      <c r="AA852" s="233"/>
      <c r="AB852" s="233"/>
      <c r="AC852" s="245"/>
      <c r="AD852" s="245"/>
      <c r="AE852" s="245"/>
    </row>
    <row r="853" spans="1:31" ht="15.75" customHeight="1">
      <c r="A853" s="232"/>
      <c r="B853" s="233"/>
      <c r="C853" s="232"/>
      <c r="D853" s="233"/>
      <c r="E853" s="233"/>
      <c r="F853" s="235"/>
      <c r="G853" s="233"/>
      <c r="H853" s="233"/>
      <c r="I853" s="235"/>
      <c r="J853" s="235"/>
      <c r="K853" s="235"/>
      <c r="L853" s="233"/>
      <c r="M853" s="233"/>
      <c r="N853" s="233"/>
      <c r="O853" s="235"/>
      <c r="P853" s="235"/>
      <c r="Q853" s="235"/>
      <c r="R853" s="235"/>
      <c r="S853" s="233"/>
      <c r="T853" s="235"/>
      <c r="U853" s="235"/>
      <c r="V853" s="233"/>
      <c r="W853" s="235"/>
      <c r="X853" s="235"/>
      <c r="Y853" s="235"/>
      <c r="Z853" s="233"/>
      <c r="AA853" s="233"/>
      <c r="AB853" s="233"/>
      <c r="AC853" s="245"/>
      <c r="AD853" s="245"/>
      <c r="AE853" s="245"/>
    </row>
    <row r="854" spans="1:31" ht="15.75" customHeight="1">
      <c r="A854" s="232"/>
      <c r="B854" s="233"/>
      <c r="C854" s="232"/>
      <c r="D854" s="233"/>
      <c r="E854" s="233"/>
      <c r="F854" s="235"/>
      <c r="G854" s="233"/>
      <c r="H854" s="233"/>
      <c r="I854" s="235"/>
      <c r="J854" s="235"/>
      <c r="K854" s="235"/>
      <c r="L854" s="233"/>
      <c r="M854" s="233"/>
      <c r="N854" s="233"/>
      <c r="O854" s="235"/>
      <c r="P854" s="235"/>
      <c r="Q854" s="235"/>
      <c r="R854" s="235"/>
      <c r="S854" s="233"/>
      <c r="T854" s="235"/>
      <c r="U854" s="235"/>
      <c r="V854" s="233"/>
      <c r="W854" s="235"/>
      <c r="X854" s="235"/>
      <c r="Y854" s="235"/>
      <c r="Z854" s="233"/>
      <c r="AA854" s="233"/>
      <c r="AB854" s="233"/>
      <c r="AC854" s="245"/>
      <c r="AD854" s="245"/>
      <c r="AE854" s="245"/>
    </row>
    <row r="855" spans="1:31" ht="15.75" customHeight="1">
      <c r="A855" s="232"/>
      <c r="B855" s="233"/>
      <c r="C855" s="232"/>
      <c r="D855" s="233"/>
      <c r="E855" s="233"/>
      <c r="F855" s="235"/>
      <c r="G855" s="233"/>
      <c r="H855" s="233"/>
      <c r="I855" s="235"/>
      <c r="J855" s="235"/>
      <c r="K855" s="235"/>
      <c r="L855" s="233"/>
      <c r="M855" s="233"/>
      <c r="N855" s="233"/>
      <c r="O855" s="235"/>
      <c r="P855" s="235"/>
      <c r="Q855" s="235"/>
      <c r="R855" s="235"/>
      <c r="S855" s="233"/>
      <c r="T855" s="235"/>
      <c r="U855" s="235"/>
      <c r="V855" s="233"/>
      <c r="W855" s="235"/>
      <c r="X855" s="235"/>
      <c r="Y855" s="235"/>
      <c r="Z855" s="233"/>
      <c r="AA855" s="233"/>
      <c r="AB855" s="233"/>
      <c r="AC855" s="245"/>
      <c r="AD855" s="245"/>
      <c r="AE855" s="245"/>
    </row>
    <row r="856" spans="1:31" ht="15.75" customHeight="1">
      <c r="A856" s="232"/>
      <c r="B856" s="233"/>
      <c r="C856" s="232"/>
      <c r="D856" s="233"/>
      <c r="E856" s="233"/>
      <c r="F856" s="235"/>
      <c r="G856" s="233"/>
      <c r="H856" s="233"/>
      <c r="I856" s="235"/>
      <c r="J856" s="235"/>
      <c r="K856" s="235"/>
      <c r="L856" s="233"/>
      <c r="M856" s="233"/>
      <c r="N856" s="233"/>
      <c r="O856" s="235"/>
      <c r="P856" s="235"/>
      <c r="Q856" s="235"/>
      <c r="R856" s="235"/>
      <c r="S856" s="233"/>
      <c r="T856" s="235"/>
      <c r="U856" s="235"/>
      <c r="V856" s="233"/>
      <c r="W856" s="235"/>
      <c r="X856" s="235"/>
      <c r="Y856" s="235"/>
      <c r="Z856" s="233"/>
      <c r="AA856" s="233"/>
      <c r="AB856" s="233"/>
      <c r="AC856" s="245"/>
      <c r="AD856" s="245"/>
      <c r="AE856" s="245"/>
    </row>
    <row r="857" spans="1:31" ht="15.75" customHeight="1">
      <c r="A857" s="232"/>
      <c r="B857" s="233"/>
      <c r="C857" s="232"/>
      <c r="D857" s="233"/>
      <c r="E857" s="233"/>
      <c r="F857" s="235"/>
      <c r="G857" s="233"/>
      <c r="H857" s="233"/>
      <c r="I857" s="235"/>
      <c r="J857" s="235"/>
      <c r="K857" s="235"/>
      <c r="L857" s="233"/>
      <c r="M857" s="233"/>
      <c r="N857" s="233"/>
      <c r="O857" s="235"/>
      <c r="P857" s="235"/>
      <c r="Q857" s="235"/>
      <c r="R857" s="235"/>
      <c r="S857" s="233"/>
      <c r="T857" s="235"/>
      <c r="U857" s="235"/>
      <c r="V857" s="233"/>
      <c r="W857" s="235"/>
      <c r="X857" s="235"/>
      <c r="Y857" s="235"/>
      <c r="Z857" s="233"/>
      <c r="AA857" s="233"/>
      <c r="AB857" s="233"/>
      <c r="AC857" s="245"/>
      <c r="AD857" s="245"/>
      <c r="AE857" s="245"/>
    </row>
    <row r="858" spans="1:31" ht="15.75" customHeight="1">
      <c r="A858" s="232"/>
      <c r="B858" s="233"/>
      <c r="C858" s="232"/>
      <c r="D858" s="233"/>
      <c r="E858" s="233"/>
      <c r="F858" s="235"/>
      <c r="G858" s="233"/>
      <c r="H858" s="233"/>
      <c r="I858" s="235"/>
      <c r="J858" s="235"/>
      <c r="K858" s="235"/>
      <c r="L858" s="233"/>
      <c r="M858" s="233"/>
      <c r="N858" s="233"/>
      <c r="O858" s="235"/>
      <c r="P858" s="235"/>
      <c r="Q858" s="235"/>
      <c r="R858" s="235"/>
      <c r="S858" s="233"/>
      <c r="T858" s="235"/>
      <c r="U858" s="235"/>
      <c r="V858" s="233"/>
      <c r="W858" s="235"/>
      <c r="X858" s="235"/>
      <c r="Y858" s="235"/>
      <c r="Z858" s="233"/>
      <c r="AA858" s="233"/>
      <c r="AB858" s="233"/>
      <c r="AC858" s="245"/>
      <c r="AD858" s="245"/>
      <c r="AE858" s="245"/>
    </row>
    <row r="859" spans="1:31" ht="15.75" customHeight="1">
      <c r="A859" s="232"/>
      <c r="B859" s="233"/>
      <c r="C859" s="232"/>
      <c r="D859" s="233"/>
      <c r="E859" s="233"/>
      <c r="F859" s="235"/>
      <c r="G859" s="233"/>
      <c r="H859" s="233"/>
      <c r="I859" s="235"/>
      <c r="J859" s="235"/>
      <c r="K859" s="235"/>
      <c r="L859" s="233"/>
      <c r="M859" s="233"/>
      <c r="N859" s="233"/>
      <c r="O859" s="235"/>
      <c r="P859" s="235"/>
      <c r="Q859" s="235"/>
      <c r="R859" s="235"/>
      <c r="S859" s="233"/>
      <c r="T859" s="235"/>
      <c r="U859" s="235"/>
      <c r="V859" s="233"/>
      <c r="W859" s="235"/>
      <c r="X859" s="235"/>
      <c r="Y859" s="235"/>
      <c r="Z859" s="233"/>
      <c r="AA859" s="233"/>
      <c r="AB859" s="233"/>
      <c r="AC859" s="245"/>
      <c r="AD859" s="245"/>
      <c r="AE859" s="245"/>
    </row>
    <row r="860" spans="1:31" ht="15.75" customHeight="1">
      <c r="A860" s="232"/>
      <c r="B860" s="233"/>
      <c r="C860" s="232"/>
      <c r="D860" s="233"/>
      <c r="E860" s="233"/>
      <c r="F860" s="235"/>
      <c r="G860" s="233"/>
      <c r="H860" s="233"/>
      <c r="I860" s="235"/>
      <c r="J860" s="235"/>
      <c r="K860" s="235"/>
      <c r="L860" s="233"/>
      <c r="M860" s="233"/>
      <c r="N860" s="233"/>
      <c r="O860" s="235"/>
      <c r="P860" s="235"/>
      <c r="Q860" s="235"/>
      <c r="R860" s="235"/>
      <c r="S860" s="233"/>
      <c r="T860" s="235"/>
      <c r="U860" s="235"/>
      <c r="V860" s="233"/>
      <c r="W860" s="235"/>
      <c r="X860" s="235"/>
      <c r="Y860" s="235"/>
      <c r="Z860" s="233"/>
      <c r="AA860" s="233"/>
      <c r="AB860" s="233"/>
      <c r="AC860" s="245"/>
      <c r="AD860" s="245"/>
      <c r="AE860" s="245"/>
    </row>
    <row r="861" spans="1:31" ht="15.75" customHeight="1">
      <c r="A861" s="232"/>
      <c r="B861" s="233"/>
      <c r="C861" s="232"/>
      <c r="D861" s="233"/>
      <c r="E861" s="233"/>
      <c r="F861" s="235"/>
      <c r="G861" s="233"/>
      <c r="H861" s="233"/>
      <c r="I861" s="235"/>
      <c r="J861" s="235"/>
      <c r="K861" s="235"/>
      <c r="L861" s="233"/>
      <c r="M861" s="233"/>
      <c r="N861" s="233"/>
      <c r="O861" s="235"/>
      <c r="P861" s="235"/>
      <c r="Q861" s="235"/>
      <c r="R861" s="235"/>
      <c r="S861" s="233"/>
      <c r="T861" s="235"/>
      <c r="U861" s="235"/>
      <c r="V861" s="233"/>
      <c r="W861" s="235"/>
      <c r="X861" s="235"/>
      <c r="Y861" s="235"/>
      <c r="Z861" s="233"/>
      <c r="AA861" s="233"/>
      <c r="AB861" s="233"/>
      <c r="AC861" s="245"/>
      <c r="AD861" s="245"/>
      <c r="AE861" s="245"/>
    </row>
    <row r="862" spans="1:31" ht="15.75" customHeight="1">
      <c r="A862" s="232"/>
      <c r="B862" s="233"/>
      <c r="C862" s="232"/>
      <c r="D862" s="233"/>
      <c r="E862" s="233"/>
      <c r="F862" s="235"/>
      <c r="G862" s="233"/>
      <c r="H862" s="233"/>
      <c r="I862" s="235"/>
      <c r="J862" s="235"/>
      <c r="K862" s="235"/>
      <c r="L862" s="233"/>
      <c r="M862" s="233"/>
      <c r="N862" s="233"/>
      <c r="O862" s="235"/>
      <c r="P862" s="235"/>
      <c r="Q862" s="235"/>
      <c r="R862" s="235"/>
      <c r="S862" s="233"/>
      <c r="T862" s="235"/>
      <c r="U862" s="235"/>
      <c r="V862" s="233"/>
      <c r="W862" s="235"/>
      <c r="X862" s="235"/>
      <c r="Y862" s="235"/>
      <c r="Z862" s="233"/>
      <c r="AA862" s="233"/>
      <c r="AB862" s="233"/>
      <c r="AC862" s="245"/>
      <c r="AD862" s="245"/>
      <c r="AE862" s="245"/>
    </row>
    <row r="863" spans="1:31" ht="15.75" customHeight="1">
      <c r="A863" s="232"/>
      <c r="B863" s="233"/>
      <c r="C863" s="232"/>
      <c r="D863" s="233"/>
      <c r="E863" s="233"/>
      <c r="F863" s="235"/>
      <c r="G863" s="233"/>
      <c r="H863" s="233"/>
      <c r="I863" s="235"/>
      <c r="J863" s="235"/>
      <c r="K863" s="235"/>
      <c r="L863" s="233"/>
      <c r="M863" s="233"/>
      <c r="N863" s="233"/>
      <c r="O863" s="235"/>
      <c r="P863" s="235"/>
      <c r="Q863" s="235"/>
      <c r="R863" s="235"/>
      <c r="S863" s="233"/>
      <c r="T863" s="235"/>
      <c r="U863" s="235"/>
      <c r="V863" s="233"/>
      <c r="W863" s="235"/>
      <c r="X863" s="235"/>
      <c r="Y863" s="235"/>
      <c r="Z863" s="233"/>
      <c r="AA863" s="233"/>
      <c r="AB863" s="233"/>
      <c r="AC863" s="245"/>
      <c r="AD863" s="245"/>
      <c r="AE863" s="245"/>
    </row>
    <row r="864" spans="1:31" ht="15.75" customHeight="1">
      <c r="A864" s="232"/>
      <c r="B864" s="233"/>
      <c r="C864" s="232"/>
      <c r="D864" s="233"/>
      <c r="E864" s="233"/>
      <c r="F864" s="235"/>
      <c r="G864" s="233"/>
      <c r="H864" s="233"/>
      <c r="I864" s="235"/>
      <c r="J864" s="235"/>
      <c r="K864" s="235"/>
      <c r="L864" s="233"/>
      <c r="M864" s="233"/>
      <c r="N864" s="233"/>
      <c r="O864" s="235"/>
      <c r="P864" s="235"/>
      <c r="Q864" s="235"/>
      <c r="R864" s="235"/>
      <c r="S864" s="233"/>
      <c r="T864" s="235"/>
      <c r="U864" s="235"/>
      <c r="V864" s="233"/>
      <c r="W864" s="235"/>
      <c r="X864" s="235"/>
      <c r="Y864" s="235"/>
      <c r="Z864" s="233"/>
      <c r="AA864" s="233"/>
      <c r="AB864" s="233"/>
      <c r="AC864" s="245"/>
      <c r="AD864" s="245"/>
      <c r="AE864" s="245"/>
    </row>
    <row r="865" spans="1:31" ht="15.75" customHeight="1">
      <c r="A865" s="232"/>
      <c r="B865" s="233"/>
      <c r="C865" s="232"/>
      <c r="D865" s="233"/>
      <c r="E865" s="233"/>
      <c r="F865" s="235"/>
      <c r="G865" s="233"/>
      <c r="H865" s="233"/>
      <c r="I865" s="235"/>
      <c r="J865" s="235"/>
      <c r="K865" s="235"/>
      <c r="L865" s="233"/>
      <c r="M865" s="233"/>
      <c r="N865" s="233"/>
      <c r="O865" s="235"/>
      <c r="P865" s="235"/>
      <c r="Q865" s="235"/>
      <c r="R865" s="235"/>
      <c r="S865" s="233"/>
      <c r="T865" s="235"/>
      <c r="U865" s="235"/>
      <c r="V865" s="233"/>
      <c r="W865" s="235"/>
      <c r="X865" s="235"/>
      <c r="Y865" s="235"/>
      <c r="Z865" s="233"/>
      <c r="AA865" s="233"/>
      <c r="AB865" s="233"/>
      <c r="AC865" s="245"/>
      <c r="AD865" s="245"/>
      <c r="AE865" s="245"/>
    </row>
    <row r="866" spans="1:31" ht="15.75" customHeight="1">
      <c r="A866" s="232"/>
      <c r="B866" s="233"/>
      <c r="C866" s="232"/>
      <c r="D866" s="233"/>
      <c r="E866" s="233"/>
      <c r="F866" s="235"/>
      <c r="G866" s="233"/>
      <c r="H866" s="233"/>
      <c r="I866" s="235"/>
      <c r="J866" s="235"/>
      <c r="K866" s="235"/>
      <c r="L866" s="233"/>
      <c r="M866" s="233"/>
      <c r="N866" s="233"/>
      <c r="O866" s="235"/>
      <c r="P866" s="235"/>
      <c r="Q866" s="235"/>
      <c r="R866" s="235"/>
      <c r="S866" s="233"/>
      <c r="T866" s="235"/>
      <c r="U866" s="235"/>
      <c r="V866" s="233"/>
      <c r="W866" s="235"/>
      <c r="X866" s="235"/>
      <c r="Y866" s="235"/>
      <c r="Z866" s="233"/>
      <c r="AA866" s="233"/>
      <c r="AB866" s="233"/>
      <c r="AC866" s="245"/>
      <c r="AD866" s="245"/>
      <c r="AE866" s="245"/>
    </row>
    <row r="867" spans="1:31" ht="15.75" customHeight="1">
      <c r="A867" s="232"/>
      <c r="B867" s="233"/>
      <c r="C867" s="232"/>
      <c r="D867" s="233"/>
      <c r="E867" s="233"/>
      <c r="F867" s="235"/>
      <c r="G867" s="233"/>
      <c r="H867" s="233"/>
      <c r="I867" s="235"/>
      <c r="J867" s="235"/>
      <c r="K867" s="235"/>
      <c r="L867" s="233"/>
      <c r="M867" s="233"/>
      <c r="N867" s="233"/>
      <c r="O867" s="235"/>
      <c r="P867" s="235"/>
      <c r="Q867" s="235"/>
      <c r="R867" s="235"/>
      <c r="S867" s="233"/>
      <c r="T867" s="235"/>
      <c r="U867" s="235"/>
      <c r="V867" s="233"/>
      <c r="W867" s="235"/>
      <c r="X867" s="235"/>
      <c r="Y867" s="235"/>
      <c r="Z867" s="233"/>
      <c r="AA867" s="233"/>
      <c r="AB867" s="233"/>
      <c r="AC867" s="245"/>
      <c r="AD867" s="245"/>
      <c r="AE867" s="245"/>
    </row>
    <row r="868" spans="1:31" ht="15.75" customHeight="1">
      <c r="A868" s="232"/>
      <c r="B868" s="233"/>
      <c r="C868" s="232"/>
      <c r="D868" s="233"/>
      <c r="E868" s="233"/>
      <c r="F868" s="235"/>
      <c r="G868" s="233"/>
      <c r="H868" s="233"/>
      <c r="I868" s="235"/>
      <c r="J868" s="235"/>
      <c r="K868" s="235"/>
      <c r="L868" s="233"/>
      <c r="M868" s="233"/>
      <c r="N868" s="233"/>
      <c r="O868" s="235"/>
      <c r="P868" s="235"/>
      <c r="Q868" s="235"/>
      <c r="R868" s="235"/>
      <c r="S868" s="233"/>
      <c r="T868" s="235"/>
      <c r="U868" s="235"/>
      <c r="V868" s="233"/>
      <c r="W868" s="235"/>
      <c r="X868" s="235"/>
      <c r="Y868" s="235"/>
      <c r="Z868" s="233"/>
      <c r="AA868" s="233"/>
      <c r="AB868" s="233"/>
      <c r="AC868" s="245"/>
      <c r="AD868" s="245"/>
      <c r="AE868" s="245"/>
    </row>
    <row r="869" spans="1:31" ht="15.75" customHeight="1">
      <c r="A869" s="232"/>
      <c r="B869" s="233"/>
      <c r="C869" s="232"/>
      <c r="D869" s="233"/>
      <c r="E869" s="233"/>
      <c r="F869" s="235"/>
      <c r="G869" s="233"/>
      <c r="H869" s="233"/>
      <c r="I869" s="235"/>
      <c r="J869" s="235"/>
      <c r="K869" s="235"/>
      <c r="L869" s="233"/>
      <c r="M869" s="233"/>
      <c r="N869" s="233"/>
      <c r="O869" s="235"/>
      <c r="P869" s="235"/>
      <c r="Q869" s="235"/>
      <c r="R869" s="235"/>
      <c r="S869" s="233"/>
      <c r="T869" s="235"/>
      <c r="U869" s="235"/>
      <c r="V869" s="233"/>
      <c r="W869" s="235"/>
      <c r="X869" s="235"/>
      <c r="Y869" s="235"/>
      <c r="Z869" s="233"/>
      <c r="AA869" s="233"/>
      <c r="AB869" s="233"/>
      <c r="AC869" s="245"/>
      <c r="AD869" s="245"/>
      <c r="AE869" s="245"/>
    </row>
    <row r="870" spans="1:31" ht="15.75" customHeight="1">
      <c r="A870" s="232"/>
      <c r="B870" s="233"/>
      <c r="C870" s="232"/>
      <c r="D870" s="233"/>
      <c r="E870" s="233"/>
      <c r="F870" s="235"/>
      <c r="G870" s="233"/>
      <c r="H870" s="233"/>
      <c r="I870" s="235"/>
      <c r="J870" s="235"/>
      <c r="K870" s="235"/>
      <c r="L870" s="233"/>
      <c r="M870" s="233"/>
      <c r="N870" s="233"/>
      <c r="O870" s="235"/>
      <c r="P870" s="235"/>
      <c r="Q870" s="235"/>
      <c r="R870" s="235"/>
      <c r="S870" s="233"/>
      <c r="T870" s="235"/>
      <c r="U870" s="235"/>
      <c r="V870" s="233"/>
      <c r="W870" s="235"/>
      <c r="X870" s="235"/>
      <c r="Y870" s="235"/>
      <c r="Z870" s="233"/>
      <c r="AA870" s="233"/>
      <c r="AB870" s="233"/>
      <c r="AC870" s="245"/>
      <c r="AD870" s="245"/>
      <c r="AE870" s="245"/>
    </row>
    <row r="871" spans="1:31" ht="15.75" customHeight="1">
      <c r="A871" s="232"/>
      <c r="B871" s="233"/>
      <c r="C871" s="232"/>
      <c r="D871" s="233"/>
      <c r="E871" s="233"/>
      <c r="F871" s="235"/>
      <c r="G871" s="233"/>
      <c r="H871" s="233"/>
      <c r="I871" s="235"/>
      <c r="J871" s="235"/>
      <c r="K871" s="235"/>
      <c r="L871" s="233"/>
      <c r="M871" s="233"/>
      <c r="N871" s="233"/>
      <c r="O871" s="235"/>
      <c r="P871" s="235"/>
      <c r="Q871" s="235"/>
      <c r="R871" s="235"/>
      <c r="S871" s="233"/>
      <c r="T871" s="235"/>
      <c r="U871" s="235"/>
      <c r="V871" s="233"/>
      <c r="W871" s="235"/>
      <c r="X871" s="235"/>
      <c r="Y871" s="235"/>
      <c r="Z871" s="233"/>
      <c r="AA871" s="233"/>
      <c r="AB871" s="233"/>
      <c r="AC871" s="245"/>
      <c r="AD871" s="245"/>
      <c r="AE871" s="245"/>
    </row>
    <row r="872" spans="1:31" ht="15.75" customHeight="1">
      <c r="A872" s="232"/>
      <c r="B872" s="233"/>
      <c r="C872" s="232"/>
      <c r="D872" s="233"/>
      <c r="E872" s="233"/>
      <c r="F872" s="235"/>
      <c r="G872" s="233"/>
      <c r="H872" s="233"/>
      <c r="I872" s="235"/>
      <c r="J872" s="235"/>
      <c r="K872" s="235"/>
      <c r="L872" s="233"/>
      <c r="M872" s="233"/>
      <c r="N872" s="233"/>
      <c r="O872" s="235"/>
      <c r="P872" s="235"/>
      <c r="Q872" s="235"/>
      <c r="R872" s="235"/>
      <c r="S872" s="233"/>
      <c r="T872" s="235"/>
      <c r="U872" s="235"/>
      <c r="V872" s="233"/>
      <c r="W872" s="235"/>
      <c r="X872" s="235"/>
      <c r="Y872" s="235"/>
      <c r="Z872" s="233"/>
      <c r="AA872" s="233"/>
      <c r="AB872" s="233"/>
      <c r="AC872" s="245"/>
      <c r="AD872" s="245"/>
      <c r="AE872" s="245"/>
    </row>
    <row r="873" spans="1:31" ht="15.75" customHeight="1">
      <c r="A873" s="232"/>
      <c r="B873" s="233"/>
      <c r="C873" s="232"/>
      <c r="D873" s="233"/>
      <c r="E873" s="233"/>
      <c r="F873" s="235"/>
      <c r="G873" s="233"/>
      <c r="H873" s="233"/>
      <c r="I873" s="235"/>
      <c r="J873" s="235"/>
      <c r="K873" s="235"/>
      <c r="L873" s="233"/>
      <c r="M873" s="233"/>
      <c r="N873" s="233"/>
      <c r="O873" s="235"/>
      <c r="P873" s="235"/>
      <c r="Q873" s="235"/>
      <c r="R873" s="235"/>
      <c r="S873" s="233"/>
      <c r="T873" s="235"/>
      <c r="U873" s="235"/>
      <c r="V873" s="233"/>
      <c r="W873" s="235"/>
      <c r="X873" s="235"/>
      <c r="Y873" s="235"/>
      <c r="Z873" s="233"/>
      <c r="AA873" s="233"/>
      <c r="AB873" s="233"/>
      <c r="AC873" s="245"/>
      <c r="AD873" s="245"/>
      <c r="AE873" s="245"/>
    </row>
    <row r="874" spans="1:31" ht="15.75" customHeight="1">
      <c r="A874" s="232"/>
      <c r="B874" s="233"/>
      <c r="C874" s="232"/>
      <c r="D874" s="233"/>
      <c r="E874" s="233"/>
      <c r="F874" s="235"/>
      <c r="G874" s="233"/>
      <c r="H874" s="233"/>
      <c r="I874" s="235"/>
      <c r="J874" s="235"/>
      <c r="K874" s="235"/>
      <c r="L874" s="233"/>
      <c r="M874" s="233"/>
      <c r="N874" s="233"/>
      <c r="O874" s="235"/>
      <c r="P874" s="235"/>
      <c r="Q874" s="235"/>
      <c r="R874" s="235"/>
      <c r="S874" s="233"/>
      <c r="T874" s="235"/>
      <c r="U874" s="235"/>
      <c r="V874" s="233"/>
      <c r="W874" s="235"/>
      <c r="X874" s="235"/>
      <c r="Y874" s="235"/>
      <c r="Z874" s="233"/>
      <c r="AA874" s="233"/>
      <c r="AB874" s="233"/>
      <c r="AC874" s="245"/>
      <c r="AD874" s="245"/>
      <c r="AE874" s="245"/>
    </row>
  </sheetData>
  <mergeCells count="22">
    <mergeCell ref="A2:Z2"/>
    <mergeCell ref="C3:AB3"/>
    <mergeCell ref="F5:G5"/>
    <mergeCell ref="H5:N5"/>
    <mergeCell ref="O5:U5"/>
    <mergeCell ref="V5:AB5"/>
    <mergeCell ref="Z6:AB6"/>
    <mergeCell ref="A5:A7"/>
    <mergeCell ref="B5:B7"/>
    <mergeCell ref="C5:C7"/>
    <mergeCell ref="D5:D7"/>
    <mergeCell ref="E5:E7"/>
    <mergeCell ref="F6:F7"/>
    <mergeCell ref="G6:G7"/>
    <mergeCell ref="H6:H7"/>
    <mergeCell ref="O6:O7"/>
    <mergeCell ref="V6:V7"/>
    <mergeCell ref="I6:K6"/>
    <mergeCell ref="L6:N6"/>
    <mergeCell ref="P6:R6"/>
    <mergeCell ref="S6:U6"/>
    <mergeCell ref="W6:Y6"/>
  </mergeCells>
  <pageMargins left="0.23622047244094499" right="0.15748031496063" top="0.74803149606299202" bottom="0.74803149606299202" header="0.31496062992126" footer="0.31496062992126"/>
  <pageSetup paperSize="9" scale="6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WL42"/>
  <sheetViews>
    <sheetView topLeftCell="A8" workbookViewId="0">
      <selection activeCell="V5" sqref="V5"/>
    </sheetView>
  </sheetViews>
  <sheetFormatPr defaultColWidth="9" defaultRowHeight="13.2"/>
  <cols>
    <col min="1" max="1" width="7.21875" style="203" customWidth="1"/>
    <col min="2" max="2" width="52.21875" style="204" customWidth="1"/>
    <col min="3" max="3" width="10.44140625" style="205" hidden="1" customWidth="1"/>
    <col min="4" max="4" width="10.21875" style="203" hidden="1" customWidth="1"/>
    <col min="5" max="5" width="11.6640625" style="203" hidden="1" customWidth="1"/>
    <col min="6" max="6" width="6.21875" style="203" hidden="1" customWidth="1"/>
    <col min="7" max="7" width="10" style="203" hidden="1" customWidth="1"/>
    <col min="8" max="8" width="7.88671875" style="203" hidden="1" customWidth="1"/>
    <col min="9" max="9" width="9.77734375" style="203" hidden="1" customWidth="1"/>
    <col min="10" max="10" width="8" style="203" hidden="1" customWidth="1"/>
    <col min="11" max="11" width="11.44140625" style="205" hidden="1" customWidth="1"/>
    <col min="12" max="12" width="8.6640625" style="203" hidden="1" customWidth="1"/>
    <col min="13" max="13" width="10" style="203" hidden="1" customWidth="1"/>
    <col min="14" max="14" width="5.33203125" style="203" hidden="1" customWidth="1"/>
    <col min="15" max="15" width="9.44140625" style="205" hidden="1" customWidth="1"/>
    <col min="16" max="16" width="7.77734375" style="203" hidden="1" customWidth="1"/>
    <col min="17" max="17" width="11.77734375" style="203" hidden="1" customWidth="1"/>
    <col min="18" max="18" width="5.77734375" style="203" hidden="1" customWidth="1"/>
    <col min="19" max="19" width="7.88671875" style="203" hidden="1" customWidth="1"/>
    <col min="20" max="20" width="16.109375" style="203" hidden="1" customWidth="1"/>
    <col min="21" max="21" width="9.44140625" style="206" customWidth="1"/>
    <col min="22" max="22" width="10" style="203" customWidth="1"/>
    <col min="23" max="23" width="10.88671875" style="207" customWidth="1"/>
    <col min="24" max="33" width="9" style="208" hidden="1" customWidth="1"/>
    <col min="34" max="34" width="8.33203125" style="208" customWidth="1"/>
    <col min="35" max="36" width="5" style="208" customWidth="1"/>
    <col min="37" max="37" width="5.33203125" style="208" customWidth="1"/>
    <col min="38" max="39" width="5" style="208" customWidth="1"/>
    <col min="40" max="51" width="9" style="208" hidden="1" customWidth="1"/>
    <col min="52" max="52" width="9.88671875" style="208" hidden="1" customWidth="1"/>
    <col min="53" max="53" width="10" style="208" hidden="1" customWidth="1"/>
    <col min="54" max="54" width="5.88671875" style="208" customWidth="1"/>
    <col min="55" max="55" width="7" style="208" customWidth="1"/>
    <col min="56" max="56" width="8" style="208" customWidth="1"/>
    <col min="57" max="57" width="8.88671875" style="208" customWidth="1"/>
    <col min="58" max="58" width="10.109375" style="208" customWidth="1"/>
    <col min="59" max="229" width="9" style="208"/>
    <col min="230" max="230" width="4.109375" style="208" customWidth="1"/>
    <col min="231" max="231" width="46.21875" style="208" customWidth="1"/>
    <col min="232" max="232" width="19.33203125" style="208" customWidth="1"/>
    <col min="233" max="233" width="10.6640625" style="208" customWidth="1"/>
    <col min="234" max="253" width="9" style="208" hidden="1" customWidth="1"/>
    <col min="254" max="254" width="9.77734375" style="208" customWidth="1"/>
    <col min="255" max="255" width="9.6640625" style="208" customWidth="1"/>
    <col min="256" max="256" width="9.44140625" style="208" customWidth="1"/>
    <col min="257" max="257" width="10.33203125" style="208" customWidth="1"/>
    <col min="258" max="258" width="10.44140625" style="208" customWidth="1"/>
    <col min="259" max="259" width="9.77734375" style="208" customWidth="1"/>
    <col min="260" max="260" width="10.21875" style="208" customWidth="1"/>
    <col min="261" max="261" width="8.77734375" style="208" customWidth="1"/>
    <col min="262" max="262" width="9" style="208" hidden="1" customWidth="1"/>
    <col min="263" max="263" width="8.21875" style="208" customWidth="1"/>
    <col min="264" max="268" width="9" style="208" hidden="1" customWidth="1"/>
    <col min="269" max="269" width="0.109375" style="208" customWidth="1"/>
    <col min="270" max="286" width="9" style="208" hidden="1" customWidth="1"/>
    <col min="287" max="287" width="10.21875" style="208" customWidth="1"/>
    <col min="288" max="288" width="9.88671875" style="208" customWidth="1"/>
    <col min="289" max="289" width="10.77734375" style="208" customWidth="1"/>
    <col min="290" max="290" width="8.109375" style="208" customWidth="1"/>
    <col min="291" max="291" width="10" style="208" customWidth="1"/>
    <col min="292" max="292" width="11.77734375" style="208" customWidth="1"/>
    <col min="293" max="485" width="9" style="208"/>
    <col min="486" max="486" width="4.109375" style="208" customWidth="1"/>
    <col min="487" max="487" width="46.21875" style="208" customWidth="1"/>
    <col min="488" max="488" width="19.33203125" style="208" customWidth="1"/>
    <col min="489" max="489" width="10.6640625" style="208" customWidth="1"/>
    <col min="490" max="509" width="9" style="208" hidden="1" customWidth="1"/>
    <col min="510" max="510" width="9.77734375" style="208" customWidth="1"/>
    <col min="511" max="511" width="9.6640625" style="208" customWidth="1"/>
    <col min="512" max="512" width="9.44140625" style="208" customWidth="1"/>
    <col min="513" max="513" width="10.33203125" style="208" customWidth="1"/>
    <col min="514" max="514" width="10.44140625" style="208" customWidth="1"/>
    <col min="515" max="515" width="9.77734375" style="208" customWidth="1"/>
    <col min="516" max="516" width="10.21875" style="208" customWidth="1"/>
    <col min="517" max="517" width="8.77734375" style="208" customWidth="1"/>
    <col min="518" max="518" width="9" style="208" hidden="1" customWidth="1"/>
    <col min="519" max="519" width="8.21875" style="208" customWidth="1"/>
    <col min="520" max="524" width="9" style="208" hidden="1" customWidth="1"/>
    <col min="525" max="525" width="0.109375" style="208" customWidth="1"/>
    <col min="526" max="542" width="9" style="208" hidden="1" customWidth="1"/>
    <col min="543" max="543" width="10.21875" style="208" customWidth="1"/>
    <col min="544" max="544" width="9.88671875" style="208" customWidth="1"/>
    <col min="545" max="545" width="10.77734375" style="208" customWidth="1"/>
    <col min="546" max="546" width="8.109375" style="208" customWidth="1"/>
    <col min="547" max="547" width="10" style="208" customWidth="1"/>
    <col min="548" max="548" width="11.77734375" style="208" customWidth="1"/>
    <col min="549" max="741" width="9" style="208"/>
    <col min="742" max="742" width="4.109375" style="208" customWidth="1"/>
    <col min="743" max="743" width="46.21875" style="208" customWidth="1"/>
    <col min="744" max="744" width="19.33203125" style="208" customWidth="1"/>
    <col min="745" max="745" width="10.6640625" style="208" customWidth="1"/>
    <col min="746" max="765" width="9" style="208" hidden="1" customWidth="1"/>
    <col min="766" max="766" width="9.77734375" style="208" customWidth="1"/>
    <col min="767" max="767" width="9.6640625" style="208" customWidth="1"/>
    <col min="768" max="768" width="9.44140625" style="208" customWidth="1"/>
    <col min="769" max="769" width="10.33203125" style="208" customWidth="1"/>
    <col min="770" max="770" width="10.44140625" style="208" customWidth="1"/>
    <col min="771" max="771" width="9.77734375" style="208" customWidth="1"/>
    <col min="772" max="772" width="10.21875" style="208" customWidth="1"/>
    <col min="773" max="773" width="8.77734375" style="208" customWidth="1"/>
    <col min="774" max="774" width="9" style="208" hidden="1" customWidth="1"/>
    <col min="775" max="775" width="8.21875" style="208" customWidth="1"/>
    <col min="776" max="780" width="9" style="208" hidden="1" customWidth="1"/>
    <col min="781" max="781" width="0.109375" style="208" customWidth="1"/>
    <col min="782" max="798" width="9" style="208" hidden="1" customWidth="1"/>
    <col min="799" max="799" width="10.21875" style="208" customWidth="1"/>
    <col min="800" max="800" width="9.88671875" style="208" customWidth="1"/>
    <col min="801" max="801" width="10.77734375" style="208" customWidth="1"/>
    <col min="802" max="802" width="8.109375" style="208" customWidth="1"/>
    <col min="803" max="803" width="10" style="208" customWidth="1"/>
    <col min="804" max="804" width="11.77734375" style="208" customWidth="1"/>
    <col min="805" max="997" width="9" style="208"/>
    <col min="998" max="998" width="4.109375" style="208" customWidth="1"/>
    <col min="999" max="999" width="46.21875" style="208" customWidth="1"/>
    <col min="1000" max="1000" width="19.33203125" style="208" customWidth="1"/>
    <col min="1001" max="1001" width="10.6640625" style="208" customWidth="1"/>
    <col min="1002" max="1021" width="9" style="208" hidden="1" customWidth="1"/>
    <col min="1022" max="1022" width="9.77734375" style="208" customWidth="1"/>
    <col min="1023" max="1023" width="9.6640625" style="208" customWidth="1"/>
    <col min="1024" max="1024" width="9.44140625" style="208" customWidth="1"/>
    <col min="1025" max="1025" width="10.33203125" style="208" customWidth="1"/>
    <col min="1026" max="1026" width="10.44140625" style="208" customWidth="1"/>
    <col min="1027" max="1027" width="9.77734375" style="208" customWidth="1"/>
    <col min="1028" max="1028" width="10.21875" style="208" customWidth="1"/>
    <col min="1029" max="1029" width="8.77734375" style="208" customWidth="1"/>
    <col min="1030" max="1030" width="9" style="208" hidden="1" customWidth="1"/>
    <col min="1031" max="1031" width="8.21875" style="208" customWidth="1"/>
    <col min="1032" max="1036" width="9" style="208" hidden="1" customWidth="1"/>
    <col min="1037" max="1037" width="0.109375" style="208" customWidth="1"/>
    <col min="1038" max="1054" width="9" style="208" hidden="1" customWidth="1"/>
    <col min="1055" max="1055" width="10.21875" style="208" customWidth="1"/>
    <col min="1056" max="1056" width="9.88671875" style="208" customWidth="1"/>
    <col min="1057" max="1057" width="10.77734375" style="208" customWidth="1"/>
    <col min="1058" max="1058" width="8.109375" style="208" customWidth="1"/>
    <col min="1059" max="1059" width="10" style="208" customWidth="1"/>
    <col min="1060" max="1060" width="11.77734375" style="208" customWidth="1"/>
    <col min="1061" max="1253" width="9" style="208"/>
    <col min="1254" max="1254" width="4.109375" style="208" customWidth="1"/>
    <col min="1255" max="1255" width="46.21875" style="208" customWidth="1"/>
    <col min="1256" max="1256" width="19.33203125" style="208" customWidth="1"/>
    <col min="1257" max="1257" width="10.6640625" style="208" customWidth="1"/>
    <col min="1258" max="1277" width="9" style="208" hidden="1" customWidth="1"/>
    <col min="1278" max="1278" width="9.77734375" style="208" customWidth="1"/>
    <col min="1279" max="1279" width="9.6640625" style="208" customWidth="1"/>
    <col min="1280" max="1280" width="9.44140625" style="208" customWidth="1"/>
    <col min="1281" max="1281" width="10.33203125" style="208" customWidth="1"/>
    <col min="1282" max="1282" width="10.44140625" style="208" customWidth="1"/>
    <col min="1283" max="1283" width="9.77734375" style="208" customWidth="1"/>
    <col min="1284" max="1284" width="10.21875" style="208" customWidth="1"/>
    <col min="1285" max="1285" width="8.77734375" style="208" customWidth="1"/>
    <col min="1286" max="1286" width="9" style="208" hidden="1" customWidth="1"/>
    <col min="1287" max="1287" width="8.21875" style="208" customWidth="1"/>
    <col min="1288" max="1292" width="9" style="208" hidden="1" customWidth="1"/>
    <col min="1293" max="1293" width="0.109375" style="208" customWidth="1"/>
    <col min="1294" max="1310" width="9" style="208" hidden="1" customWidth="1"/>
    <col min="1311" max="1311" width="10.21875" style="208" customWidth="1"/>
    <col min="1312" max="1312" width="9.88671875" style="208" customWidth="1"/>
    <col min="1313" max="1313" width="10.77734375" style="208" customWidth="1"/>
    <col min="1314" max="1314" width="8.109375" style="208" customWidth="1"/>
    <col min="1315" max="1315" width="10" style="208" customWidth="1"/>
    <col min="1316" max="1316" width="11.77734375" style="208" customWidth="1"/>
    <col min="1317" max="1509" width="9" style="208"/>
    <col min="1510" max="1510" width="4.109375" style="208" customWidth="1"/>
    <col min="1511" max="1511" width="46.21875" style="208" customWidth="1"/>
    <col min="1512" max="1512" width="19.33203125" style="208" customWidth="1"/>
    <col min="1513" max="1513" width="10.6640625" style="208" customWidth="1"/>
    <col min="1514" max="1533" width="9" style="208" hidden="1" customWidth="1"/>
    <col min="1534" max="1534" width="9.77734375" style="208" customWidth="1"/>
    <col min="1535" max="1535" width="9.6640625" style="208" customWidth="1"/>
    <col min="1536" max="1536" width="9.44140625" style="208" customWidth="1"/>
    <col min="1537" max="1537" width="10.33203125" style="208" customWidth="1"/>
    <col min="1538" max="1538" width="10.44140625" style="208" customWidth="1"/>
    <col min="1539" max="1539" width="9.77734375" style="208" customWidth="1"/>
    <col min="1540" max="1540" width="10.21875" style="208" customWidth="1"/>
    <col min="1541" max="1541" width="8.77734375" style="208" customWidth="1"/>
    <col min="1542" max="1542" width="9" style="208" hidden="1" customWidth="1"/>
    <col min="1543" max="1543" width="8.21875" style="208" customWidth="1"/>
    <col min="1544" max="1548" width="9" style="208" hidden="1" customWidth="1"/>
    <col min="1549" max="1549" width="0.109375" style="208" customWidth="1"/>
    <col min="1550" max="1566" width="9" style="208" hidden="1" customWidth="1"/>
    <col min="1567" max="1567" width="10.21875" style="208" customWidth="1"/>
    <col min="1568" max="1568" width="9.88671875" style="208" customWidth="1"/>
    <col min="1569" max="1569" width="10.77734375" style="208" customWidth="1"/>
    <col min="1570" max="1570" width="8.109375" style="208" customWidth="1"/>
    <col min="1571" max="1571" width="10" style="208" customWidth="1"/>
    <col min="1572" max="1572" width="11.77734375" style="208" customWidth="1"/>
    <col min="1573" max="1765" width="9" style="208"/>
    <col min="1766" max="1766" width="4.109375" style="208" customWidth="1"/>
    <col min="1767" max="1767" width="46.21875" style="208" customWidth="1"/>
    <col min="1768" max="1768" width="19.33203125" style="208" customWidth="1"/>
    <col min="1769" max="1769" width="10.6640625" style="208" customWidth="1"/>
    <col min="1770" max="1789" width="9" style="208" hidden="1" customWidth="1"/>
    <col min="1790" max="1790" width="9.77734375" style="208" customWidth="1"/>
    <col min="1791" max="1791" width="9.6640625" style="208" customWidth="1"/>
    <col min="1792" max="1792" width="9.44140625" style="208" customWidth="1"/>
    <col min="1793" max="1793" width="10.33203125" style="208" customWidth="1"/>
    <col min="1794" max="1794" width="10.44140625" style="208" customWidth="1"/>
    <col min="1795" max="1795" width="9.77734375" style="208" customWidth="1"/>
    <col min="1796" max="1796" width="10.21875" style="208" customWidth="1"/>
    <col min="1797" max="1797" width="8.77734375" style="208" customWidth="1"/>
    <col min="1798" max="1798" width="9" style="208" hidden="1" customWidth="1"/>
    <col min="1799" max="1799" width="8.21875" style="208" customWidth="1"/>
    <col min="1800" max="1804" width="9" style="208" hidden="1" customWidth="1"/>
    <col min="1805" max="1805" width="0.109375" style="208" customWidth="1"/>
    <col min="1806" max="1822" width="9" style="208" hidden="1" customWidth="1"/>
    <col min="1823" max="1823" width="10.21875" style="208" customWidth="1"/>
    <col min="1824" max="1824" width="9.88671875" style="208" customWidth="1"/>
    <col min="1825" max="1825" width="10.77734375" style="208" customWidth="1"/>
    <col min="1826" max="1826" width="8.109375" style="208" customWidth="1"/>
    <col min="1827" max="1827" width="10" style="208" customWidth="1"/>
    <col min="1828" max="1828" width="11.77734375" style="208" customWidth="1"/>
    <col min="1829" max="2021" width="9" style="208"/>
    <col min="2022" max="2022" width="4.109375" style="208" customWidth="1"/>
    <col min="2023" max="2023" width="46.21875" style="208" customWidth="1"/>
    <col min="2024" max="2024" width="19.33203125" style="208" customWidth="1"/>
    <col min="2025" max="2025" width="10.6640625" style="208" customWidth="1"/>
    <col min="2026" max="2045" width="9" style="208" hidden="1" customWidth="1"/>
    <col min="2046" max="2046" width="9.77734375" style="208" customWidth="1"/>
    <col min="2047" max="2047" width="9.6640625" style="208" customWidth="1"/>
    <col min="2048" max="2048" width="9.44140625" style="208" customWidth="1"/>
    <col min="2049" max="2049" width="10.33203125" style="208" customWidth="1"/>
    <col min="2050" max="2050" width="10.44140625" style="208" customWidth="1"/>
    <col min="2051" max="2051" width="9.77734375" style="208" customWidth="1"/>
    <col min="2052" max="2052" width="10.21875" style="208" customWidth="1"/>
    <col min="2053" max="2053" width="8.77734375" style="208" customWidth="1"/>
    <col min="2054" max="2054" width="9" style="208" hidden="1" customWidth="1"/>
    <col min="2055" max="2055" width="8.21875" style="208" customWidth="1"/>
    <col min="2056" max="2060" width="9" style="208" hidden="1" customWidth="1"/>
    <col min="2061" max="2061" width="0.109375" style="208" customWidth="1"/>
    <col min="2062" max="2078" width="9" style="208" hidden="1" customWidth="1"/>
    <col min="2079" max="2079" width="10.21875" style="208" customWidth="1"/>
    <col min="2080" max="2080" width="9.88671875" style="208" customWidth="1"/>
    <col min="2081" max="2081" width="10.77734375" style="208" customWidth="1"/>
    <col min="2082" max="2082" width="8.109375" style="208" customWidth="1"/>
    <col min="2083" max="2083" width="10" style="208" customWidth="1"/>
    <col min="2084" max="2084" width="11.77734375" style="208" customWidth="1"/>
    <col min="2085" max="2277" width="9" style="208"/>
    <col min="2278" max="2278" width="4.109375" style="208" customWidth="1"/>
    <col min="2279" max="2279" width="46.21875" style="208" customWidth="1"/>
    <col min="2280" max="2280" width="19.33203125" style="208" customWidth="1"/>
    <col min="2281" max="2281" width="10.6640625" style="208" customWidth="1"/>
    <col min="2282" max="2301" width="9" style="208" hidden="1" customWidth="1"/>
    <col min="2302" max="2302" width="9.77734375" style="208" customWidth="1"/>
    <col min="2303" max="2303" width="9.6640625" style="208" customWidth="1"/>
    <col min="2304" max="2304" width="9.44140625" style="208" customWidth="1"/>
    <col min="2305" max="2305" width="10.33203125" style="208" customWidth="1"/>
    <col min="2306" max="2306" width="10.44140625" style="208" customWidth="1"/>
    <col min="2307" max="2307" width="9.77734375" style="208" customWidth="1"/>
    <col min="2308" max="2308" width="10.21875" style="208" customWidth="1"/>
    <col min="2309" max="2309" width="8.77734375" style="208" customWidth="1"/>
    <col min="2310" max="2310" width="9" style="208" hidden="1" customWidth="1"/>
    <col min="2311" max="2311" width="8.21875" style="208" customWidth="1"/>
    <col min="2312" max="2316" width="9" style="208" hidden="1" customWidth="1"/>
    <col min="2317" max="2317" width="0.109375" style="208" customWidth="1"/>
    <col min="2318" max="2334" width="9" style="208" hidden="1" customWidth="1"/>
    <col min="2335" max="2335" width="10.21875" style="208" customWidth="1"/>
    <col min="2336" max="2336" width="9.88671875" style="208" customWidth="1"/>
    <col min="2337" max="2337" width="10.77734375" style="208" customWidth="1"/>
    <col min="2338" max="2338" width="8.109375" style="208" customWidth="1"/>
    <col min="2339" max="2339" width="10" style="208" customWidth="1"/>
    <col min="2340" max="2340" width="11.77734375" style="208" customWidth="1"/>
    <col min="2341" max="2533" width="9" style="208"/>
    <col min="2534" max="2534" width="4.109375" style="208" customWidth="1"/>
    <col min="2535" max="2535" width="46.21875" style="208" customWidth="1"/>
    <col min="2536" max="2536" width="19.33203125" style="208" customWidth="1"/>
    <col min="2537" max="2537" width="10.6640625" style="208" customWidth="1"/>
    <col min="2538" max="2557" width="9" style="208" hidden="1" customWidth="1"/>
    <col min="2558" max="2558" width="9.77734375" style="208" customWidth="1"/>
    <col min="2559" max="2559" width="9.6640625" style="208" customWidth="1"/>
    <col min="2560" max="2560" width="9.44140625" style="208" customWidth="1"/>
    <col min="2561" max="2561" width="10.33203125" style="208" customWidth="1"/>
    <col min="2562" max="2562" width="10.44140625" style="208" customWidth="1"/>
    <col min="2563" max="2563" width="9.77734375" style="208" customWidth="1"/>
    <col min="2564" max="2564" width="10.21875" style="208" customWidth="1"/>
    <col min="2565" max="2565" width="8.77734375" style="208" customWidth="1"/>
    <col min="2566" max="2566" width="9" style="208" hidden="1" customWidth="1"/>
    <col min="2567" max="2567" width="8.21875" style="208" customWidth="1"/>
    <col min="2568" max="2572" width="9" style="208" hidden="1" customWidth="1"/>
    <col min="2573" max="2573" width="0.109375" style="208" customWidth="1"/>
    <col min="2574" max="2590" width="9" style="208" hidden="1" customWidth="1"/>
    <col min="2591" max="2591" width="10.21875" style="208" customWidth="1"/>
    <col min="2592" max="2592" width="9.88671875" style="208" customWidth="1"/>
    <col min="2593" max="2593" width="10.77734375" style="208" customWidth="1"/>
    <col min="2594" max="2594" width="8.109375" style="208" customWidth="1"/>
    <col min="2595" max="2595" width="10" style="208" customWidth="1"/>
    <col min="2596" max="2596" width="11.77734375" style="208" customWidth="1"/>
    <col min="2597" max="2789" width="9" style="208"/>
    <col min="2790" max="2790" width="4.109375" style="208" customWidth="1"/>
    <col min="2791" max="2791" width="46.21875" style="208" customWidth="1"/>
    <col min="2792" max="2792" width="19.33203125" style="208" customWidth="1"/>
    <col min="2793" max="2793" width="10.6640625" style="208" customWidth="1"/>
    <col min="2794" max="2813" width="9" style="208" hidden="1" customWidth="1"/>
    <col min="2814" max="2814" width="9.77734375" style="208" customWidth="1"/>
    <col min="2815" max="2815" width="9.6640625" style="208" customWidth="1"/>
    <col min="2816" max="2816" width="9.44140625" style="208" customWidth="1"/>
    <col min="2817" max="2817" width="10.33203125" style="208" customWidth="1"/>
    <col min="2818" max="2818" width="10.44140625" style="208" customWidth="1"/>
    <col min="2819" max="2819" width="9.77734375" style="208" customWidth="1"/>
    <col min="2820" max="2820" width="10.21875" style="208" customWidth="1"/>
    <col min="2821" max="2821" width="8.77734375" style="208" customWidth="1"/>
    <col min="2822" max="2822" width="9" style="208" hidden="1" customWidth="1"/>
    <col min="2823" max="2823" width="8.21875" style="208" customWidth="1"/>
    <col min="2824" max="2828" width="9" style="208" hidden="1" customWidth="1"/>
    <col min="2829" max="2829" width="0.109375" style="208" customWidth="1"/>
    <col min="2830" max="2846" width="9" style="208" hidden="1" customWidth="1"/>
    <col min="2847" max="2847" width="10.21875" style="208" customWidth="1"/>
    <col min="2848" max="2848" width="9.88671875" style="208" customWidth="1"/>
    <col min="2849" max="2849" width="10.77734375" style="208" customWidth="1"/>
    <col min="2850" max="2850" width="8.109375" style="208" customWidth="1"/>
    <col min="2851" max="2851" width="10" style="208" customWidth="1"/>
    <col min="2852" max="2852" width="11.77734375" style="208" customWidth="1"/>
    <col min="2853" max="3045" width="9" style="208"/>
    <col min="3046" max="3046" width="4.109375" style="208" customWidth="1"/>
    <col min="3047" max="3047" width="46.21875" style="208" customWidth="1"/>
    <col min="3048" max="3048" width="19.33203125" style="208" customWidth="1"/>
    <col min="3049" max="3049" width="10.6640625" style="208" customWidth="1"/>
    <col min="3050" max="3069" width="9" style="208" hidden="1" customWidth="1"/>
    <col min="3070" max="3070" width="9.77734375" style="208" customWidth="1"/>
    <col min="3071" max="3071" width="9.6640625" style="208" customWidth="1"/>
    <col min="3072" max="3072" width="9.44140625" style="208" customWidth="1"/>
    <col min="3073" max="3073" width="10.33203125" style="208" customWidth="1"/>
    <col min="3074" max="3074" width="10.44140625" style="208" customWidth="1"/>
    <col min="3075" max="3075" width="9.77734375" style="208" customWidth="1"/>
    <col min="3076" max="3076" width="10.21875" style="208" customWidth="1"/>
    <col min="3077" max="3077" width="8.77734375" style="208" customWidth="1"/>
    <col min="3078" max="3078" width="9" style="208" hidden="1" customWidth="1"/>
    <col min="3079" max="3079" width="8.21875" style="208" customWidth="1"/>
    <col min="3080" max="3084" width="9" style="208" hidden="1" customWidth="1"/>
    <col min="3085" max="3085" width="0.109375" style="208" customWidth="1"/>
    <col min="3086" max="3102" width="9" style="208" hidden="1" customWidth="1"/>
    <col min="3103" max="3103" width="10.21875" style="208" customWidth="1"/>
    <col min="3104" max="3104" width="9.88671875" style="208" customWidth="1"/>
    <col min="3105" max="3105" width="10.77734375" style="208" customWidth="1"/>
    <col min="3106" max="3106" width="8.109375" style="208" customWidth="1"/>
    <col min="3107" max="3107" width="10" style="208" customWidth="1"/>
    <col min="3108" max="3108" width="11.77734375" style="208" customWidth="1"/>
    <col min="3109" max="3301" width="9" style="208"/>
    <col min="3302" max="3302" width="4.109375" style="208" customWidth="1"/>
    <col min="3303" max="3303" width="46.21875" style="208" customWidth="1"/>
    <col min="3304" max="3304" width="19.33203125" style="208" customWidth="1"/>
    <col min="3305" max="3305" width="10.6640625" style="208" customWidth="1"/>
    <col min="3306" max="3325" width="9" style="208" hidden="1" customWidth="1"/>
    <col min="3326" max="3326" width="9.77734375" style="208" customWidth="1"/>
    <col min="3327" max="3327" width="9.6640625" style="208" customWidth="1"/>
    <col min="3328" max="3328" width="9.44140625" style="208" customWidth="1"/>
    <col min="3329" max="3329" width="10.33203125" style="208" customWidth="1"/>
    <col min="3330" max="3330" width="10.44140625" style="208" customWidth="1"/>
    <col min="3331" max="3331" width="9.77734375" style="208" customWidth="1"/>
    <col min="3332" max="3332" width="10.21875" style="208" customWidth="1"/>
    <col min="3333" max="3333" width="8.77734375" style="208" customWidth="1"/>
    <col min="3334" max="3334" width="9" style="208" hidden="1" customWidth="1"/>
    <col min="3335" max="3335" width="8.21875" style="208" customWidth="1"/>
    <col min="3336" max="3340" width="9" style="208" hidden="1" customWidth="1"/>
    <col min="3341" max="3341" width="0.109375" style="208" customWidth="1"/>
    <col min="3342" max="3358" width="9" style="208" hidden="1" customWidth="1"/>
    <col min="3359" max="3359" width="10.21875" style="208" customWidth="1"/>
    <col min="3360" max="3360" width="9.88671875" style="208" customWidth="1"/>
    <col min="3361" max="3361" width="10.77734375" style="208" customWidth="1"/>
    <col min="3362" max="3362" width="8.109375" style="208" customWidth="1"/>
    <col min="3363" max="3363" width="10" style="208" customWidth="1"/>
    <col min="3364" max="3364" width="11.77734375" style="208" customWidth="1"/>
    <col min="3365" max="3557" width="9" style="208"/>
    <col min="3558" max="3558" width="4.109375" style="208" customWidth="1"/>
    <col min="3559" max="3559" width="46.21875" style="208" customWidth="1"/>
    <col min="3560" max="3560" width="19.33203125" style="208" customWidth="1"/>
    <col min="3561" max="3561" width="10.6640625" style="208" customWidth="1"/>
    <col min="3562" max="3581" width="9" style="208" hidden="1" customWidth="1"/>
    <col min="3582" max="3582" width="9.77734375" style="208" customWidth="1"/>
    <col min="3583" max="3583" width="9.6640625" style="208" customWidth="1"/>
    <col min="3584" max="3584" width="9.44140625" style="208" customWidth="1"/>
    <col min="3585" max="3585" width="10.33203125" style="208" customWidth="1"/>
    <col min="3586" max="3586" width="10.44140625" style="208" customWidth="1"/>
    <col min="3587" max="3587" width="9.77734375" style="208" customWidth="1"/>
    <col min="3588" max="3588" width="10.21875" style="208" customWidth="1"/>
    <col min="3589" max="3589" width="8.77734375" style="208" customWidth="1"/>
    <col min="3590" max="3590" width="9" style="208" hidden="1" customWidth="1"/>
    <col min="3591" max="3591" width="8.21875" style="208" customWidth="1"/>
    <col min="3592" max="3596" width="9" style="208" hidden="1" customWidth="1"/>
    <col min="3597" max="3597" width="0.109375" style="208" customWidth="1"/>
    <col min="3598" max="3614" width="9" style="208" hidden="1" customWidth="1"/>
    <col min="3615" max="3615" width="10.21875" style="208" customWidth="1"/>
    <col min="3616" max="3616" width="9.88671875" style="208" customWidth="1"/>
    <col min="3617" max="3617" width="10.77734375" style="208" customWidth="1"/>
    <col min="3618" max="3618" width="8.109375" style="208" customWidth="1"/>
    <col min="3619" max="3619" width="10" style="208" customWidth="1"/>
    <col min="3620" max="3620" width="11.77734375" style="208" customWidth="1"/>
    <col min="3621" max="3813" width="9" style="208"/>
    <col min="3814" max="3814" width="4.109375" style="208" customWidth="1"/>
    <col min="3815" max="3815" width="46.21875" style="208" customWidth="1"/>
    <col min="3816" max="3816" width="19.33203125" style="208" customWidth="1"/>
    <col min="3817" max="3817" width="10.6640625" style="208" customWidth="1"/>
    <col min="3818" max="3837" width="9" style="208" hidden="1" customWidth="1"/>
    <col min="3838" max="3838" width="9.77734375" style="208" customWidth="1"/>
    <col min="3839" max="3839" width="9.6640625" style="208" customWidth="1"/>
    <col min="3840" max="3840" width="9.44140625" style="208" customWidth="1"/>
    <col min="3841" max="3841" width="10.33203125" style="208" customWidth="1"/>
    <col min="3842" max="3842" width="10.44140625" style="208" customWidth="1"/>
    <col min="3843" max="3843" width="9.77734375" style="208" customWidth="1"/>
    <col min="3844" max="3844" width="10.21875" style="208" customWidth="1"/>
    <col min="3845" max="3845" width="8.77734375" style="208" customWidth="1"/>
    <col min="3846" max="3846" width="9" style="208" hidden="1" customWidth="1"/>
    <col min="3847" max="3847" width="8.21875" style="208" customWidth="1"/>
    <col min="3848" max="3852" width="9" style="208" hidden="1" customWidth="1"/>
    <col min="3853" max="3853" width="0.109375" style="208" customWidth="1"/>
    <col min="3854" max="3870" width="9" style="208" hidden="1" customWidth="1"/>
    <col min="3871" max="3871" width="10.21875" style="208" customWidth="1"/>
    <col min="3872" max="3872" width="9.88671875" style="208" customWidth="1"/>
    <col min="3873" max="3873" width="10.77734375" style="208" customWidth="1"/>
    <col min="3874" max="3874" width="8.109375" style="208" customWidth="1"/>
    <col min="3875" max="3875" width="10" style="208" customWidth="1"/>
    <col min="3876" max="3876" width="11.77734375" style="208" customWidth="1"/>
    <col min="3877" max="4069" width="9" style="208"/>
    <col min="4070" max="4070" width="4.109375" style="208" customWidth="1"/>
    <col min="4071" max="4071" width="46.21875" style="208" customWidth="1"/>
    <col min="4072" max="4072" width="19.33203125" style="208" customWidth="1"/>
    <col min="4073" max="4073" width="10.6640625" style="208" customWidth="1"/>
    <col min="4074" max="4093" width="9" style="208" hidden="1" customWidth="1"/>
    <col min="4094" max="4094" width="9.77734375" style="208" customWidth="1"/>
    <col min="4095" max="4095" width="9.6640625" style="208" customWidth="1"/>
    <col min="4096" max="4096" width="9.44140625" style="208" customWidth="1"/>
    <col min="4097" max="4097" width="10.33203125" style="208" customWidth="1"/>
    <col min="4098" max="4098" width="10.44140625" style="208" customWidth="1"/>
    <col min="4099" max="4099" width="9.77734375" style="208" customWidth="1"/>
    <col min="4100" max="4100" width="10.21875" style="208" customWidth="1"/>
    <col min="4101" max="4101" width="8.77734375" style="208" customWidth="1"/>
    <col min="4102" max="4102" width="9" style="208" hidden="1" customWidth="1"/>
    <col min="4103" max="4103" width="8.21875" style="208" customWidth="1"/>
    <col min="4104" max="4108" width="9" style="208" hidden="1" customWidth="1"/>
    <col min="4109" max="4109" width="0.109375" style="208" customWidth="1"/>
    <col min="4110" max="4126" width="9" style="208" hidden="1" customWidth="1"/>
    <col min="4127" max="4127" width="10.21875" style="208" customWidth="1"/>
    <col min="4128" max="4128" width="9.88671875" style="208" customWidth="1"/>
    <col min="4129" max="4129" width="10.77734375" style="208" customWidth="1"/>
    <col min="4130" max="4130" width="8.109375" style="208" customWidth="1"/>
    <col min="4131" max="4131" width="10" style="208" customWidth="1"/>
    <col min="4132" max="4132" width="11.77734375" style="208" customWidth="1"/>
    <col min="4133" max="4325" width="9" style="208"/>
    <col min="4326" max="4326" width="4.109375" style="208" customWidth="1"/>
    <col min="4327" max="4327" width="46.21875" style="208" customWidth="1"/>
    <col min="4328" max="4328" width="19.33203125" style="208" customWidth="1"/>
    <col min="4329" max="4329" width="10.6640625" style="208" customWidth="1"/>
    <col min="4330" max="4349" width="9" style="208" hidden="1" customWidth="1"/>
    <col min="4350" max="4350" width="9.77734375" style="208" customWidth="1"/>
    <col min="4351" max="4351" width="9.6640625" style="208" customWidth="1"/>
    <col min="4352" max="4352" width="9.44140625" style="208" customWidth="1"/>
    <col min="4353" max="4353" width="10.33203125" style="208" customWidth="1"/>
    <col min="4354" max="4354" width="10.44140625" style="208" customWidth="1"/>
    <col min="4355" max="4355" width="9.77734375" style="208" customWidth="1"/>
    <col min="4356" max="4356" width="10.21875" style="208" customWidth="1"/>
    <col min="4357" max="4357" width="8.77734375" style="208" customWidth="1"/>
    <col min="4358" max="4358" width="9" style="208" hidden="1" customWidth="1"/>
    <col min="4359" max="4359" width="8.21875" style="208" customWidth="1"/>
    <col min="4360" max="4364" width="9" style="208" hidden="1" customWidth="1"/>
    <col min="4365" max="4365" width="0.109375" style="208" customWidth="1"/>
    <col min="4366" max="4382" width="9" style="208" hidden="1" customWidth="1"/>
    <col min="4383" max="4383" width="10.21875" style="208" customWidth="1"/>
    <col min="4384" max="4384" width="9.88671875" style="208" customWidth="1"/>
    <col min="4385" max="4385" width="10.77734375" style="208" customWidth="1"/>
    <col min="4386" max="4386" width="8.109375" style="208" customWidth="1"/>
    <col min="4387" max="4387" width="10" style="208" customWidth="1"/>
    <col min="4388" max="4388" width="11.77734375" style="208" customWidth="1"/>
    <col min="4389" max="4581" width="9" style="208"/>
    <col min="4582" max="4582" width="4.109375" style="208" customWidth="1"/>
    <col min="4583" max="4583" width="46.21875" style="208" customWidth="1"/>
    <col min="4584" max="4584" width="19.33203125" style="208" customWidth="1"/>
    <col min="4585" max="4585" width="10.6640625" style="208" customWidth="1"/>
    <col min="4586" max="4605" width="9" style="208" hidden="1" customWidth="1"/>
    <col min="4606" max="4606" width="9.77734375" style="208" customWidth="1"/>
    <col min="4607" max="4607" width="9.6640625" style="208" customWidth="1"/>
    <col min="4608" max="4608" width="9.44140625" style="208" customWidth="1"/>
    <col min="4609" max="4609" width="10.33203125" style="208" customWidth="1"/>
    <col min="4610" max="4610" width="10.44140625" style="208" customWidth="1"/>
    <col min="4611" max="4611" width="9.77734375" style="208" customWidth="1"/>
    <col min="4612" max="4612" width="10.21875" style="208" customWidth="1"/>
    <col min="4613" max="4613" width="8.77734375" style="208" customWidth="1"/>
    <col min="4614" max="4614" width="9" style="208" hidden="1" customWidth="1"/>
    <col min="4615" max="4615" width="8.21875" style="208" customWidth="1"/>
    <col min="4616" max="4620" width="9" style="208" hidden="1" customWidth="1"/>
    <col min="4621" max="4621" width="0.109375" style="208" customWidth="1"/>
    <col min="4622" max="4638" width="9" style="208" hidden="1" customWidth="1"/>
    <col min="4639" max="4639" width="10.21875" style="208" customWidth="1"/>
    <col min="4640" max="4640" width="9.88671875" style="208" customWidth="1"/>
    <col min="4641" max="4641" width="10.77734375" style="208" customWidth="1"/>
    <col min="4642" max="4642" width="8.109375" style="208" customWidth="1"/>
    <col min="4643" max="4643" width="10" style="208" customWidth="1"/>
    <col min="4644" max="4644" width="11.77734375" style="208" customWidth="1"/>
    <col min="4645" max="4837" width="9" style="208"/>
    <col min="4838" max="4838" width="4.109375" style="208" customWidth="1"/>
    <col min="4839" max="4839" width="46.21875" style="208" customWidth="1"/>
    <col min="4840" max="4840" width="19.33203125" style="208" customWidth="1"/>
    <col min="4841" max="4841" width="10.6640625" style="208" customWidth="1"/>
    <col min="4842" max="4861" width="9" style="208" hidden="1" customWidth="1"/>
    <col min="4862" max="4862" width="9.77734375" style="208" customWidth="1"/>
    <col min="4863" max="4863" width="9.6640625" style="208" customWidth="1"/>
    <col min="4864" max="4864" width="9.44140625" style="208" customWidth="1"/>
    <col min="4865" max="4865" width="10.33203125" style="208" customWidth="1"/>
    <col min="4866" max="4866" width="10.44140625" style="208" customWidth="1"/>
    <col min="4867" max="4867" width="9.77734375" style="208" customWidth="1"/>
    <col min="4868" max="4868" width="10.21875" style="208" customWidth="1"/>
    <col min="4869" max="4869" width="8.77734375" style="208" customWidth="1"/>
    <col min="4870" max="4870" width="9" style="208" hidden="1" customWidth="1"/>
    <col min="4871" max="4871" width="8.21875" style="208" customWidth="1"/>
    <col min="4872" max="4876" width="9" style="208" hidden="1" customWidth="1"/>
    <col min="4877" max="4877" width="0.109375" style="208" customWidth="1"/>
    <col min="4878" max="4894" width="9" style="208" hidden="1" customWidth="1"/>
    <col min="4895" max="4895" width="10.21875" style="208" customWidth="1"/>
    <col min="4896" max="4896" width="9.88671875" style="208" customWidth="1"/>
    <col min="4897" max="4897" width="10.77734375" style="208" customWidth="1"/>
    <col min="4898" max="4898" width="8.109375" style="208" customWidth="1"/>
    <col min="4899" max="4899" width="10" style="208" customWidth="1"/>
    <col min="4900" max="4900" width="11.77734375" style="208" customWidth="1"/>
    <col min="4901" max="5093" width="9" style="208"/>
    <col min="5094" max="5094" width="4.109375" style="208" customWidth="1"/>
    <col min="5095" max="5095" width="46.21875" style="208" customWidth="1"/>
    <col min="5096" max="5096" width="19.33203125" style="208" customWidth="1"/>
    <col min="5097" max="5097" width="10.6640625" style="208" customWidth="1"/>
    <col min="5098" max="5117" width="9" style="208" hidden="1" customWidth="1"/>
    <col min="5118" max="5118" width="9.77734375" style="208" customWidth="1"/>
    <col min="5119" max="5119" width="9.6640625" style="208" customWidth="1"/>
    <col min="5120" max="5120" width="9.44140625" style="208" customWidth="1"/>
    <col min="5121" max="5121" width="10.33203125" style="208" customWidth="1"/>
    <col min="5122" max="5122" width="10.44140625" style="208" customWidth="1"/>
    <col min="5123" max="5123" width="9.77734375" style="208" customWidth="1"/>
    <col min="5124" max="5124" width="10.21875" style="208" customWidth="1"/>
    <col min="5125" max="5125" width="8.77734375" style="208" customWidth="1"/>
    <col min="5126" max="5126" width="9" style="208" hidden="1" customWidth="1"/>
    <col min="5127" max="5127" width="8.21875" style="208" customWidth="1"/>
    <col min="5128" max="5132" width="9" style="208" hidden="1" customWidth="1"/>
    <col min="5133" max="5133" width="0.109375" style="208" customWidth="1"/>
    <col min="5134" max="5150" width="9" style="208" hidden="1" customWidth="1"/>
    <col min="5151" max="5151" width="10.21875" style="208" customWidth="1"/>
    <col min="5152" max="5152" width="9.88671875" style="208" customWidth="1"/>
    <col min="5153" max="5153" width="10.77734375" style="208" customWidth="1"/>
    <col min="5154" max="5154" width="8.109375" style="208" customWidth="1"/>
    <col min="5155" max="5155" width="10" style="208" customWidth="1"/>
    <col min="5156" max="5156" width="11.77734375" style="208" customWidth="1"/>
    <col min="5157" max="5349" width="9" style="208"/>
    <col min="5350" max="5350" width="4.109375" style="208" customWidth="1"/>
    <col min="5351" max="5351" width="46.21875" style="208" customWidth="1"/>
    <col min="5352" max="5352" width="19.33203125" style="208" customWidth="1"/>
    <col min="5353" max="5353" width="10.6640625" style="208" customWidth="1"/>
    <col min="5354" max="5373" width="9" style="208" hidden="1" customWidth="1"/>
    <col min="5374" max="5374" width="9.77734375" style="208" customWidth="1"/>
    <col min="5375" max="5375" width="9.6640625" style="208" customWidth="1"/>
    <col min="5376" max="5376" width="9.44140625" style="208" customWidth="1"/>
    <col min="5377" max="5377" width="10.33203125" style="208" customWidth="1"/>
    <col min="5378" max="5378" width="10.44140625" style="208" customWidth="1"/>
    <col min="5379" max="5379" width="9.77734375" style="208" customWidth="1"/>
    <col min="5380" max="5380" width="10.21875" style="208" customWidth="1"/>
    <col min="5381" max="5381" width="8.77734375" style="208" customWidth="1"/>
    <col min="5382" max="5382" width="9" style="208" hidden="1" customWidth="1"/>
    <col min="5383" max="5383" width="8.21875" style="208" customWidth="1"/>
    <col min="5384" max="5388" width="9" style="208" hidden="1" customWidth="1"/>
    <col min="5389" max="5389" width="0.109375" style="208" customWidth="1"/>
    <col min="5390" max="5406" width="9" style="208" hidden="1" customWidth="1"/>
    <col min="5407" max="5407" width="10.21875" style="208" customWidth="1"/>
    <col min="5408" max="5408" width="9.88671875" style="208" customWidth="1"/>
    <col min="5409" max="5409" width="10.77734375" style="208" customWidth="1"/>
    <col min="5410" max="5410" width="8.109375" style="208" customWidth="1"/>
    <col min="5411" max="5411" width="10" style="208" customWidth="1"/>
    <col min="5412" max="5412" width="11.77734375" style="208" customWidth="1"/>
    <col min="5413" max="5605" width="9" style="208"/>
    <col min="5606" max="5606" width="4.109375" style="208" customWidth="1"/>
    <col min="5607" max="5607" width="46.21875" style="208" customWidth="1"/>
    <col min="5608" max="5608" width="19.33203125" style="208" customWidth="1"/>
    <col min="5609" max="5609" width="10.6640625" style="208" customWidth="1"/>
    <col min="5610" max="5629" width="9" style="208" hidden="1" customWidth="1"/>
    <col min="5630" max="5630" width="9.77734375" style="208" customWidth="1"/>
    <col min="5631" max="5631" width="9.6640625" style="208" customWidth="1"/>
    <col min="5632" max="5632" width="9.44140625" style="208" customWidth="1"/>
    <col min="5633" max="5633" width="10.33203125" style="208" customWidth="1"/>
    <col min="5634" max="5634" width="10.44140625" style="208" customWidth="1"/>
    <col min="5635" max="5635" width="9.77734375" style="208" customWidth="1"/>
    <col min="5636" max="5636" width="10.21875" style="208" customWidth="1"/>
    <col min="5637" max="5637" width="8.77734375" style="208" customWidth="1"/>
    <col min="5638" max="5638" width="9" style="208" hidden="1" customWidth="1"/>
    <col min="5639" max="5639" width="8.21875" style="208" customWidth="1"/>
    <col min="5640" max="5644" width="9" style="208" hidden="1" customWidth="1"/>
    <col min="5645" max="5645" width="0.109375" style="208" customWidth="1"/>
    <col min="5646" max="5662" width="9" style="208" hidden="1" customWidth="1"/>
    <col min="5663" max="5663" width="10.21875" style="208" customWidth="1"/>
    <col min="5664" max="5664" width="9.88671875" style="208" customWidth="1"/>
    <col min="5665" max="5665" width="10.77734375" style="208" customWidth="1"/>
    <col min="5666" max="5666" width="8.109375" style="208" customWidth="1"/>
    <col min="5667" max="5667" width="10" style="208" customWidth="1"/>
    <col min="5668" max="5668" width="11.77734375" style="208" customWidth="1"/>
    <col min="5669" max="5861" width="9" style="208"/>
    <col min="5862" max="5862" width="4.109375" style="208" customWidth="1"/>
    <col min="5863" max="5863" width="46.21875" style="208" customWidth="1"/>
    <col min="5864" max="5864" width="19.33203125" style="208" customWidth="1"/>
    <col min="5865" max="5865" width="10.6640625" style="208" customWidth="1"/>
    <col min="5866" max="5885" width="9" style="208" hidden="1" customWidth="1"/>
    <col min="5886" max="5886" width="9.77734375" style="208" customWidth="1"/>
    <col min="5887" max="5887" width="9.6640625" style="208" customWidth="1"/>
    <col min="5888" max="5888" width="9.44140625" style="208" customWidth="1"/>
    <col min="5889" max="5889" width="10.33203125" style="208" customWidth="1"/>
    <col min="5890" max="5890" width="10.44140625" style="208" customWidth="1"/>
    <col min="5891" max="5891" width="9.77734375" style="208" customWidth="1"/>
    <col min="5892" max="5892" width="10.21875" style="208" customWidth="1"/>
    <col min="5893" max="5893" width="8.77734375" style="208" customWidth="1"/>
    <col min="5894" max="5894" width="9" style="208" hidden="1" customWidth="1"/>
    <col min="5895" max="5895" width="8.21875" style="208" customWidth="1"/>
    <col min="5896" max="5900" width="9" style="208" hidden="1" customWidth="1"/>
    <col min="5901" max="5901" width="0.109375" style="208" customWidth="1"/>
    <col min="5902" max="5918" width="9" style="208" hidden="1" customWidth="1"/>
    <col min="5919" max="5919" width="10.21875" style="208" customWidth="1"/>
    <col min="5920" max="5920" width="9.88671875" style="208" customWidth="1"/>
    <col min="5921" max="5921" width="10.77734375" style="208" customWidth="1"/>
    <col min="5922" max="5922" width="8.109375" style="208" customWidth="1"/>
    <col min="5923" max="5923" width="10" style="208" customWidth="1"/>
    <col min="5924" max="5924" width="11.77734375" style="208" customWidth="1"/>
    <col min="5925" max="6117" width="9" style="208"/>
    <col min="6118" max="6118" width="4.109375" style="208" customWidth="1"/>
    <col min="6119" max="6119" width="46.21875" style="208" customWidth="1"/>
    <col min="6120" max="6120" width="19.33203125" style="208" customWidth="1"/>
    <col min="6121" max="6121" width="10.6640625" style="208" customWidth="1"/>
    <col min="6122" max="6141" width="9" style="208" hidden="1" customWidth="1"/>
    <col min="6142" max="6142" width="9.77734375" style="208" customWidth="1"/>
    <col min="6143" max="6143" width="9.6640625" style="208" customWidth="1"/>
    <col min="6144" max="6144" width="9.44140625" style="208" customWidth="1"/>
    <col min="6145" max="6145" width="10.33203125" style="208" customWidth="1"/>
    <col min="6146" max="6146" width="10.44140625" style="208" customWidth="1"/>
    <col min="6147" max="6147" width="9.77734375" style="208" customWidth="1"/>
    <col min="6148" max="6148" width="10.21875" style="208" customWidth="1"/>
    <col min="6149" max="6149" width="8.77734375" style="208" customWidth="1"/>
    <col min="6150" max="6150" width="9" style="208" hidden="1" customWidth="1"/>
    <col min="6151" max="6151" width="8.21875" style="208" customWidth="1"/>
    <col min="6152" max="6156" width="9" style="208" hidden="1" customWidth="1"/>
    <col min="6157" max="6157" width="0.109375" style="208" customWidth="1"/>
    <col min="6158" max="6174" width="9" style="208" hidden="1" customWidth="1"/>
    <col min="6175" max="6175" width="10.21875" style="208" customWidth="1"/>
    <col min="6176" max="6176" width="9.88671875" style="208" customWidth="1"/>
    <col min="6177" max="6177" width="10.77734375" style="208" customWidth="1"/>
    <col min="6178" max="6178" width="8.109375" style="208" customWidth="1"/>
    <col min="6179" max="6179" width="10" style="208" customWidth="1"/>
    <col min="6180" max="6180" width="11.77734375" style="208" customWidth="1"/>
    <col min="6181" max="6373" width="9" style="208"/>
    <col min="6374" max="6374" width="4.109375" style="208" customWidth="1"/>
    <col min="6375" max="6375" width="46.21875" style="208" customWidth="1"/>
    <col min="6376" max="6376" width="19.33203125" style="208" customWidth="1"/>
    <col min="6377" max="6377" width="10.6640625" style="208" customWidth="1"/>
    <col min="6378" max="6397" width="9" style="208" hidden="1" customWidth="1"/>
    <col min="6398" max="6398" width="9.77734375" style="208" customWidth="1"/>
    <col min="6399" max="6399" width="9.6640625" style="208" customWidth="1"/>
    <col min="6400" max="6400" width="9.44140625" style="208" customWidth="1"/>
    <col min="6401" max="6401" width="10.33203125" style="208" customWidth="1"/>
    <col min="6402" max="6402" width="10.44140625" style="208" customWidth="1"/>
    <col min="6403" max="6403" width="9.77734375" style="208" customWidth="1"/>
    <col min="6404" max="6404" width="10.21875" style="208" customWidth="1"/>
    <col min="6405" max="6405" width="8.77734375" style="208" customWidth="1"/>
    <col min="6406" max="6406" width="9" style="208" hidden="1" customWidth="1"/>
    <col min="6407" max="6407" width="8.21875" style="208" customWidth="1"/>
    <col min="6408" max="6412" width="9" style="208" hidden="1" customWidth="1"/>
    <col min="6413" max="6413" width="0.109375" style="208" customWidth="1"/>
    <col min="6414" max="6430" width="9" style="208" hidden="1" customWidth="1"/>
    <col min="6431" max="6431" width="10.21875" style="208" customWidth="1"/>
    <col min="6432" max="6432" width="9.88671875" style="208" customWidth="1"/>
    <col min="6433" max="6433" width="10.77734375" style="208" customWidth="1"/>
    <col min="6434" max="6434" width="8.109375" style="208" customWidth="1"/>
    <col min="6435" max="6435" width="10" style="208" customWidth="1"/>
    <col min="6436" max="6436" width="11.77734375" style="208" customWidth="1"/>
    <col min="6437" max="6629" width="9" style="208"/>
    <col min="6630" max="6630" width="4.109375" style="208" customWidth="1"/>
    <col min="6631" max="6631" width="46.21875" style="208" customWidth="1"/>
    <col min="6632" max="6632" width="19.33203125" style="208" customWidth="1"/>
    <col min="6633" max="6633" width="10.6640625" style="208" customWidth="1"/>
    <col min="6634" max="6653" width="9" style="208" hidden="1" customWidth="1"/>
    <col min="6654" max="6654" width="9.77734375" style="208" customWidth="1"/>
    <col min="6655" max="6655" width="9.6640625" style="208" customWidth="1"/>
    <col min="6656" max="6656" width="9.44140625" style="208" customWidth="1"/>
    <col min="6657" max="6657" width="10.33203125" style="208" customWidth="1"/>
    <col min="6658" max="6658" width="10.44140625" style="208" customWidth="1"/>
    <col min="6659" max="6659" width="9.77734375" style="208" customWidth="1"/>
    <col min="6660" max="6660" width="10.21875" style="208" customWidth="1"/>
    <col min="6661" max="6661" width="8.77734375" style="208" customWidth="1"/>
    <col min="6662" max="6662" width="9" style="208" hidden="1" customWidth="1"/>
    <col min="6663" max="6663" width="8.21875" style="208" customWidth="1"/>
    <col min="6664" max="6668" width="9" style="208" hidden="1" customWidth="1"/>
    <col min="6669" max="6669" width="0.109375" style="208" customWidth="1"/>
    <col min="6670" max="6686" width="9" style="208" hidden="1" customWidth="1"/>
    <col min="6687" max="6687" width="10.21875" style="208" customWidth="1"/>
    <col min="6688" max="6688" width="9.88671875" style="208" customWidth="1"/>
    <col min="6689" max="6689" width="10.77734375" style="208" customWidth="1"/>
    <col min="6690" max="6690" width="8.109375" style="208" customWidth="1"/>
    <col min="6691" max="6691" width="10" style="208" customWidth="1"/>
    <col min="6692" max="6692" width="11.77734375" style="208" customWidth="1"/>
    <col min="6693" max="6885" width="9" style="208"/>
    <col min="6886" max="6886" width="4.109375" style="208" customWidth="1"/>
    <col min="6887" max="6887" width="46.21875" style="208" customWidth="1"/>
    <col min="6888" max="6888" width="19.33203125" style="208" customWidth="1"/>
    <col min="6889" max="6889" width="10.6640625" style="208" customWidth="1"/>
    <col min="6890" max="6909" width="9" style="208" hidden="1" customWidth="1"/>
    <col min="6910" max="6910" width="9.77734375" style="208" customWidth="1"/>
    <col min="6911" max="6911" width="9.6640625" style="208" customWidth="1"/>
    <col min="6912" max="6912" width="9.44140625" style="208" customWidth="1"/>
    <col min="6913" max="6913" width="10.33203125" style="208" customWidth="1"/>
    <col min="6914" max="6914" width="10.44140625" style="208" customWidth="1"/>
    <col min="6915" max="6915" width="9.77734375" style="208" customWidth="1"/>
    <col min="6916" max="6916" width="10.21875" style="208" customWidth="1"/>
    <col min="6917" max="6917" width="8.77734375" style="208" customWidth="1"/>
    <col min="6918" max="6918" width="9" style="208" hidden="1" customWidth="1"/>
    <col min="6919" max="6919" width="8.21875" style="208" customWidth="1"/>
    <col min="6920" max="6924" width="9" style="208" hidden="1" customWidth="1"/>
    <col min="6925" max="6925" width="0.109375" style="208" customWidth="1"/>
    <col min="6926" max="6942" width="9" style="208" hidden="1" customWidth="1"/>
    <col min="6943" max="6943" width="10.21875" style="208" customWidth="1"/>
    <col min="6944" max="6944" width="9.88671875" style="208" customWidth="1"/>
    <col min="6945" max="6945" width="10.77734375" style="208" customWidth="1"/>
    <col min="6946" max="6946" width="8.109375" style="208" customWidth="1"/>
    <col min="6947" max="6947" width="10" style="208" customWidth="1"/>
    <col min="6948" max="6948" width="11.77734375" style="208" customWidth="1"/>
    <col min="6949" max="7141" width="9" style="208"/>
    <col min="7142" max="7142" width="4.109375" style="208" customWidth="1"/>
    <col min="7143" max="7143" width="46.21875" style="208" customWidth="1"/>
    <col min="7144" max="7144" width="19.33203125" style="208" customWidth="1"/>
    <col min="7145" max="7145" width="10.6640625" style="208" customWidth="1"/>
    <col min="7146" max="7165" width="9" style="208" hidden="1" customWidth="1"/>
    <col min="7166" max="7166" width="9.77734375" style="208" customWidth="1"/>
    <col min="7167" max="7167" width="9.6640625" style="208" customWidth="1"/>
    <col min="7168" max="7168" width="9.44140625" style="208" customWidth="1"/>
    <col min="7169" max="7169" width="10.33203125" style="208" customWidth="1"/>
    <col min="7170" max="7170" width="10.44140625" style="208" customWidth="1"/>
    <col min="7171" max="7171" width="9.77734375" style="208" customWidth="1"/>
    <col min="7172" max="7172" width="10.21875" style="208" customWidth="1"/>
    <col min="7173" max="7173" width="8.77734375" style="208" customWidth="1"/>
    <col min="7174" max="7174" width="9" style="208" hidden="1" customWidth="1"/>
    <col min="7175" max="7175" width="8.21875" style="208" customWidth="1"/>
    <col min="7176" max="7180" width="9" style="208" hidden="1" customWidth="1"/>
    <col min="7181" max="7181" width="0.109375" style="208" customWidth="1"/>
    <col min="7182" max="7198" width="9" style="208" hidden="1" customWidth="1"/>
    <col min="7199" max="7199" width="10.21875" style="208" customWidth="1"/>
    <col min="7200" max="7200" width="9.88671875" style="208" customWidth="1"/>
    <col min="7201" max="7201" width="10.77734375" style="208" customWidth="1"/>
    <col min="7202" max="7202" width="8.109375" style="208" customWidth="1"/>
    <col min="7203" max="7203" width="10" style="208" customWidth="1"/>
    <col min="7204" max="7204" width="11.77734375" style="208" customWidth="1"/>
    <col min="7205" max="7397" width="9" style="208"/>
    <col min="7398" max="7398" width="4.109375" style="208" customWidth="1"/>
    <col min="7399" max="7399" width="46.21875" style="208" customWidth="1"/>
    <col min="7400" max="7400" width="19.33203125" style="208" customWidth="1"/>
    <col min="7401" max="7401" width="10.6640625" style="208" customWidth="1"/>
    <col min="7402" max="7421" width="9" style="208" hidden="1" customWidth="1"/>
    <col min="7422" max="7422" width="9.77734375" style="208" customWidth="1"/>
    <col min="7423" max="7423" width="9.6640625" style="208" customWidth="1"/>
    <col min="7424" max="7424" width="9.44140625" style="208" customWidth="1"/>
    <col min="7425" max="7425" width="10.33203125" style="208" customWidth="1"/>
    <col min="7426" max="7426" width="10.44140625" style="208" customWidth="1"/>
    <col min="7427" max="7427" width="9.77734375" style="208" customWidth="1"/>
    <col min="7428" max="7428" width="10.21875" style="208" customWidth="1"/>
    <col min="7429" max="7429" width="8.77734375" style="208" customWidth="1"/>
    <col min="7430" max="7430" width="9" style="208" hidden="1" customWidth="1"/>
    <col min="7431" max="7431" width="8.21875" style="208" customWidth="1"/>
    <col min="7432" max="7436" width="9" style="208" hidden="1" customWidth="1"/>
    <col min="7437" max="7437" width="0.109375" style="208" customWidth="1"/>
    <col min="7438" max="7454" width="9" style="208" hidden="1" customWidth="1"/>
    <col min="7455" max="7455" width="10.21875" style="208" customWidth="1"/>
    <col min="7456" max="7456" width="9.88671875" style="208" customWidth="1"/>
    <col min="7457" max="7457" width="10.77734375" style="208" customWidth="1"/>
    <col min="7458" max="7458" width="8.109375" style="208" customWidth="1"/>
    <col min="7459" max="7459" width="10" style="208" customWidth="1"/>
    <col min="7460" max="7460" width="11.77734375" style="208" customWidth="1"/>
    <col min="7461" max="7653" width="9" style="208"/>
    <col min="7654" max="7654" width="4.109375" style="208" customWidth="1"/>
    <col min="7655" max="7655" width="46.21875" style="208" customWidth="1"/>
    <col min="7656" max="7656" width="19.33203125" style="208" customWidth="1"/>
    <col min="7657" max="7657" width="10.6640625" style="208" customWidth="1"/>
    <col min="7658" max="7677" width="9" style="208" hidden="1" customWidth="1"/>
    <col min="7678" max="7678" width="9.77734375" style="208" customWidth="1"/>
    <col min="7679" max="7679" width="9.6640625" style="208" customWidth="1"/>
    <col min="7680" max="7680" width="9.44140625" style="208" customWidth="1"/>
    <col min="7681" max="7681" width="10.33203125" style="208" customWidth="1"/>
    <col min="7682" max="7682" width="10.44140625" style="208" customWidth="1"/>
    <col min="7683" max="7683" width="9.77734375" style="208" customWidth="1"/>
    <col min="7684" max="7684" width="10.21875" style="208" customWidth="1"/>
    <col min="7685" max="7685" width="8.77734375" style="208" customWidth="1"/>
    <col min="7686" max="7686" width="9" style="208" hidden="1" customWidth="1"/>
    <col min="7687" max="7687" width="8.21875" style="208" customWidth="1"/>
    <col min="7688" max="7692" width="9" style="208" hidden="1" customWidth="1"/>
    <col min="7693" max="7693" width="0.109375" style="208" customWidth="1"/>
    <col min="7694" max="7710" width="9" style="208" hidden="1" customWidth="1"/>
    <col min="7711" max="7711" width="10.21875" style="208" customWidth="1"/>
    <col min="7712" max="7712" width="9.88671875" style="208" customWidth="1"/>
    <col min="7713" max="7713" width="10.77734375" style="208" customWidth="1"/>
    <col min="7714" max="7714" width="8.109375" style="208" customWidth="1"/>
    <col min="7715" max="7715" width="10" style="208" customWidth="1"/>
    <col min="7716" max="7716" width="11.77734375" style="208" customWidth="1"/>
    <col min="7717" max="7909" width="9" style="208"/>
    <col min="7910" max="7910" width="4.109375" style="208" customWidth="1"/>
    <col min="7911" max="7911" width="46.21875" style="208" customWidth="1"/>
    <col min="7912" max="7912" width="19.33203125" style="208" customWidth="1"/>
    <col min="7913" max="7913" width="10.6640625" style="208" customWidth="1"/>
    <col min="7914" max="7933" width="9" style="208" hidden="1" customWidth="1"/>
    <col min="7934" max="7934" width="9.77734375" style="208" customWidth="1"/>
    <col min="7935" max="7935" width="9.6640625" style="208" customWidth="1"/>
    <col min="7936" max="7936" width="9.44140625" style="208" customWidth="1"/>
    <col min="7937" max="7937" width="10.33203125" style="208" customWidth="1"/>
    <col min="7938" max="7938" width="10.44140625" style="208" customWidth="1"/>
    <col min="7939" max="7939" width="9.77734375" style="208" customWidth="1"/>
    <col min="7940" max="7940" width="10.21875" style="208" customWidth="1"/>
    <col min="7941" max="7941" width="8.77734375" style="208" customWidth="1"/>
    <col min="7942" max="7942" width="9" style="208" hidden="1" customWidth="1"/>
    <col min="7943" max="7943" width="8.21875" style="208" customWidth="1"/>
    <col min="7944" max="7948" width="9" style="208" hidden="1" customWidth="1"/>
    <col min="7949" max="7949" width="0.109375" style="208" customWidth="1"/>
    <col min="7950" max="7966" width="9" style="208" hidden="1" customWidth="1"/>
    <col min="7967" max="7967" width="10.21875" style="208" customWidth="1"/>
    <col min="7968" max="7968" width="9.88671875" style="208" customWidth="1"/>
    <col min="7969" max="7969" width="10.77734375" style="208" customWidth="1"/>
    <col min="7970" max="7970" width="8.109375" style="208" customWidth="1"/>
    <col min="7971" max="7971" width="10" style="208" customWidth="1"/>
    <col min="7972" max="7972" width="11.77734375" style="208" customWidth="1"/>
    <col min="7973" max="8165" width="9" style="208"/>
    <col min="8166" max="8166" width="4.109375" style="208" customWidth="1"/>
    <col min="8167" max="8167" width="46.21875" style="208" customWidth="1"/>
    <col min="8168" max="8168" width="19.33203125" style="208" customWidth="1"/>
    <col min="8169" max="8169" width="10.6640625" style="208" customWidth="1"/>
    <col min="8170" max="8189" width="9" style="208" hidden="1" customWidth="1"/>
    <col min="8190" max="8190" width="9.77734375" style="208" customWidth="1"/>
    <col min="8191" max="8191" width="9.6640625" style="208" customWidth="1"/>
    <col min="8192" max="8192" width="9.44140625" style="208" customWidth="1"/>
    <col min="8193" max="8193" width="10.33203125" style="208" customWidth="1"/>
    <col min="8194" max="8194" width="10.44140625" style="208" customWidth="1"/>
    <col min="8195" max="8195" width="9.77734375" style="208" customWidth="1"/>
    <col min="8196" max="8196" width="10.21875" style="208" customWidth="1"/>
    <col min="8197" max="8197" width="8.77734375" style="208" customWidth="1"/>
    <col min="8198" max="8198" width="9" style="208" hidden="1" customWidth="1"/>
    <col min="8199" max="8199" width="8.21875" style="208" customWidth="1"/>
    <col min="8200" max="8204" width="9" style="208" hidden="1" customWidth="1"/>
    <col min="8205" max="8205" width="0.109375" style="208" customWidth="1"/>
    <col min="8206" max="8222" width="9" style="208" hidden="1" customWidth="1"/>
    <col min="8223" max="8223" width="10.21875" style="208" customWidth="1"/>
    <col min="8224" max="8224" width="9.88671875" style="208" customWidth="1"/>
    <col min="8225" max="8225" width="10.77734375" style="208" customWidth="1"/>
    <col min="8226" max="8226" width="8.109375" style="208" customWidth="1"/>
    <col min="8227" max="8227" width="10" style="208" customWidth="1"/>
    <col min="8228" max="8228" width="11.77734375" style="208" customWidth="1"/>
    <col min="8229" max="8421" width="9" style="208"/>
    <col min="8422" max="8422" width="4.109375" style="208" customWidth="1"/>
    <col min="8423" max="8423" width="46.21875" style="208" customWidth="1"/>
    <col min="8424" max="8424" width="19.33203125" style="208" customWidth="1"/>
    <col min="8425" max="8425" width="10.6640625" style="208" customWidth="1"/>
    <col min="8426" max="8445" width="9" style="208" hidden="1" customWidth="1"/>
    <col min="8446" max="8446" width="9.77734375" style="208" customWidth="1"/>
    <col min="8447" max="8447" width="9.6640625" style="208" customWidth="1"/>
    <col min="8448" max="8448" width="9.44140625" style="208" customWidth="1"/>
    <col min="8449" max="8449" width="10.33203125" style="208" customWidth="1"/>
    <col min="8450" max="8450" width="10.44140625" style="208" customWidth="1"/>
    <col min="8451" max="8451" width="9.77734375" style="208" customWidth="1"/>
    <col min="8452" max="8452" width="10.21875" style="208" customWidth="1"/>
    <col min="8453" max="8453" width="8.77734375" style="208" customWidth="1"/>
    <col min="8454" max="8454" width="9" style="208" hidden="1" customWidth="1"/>
    <col min="8455" max="8455" width="8.21875" style="208" customWidth="1"/>
    <col min="8456" max="8460" width="9" style="208" hidden="1" customWidth="1"/>
    <col min="8461" max="8461" width="0.109375" style="208" customWidth="1"/>
    <col min="8462" max="8478" width="9" style="208" hidden="1" customWidth="1"/>
    <col min="8479" max="8479" width="10.21875" style="208" customWidth="1"/>
    <col min="8480" max="8480" width="9.88671875" style="208" customWidth="1"/>
    <col min="8481" max="8481" width="10.77734375" style="208" customWidth="1"/>
    <col min="8482" max="8482" width="8.109375" style="208" customWidth="1"/>
    <col min="8483" max="8483" width="10" style="208" customWidth="1"/>
    <col min="8484" max="8484" width="11.77734375" style="208" customWidth="1"/>
    <col min="8485" max="8677" width="9" style="208"/>
    <col min="8678" max="8678" width="4.109375" style="208" customWidth="1"/>
    <col min="8679" max="8679" width="46.21875" style="208" customWidth="1"/>
    <col min="8680" max="8680" width="19.33203125" style="208" customWidth="1"/>
    <col min="8681" max="8681" width="10.6640625" style="208" customWidth="1"/>
    <col min="8682" max="8701" width="9" style="208" hidden="1" customWidth="1"/>
    <col min="8702" max="8702" width="9.77734375" style="208" customWidth="1"/>
    <col min="8703" max="8703" width="9.6640625" style="208" customWidth="1"/>
    <col min="8704" max="8704" width="9.44140625" style="208" customWidth="1"/>
    <col min="8705" max="8705" width="10.33203125" style="208" customWidth="1"/>
    <col min="8706" max="8706" width="10.44140625" style="208" customWidth="1"/>
    <col min="8707" max="8707" width="9.77734375" style="208" customWidth="1"/>
    <col min="8708" max="8708" width="10.21875" style="208" customWidth="1"/>
    <col min="8709" max="8709" width="8.77734375" style="208" customWidth="1"/>
    <col min="8710" max="8710" width="9" style="208" hidden="1" customWidth="1"/>
    <col min="8711" max="8711" width="8.21875" style="208" customWidth="1"/>
    <col min="8712" max="8716" width="9" style="208" hidden="1" customWidth="1"/>
    <col min="8717" max="8717" width="0.109375" style="208" customWidth="1"/>
    <col min="8718" max="8734" width="9" style="208" hidden="1" customWidth="1"/>
    <col min="8735" max="8735" width="10.21875" style="208" customWidth="1"/>
    <col min="8736" max="8736" width="9.88671875" style="208" customWidth="1"/>
    <col min="8737" max="8737" width="10.77734375" style="208" customWidth="1"/>
    <col min="8738" max="8738" width="8.109375" style="208" customWidth="1"/>
    <col min="8739" max="8739" width="10" style="208" customWidth="1"/>
    <col min="8740" max="8740" width="11.77734375" style="208" customWidth="1"/>
    <col min="8741" max="8933" width="9" style="208"/>
    <col min="8934" max="8934" width="4.109375" style="208" customWidth="1"/>
    <col min="8935" max="8935" width="46.21875" style="208" customWidth="1"/>
    <col min="8936" max="8936" width="19.33203125" style="208" customWidth="1"/>
    <col min="8937" max="8937" width="10.6640625" style="208" customWidth="1"/>
    <col min="8938" max="8957" width="9" style="208" hidden="1" customWidth="1"/>
    <col min="8958" max="8958" width="9.77734375" style="208" customWidth="1"/>
    <col min="8959" max="8959" width="9.6640625" style="208" customWidth="1"/>
    <col min="8960" max="8960" width="9.44140625" style="208" customWidth="1"/>
    <col min="8961" max="8961" width="10.33203125" style="208" customWidth="1"/>
    <col min="8962" max="8962" width="10.44140625" style="208" customWidth="1"/>
    <col min="8963" max="8963" width="9.77734375" style="208" customWidth="1"/>
    <col min="8964" max="8964" width="10.21875" style="208" customWidth="1"/>
    <col min="8965" max="8965" width="8.77734375" style="208" customWidth="1"/>
    <col min="8966" max="8966" width="9" style="208" hidden="1" customWidth="1"/>
    <col min="8967" max="8967" width="8.21875" style="208" customWidth="1"/>
    <col min="8968" max="8972" width="9" style="208" hidden="1" customWidth="1"/>
    <col min="8973" max="8973" width="0.109375" style="208" customWidth="1"/>
    <col min="8974" max="8990" width="9" style="208" hidden="1" customWidth="1"/>
    <col min="8991" max="8991" width="10.21875" style="208" customWidth="1"/>
    <col min="8992" max="8992" width="9.88671875" style="208" customWidth="1"/>
    <col min="8993" max="8993" width="10.77734375" style="208" customWidth="1"/>
    <col min="8994" max="8994" width="8.109375" style="208" customWidth="1"/>
    <col min="8995" max="8995" width="10" style="208" customWidth="1"/>
    <col min="8996" max="8996" width="11.77734375" style="208" customWidth="1"/>
    <col min="8997" max="9189" width="9" style="208"/>
    <col min="9190" max="9190" width="4.109375" style="208" customWidth="1"/>
    <col min="9191" max="9191" width="46.21875" style="208" customWidth="1"/>
    <col min="9192" max="9192" width="19.33203125" style="208" customWidth="1"/>
    <col min="9193" max="9193" width="10.6640625" style="208" customWidth="1"/>
    <col min="9194" max="9213" width="9" style="208" hidden="1" customWidth="1"/>
    <col min="9214" max="9214" width="9.77734375" style="208" customWidth="1"/>
    <col min="9215" max="9215" width="9.6640625" style="208" customWidth="1"/>
    <col min="9216" max="9216" width="9.44140625" style="208" customWidth="1"/>
    <col min="9217" max="9217" width="10.33203125" style="208" customWidth="1"/>
    <col min="9218" max="9218" width="10.44140625" style="208" customWidth="1"/>
    <col min="9219" max="9219" width="9.77734375" style="208" customWidth="1"/>
    <col min="9220" max="9220" width="10.21875" style="208" customWidth="1"/>
    <col min="9221" max="9221" width="8.77734375" style="208" customWidth="1"/>
    <col min="9222" max="9222" width="9" style="208" hidden="1" customWidth="1"/>
    <col min="9223" max="9223" width="8.21875" style="208" customWidth="1"/>
    <col min="9224" max="9228" width="9" style="208" hidden="1" customWidth="1"/>
    <col min="9229" max="9229" width="0.109375" style="208" customWidth="1"/>
    <col min="9230" max="9246" width="9" style="208" hidden="1" customWidth="1"/>
    <col min="9247" max="9247" width="10.21875" style="208" customWidth="1"/>
    <col min="9248" max="9248" width="9.88671875" style="208" customWidth="1"/>
    <col min="9249" max="9249" width="10.77734375" style="208" customWidth="1"/>
    <col min="9250" max="9250" width="8.109375" style="208" customWidth="1"/>
    <col min="9251" max="9251" width="10" style="208" customWidth="1"/>
    <col min="9252" max="9252" width="11.77734375" style="208" customWidth="1"/>
    <col min="9253" max="9445" width="9" style="208"/>
    <col min="9446" max="9446" width="4.109375" style="208" customWidth="1"/>
    <col min="9447" max="9447" width="46.21875" style="208" customWidth="1"/>
    <col min="9448" max="9448" width="19.33203125" style="208" customWidth="1"/>
    <col min="9449" max="9449" width="10.6640625" style="208" customWidth="1"/>
    <col min="9450" max="9469" width="9" style="208" hidden="1" customWidth="1"/>
    <col min="9470" max="9470" width="9.77734375" style="208" customWidth="1"/>
    <col min="9471" max="9471" width="9.6640625" style="208" customWidth="1"/>
    <col min="9472" max="9472" width="9.44140625" style="208" customWidth="1"/>
    <col min="9473" max="9473" width="10.33203125" style="208" customWidth="1"/>
    <col min="9474" max="9474" width="10.44140625" style="208" customWidth="1"/>
    <col min="9475" max="9475" width="9.77734375" style="208" customWidth="1"/>
    <col min="9476" max="9476" width="10.21875" style="208" customWidth="1"/>
    <col min="9477" max="9477" width="8.77734375" style="208" customWidth="1"/>
    <col min="9478" max="9478" width="9" style="208" hidden="1" customWidth="1"/>
    <col min="9479" max="9479" width="8.21875" style="208" customWidth="1"/>
    <col min="9480" max="9484" width="9" style="208" hidden="1" customWidth="1"/>
    <col min="9485" max="9485" width="0.109375" style="208" customWidth="1"/>
    <col min="9486" max="9502" width="9" style="208" hidden="1" customWidth="1"/>
    <col min="9503" max="9503" width="10.21875" style="208" customWidth="1"/>
    <col min="9504" max="9504" width="9.88671875" style="208" customWidth="1"/>
    <col min="9505" max="9505" width="10.77734375" style="208" customWidth="1"/>
    <col min="9506" max="9506" width="8.109375" style="208" customWidth="1"/>
    <col min="9507" max="9507" width="10" style="208" customWidth="1"/>
    <col min="9508" max="9508" width="11.77734375" style="208" customWidth="1"/>
    <col min="9509" max="9701" width="9" style="208"/>
    <col min="9702" max="9702" width="4.109375" style="208" customWidth="1"/>
    <col min="9703" max="9703" width="46.21875" style="208" customWidth="1"/>
    <col min="9704" max="9704" width="19.33203125" style="208" customWidth="1"/>
    <col min="9705" max="9705" width="10.6640625" style="208" customWidth="1"/>
    <col min="9706" max="9725" width="9" style="208" hidden="1" customWidth="1"/>
    <col min="9726" max="9726" width="9.77734375" style="208" customWidth="1"/>
    <col min="9727" max="9727" width="9.6640625" style="208" customWidth="1"/>
    <col min="9728" max="9728" width="9.44140625" style="208" customWidth="1"/>
    <col min="9729" max="9729" width="10.33203125" style="208" customWidth="1"/>
    <col min="9730" max="9730" width="10.44140625" style="208" customWidth="1"/>
    <col min="9731" max="9731" width="9.77734375" style="208" customWidth="1"/>
    <col min="9732" max="9732" width="10.21875" style="208" customWidth="1"/>
    <col min="9733" max="9733" width="8.77734375" style="208" customWidth="1"/>
    <col min="9734" max="9734" width="9" style="208" hidden="1" customWidth="1"/>
    <col min="9735" max="9735" width="8.21875" style="208" customWidth="1"/>
    <col min="9736" max="9740" width="9" style="208" hidden="1" customWidth="1"/>
    <col min="9741" max="9741" width="0.109375" style="208" customWidth="1"/>
    <col min="9742" max="9758" width="9" style="208" hidden="1" customWidth="1"/>
    <col min="9759" max="9759" width="10.21875" style="208" customWidth="1"/>
    <col min="9760" max="9760" width="9.88671875" style="208" customWidth="1"/>
    <col min="9761" max="9761" width="10.77734375" style="208" customWidth="1"/>
    <col min="9762" max="9762" width="8.109375" style="208" customWidth="1"/>
    <col min="9763" max="9763" width="10" style="208" customWidth="1"/>
    <col min="9764" max="9764" width="11.77734375" style="208" customWidth="1"/>
    <col min="9765" max="9957" width="9" style="208"/>
    <col min="9958" max="9958" width="4.109375" style="208" customWidth="1"/>
    <col min="9959" max="9959" width="46.21875" style="208" customWidth="1"/>
    <col min="9960" max="9960" width="19.33203125" style="208" customWidth="1"/>
    <col min="9961" max="9961" width="10.6640625" style="208" customWidth="1"/>
    <col min="9962" max="9981" width="9" style="208" hidden="1" customWidth="1"/>
    <col min="9982" max="9982" width="9.77734375" style="208" customWidth="1"/>
    <col min="9983" max="9983" width="9.6640625" style="208" customWidth="1"/>
    <col min="9984" max="9984" width="9.44140625" style="208" customWidth="1"/>
    <col min="9985" max="9985" width="10.33203125" style="208" customWidth="1"/>
    <col min="9986" max="9986" width="10.44140625" style="208" customWidth="1"/>
    <col min="9987" max="9987" width="9.77734375" style="208" customWidth="1"/>
    <col min="9988" max="9988" width="10.21875" style="208" customWidth="1"/>
    <col min="9989" max="9989" width="8.77734375" style="208" customWidth="1"/>
    <col min="9990" max="9990" width="9" style="208" hidden="1" customWidth="1"/>
    <col min="9991" max="9991" width="8.21875" style="208" customWidth="1"/>
    <col min="9992" max="9996" width="9" style="208" hidden="1" customWidth="1"/>
    <col min="9997" max="9997" width="0.109375" style="208" customWidth="1"/>
    <col min="9998" max="10014" width="9" style="208" hidden="1" customWidth="1"/>
    <col min="10015" max="10015" width="10.21875" style="208" customWidth="1"/>
    <col min="10016" max="10016" width="9.88671875" style="208" customWidth="1"/>
    <col min="10017" max="10017" width="10.77734375" style="208" customWidth="1"/>
    <col min="10018" max="10018" width="8.109375" style="208" customWidth="1"/>
    <col min="10019" max="10019" width="10" style="208" customWidth="1"/>
    <col min="10020" max="10020" width="11.77734375" style="208" customWidth="1"/>
    <col min="10021" max="10213" width="9" style="208"/>
    <col min="10214" max="10214" width="4.109375" style="208" customWidth="1"/>
    <col min="10215" max="10215" width="46.21875" style="208" customWidth="1"/>
    <col min="10216" max="10216" width="19.33203125" style="208" customWidth="1"/>
    <col min="10217" max="10217" width="10.6640625" style="208" customWidth="1"/>
    <col min="10218" max="10237" width="9" style="208" hidden="1" customWidth="1"/>
    <col min="10238" max="10238" width="9.77734375" style="208" customWidth="1"/>
    <col min="10239" max="10239" width="9.6640625" style="208" customWidth="1"/>
    <col min="10240" max="10240" width="9.44140625" style="208" customWidth="1"/>
    <col min="10241" max="10241" width="10.33203125" style="208" customWidth="1"/>
    <col min="10242" max="10242" width="10.44140625" style="208" customWidth="1"/>
    <col min="10243" max="10243" width="9.77734375" style="208" customWidth="1"/>
    <col min="10244" max="10244" width="10.21875" style="208" customWidth="1"/>
    <col min="10245" max="10245" width="8.77734375" style="208" customWidth="1"/>
    <col min="10246" max="10246" width="9" style="208" hidden="1" customWidth="1"/>
    <col min="10247" max="10247" width="8.21875" style="208" customWidth="1"/>
    <col min="10248" max="10252" width="9" style="208" hidden="1" customWidth="1"/>
    <col min="10253" max="10253" width="0.109375" style="208" customWidth="1"/>
    <col min="10254" max="10270" width="9" style="208" hidden="1" customWidth="1"/>
    <col min="10271" max="10271" width="10.21875" style="208" customWidth="1"/>
    <col min="10272" max="10272" width="9.88671875" style="208" customWidth="1"/>
    <col min="10273" max="10273" width="10.77734375" style="208" customWidth="1"/>
    <col min="10274" max="10274" width="8.109375" style="208" customWidth="1"/>
    <col min="10275" max="10275" width="10" style="208" customWidth="1"/>
    <col min="10276" max="10276" width="11.77734375" style="208" customWidth="1"/>
    <col min="10277" max="10469" width="9" style="208"/>
    <col min="10470" max="10470" width="4.109375" style="208" customWidth="1"/>
    <col min="10471" max="10471" width="46.21875" style="208" customWidth="1"/>
    <col min="10472" max="10472" width="19.33203125" style="208" customWidth="1"/>
    <col min="10473" max="10473" width="10.6640625" style="208" customWidth="1"/>
    <col min="10474" max="10493" width="9" style="208" hidden="1" customWidth="1"/>
    <col min="10494" max="10494" width="9.77734375" style="208" customWidth="1"/>
    <col min="10495" max="10495" width="9.6640625" style="208" customWidth="1"/>
    <col min="10496" max="10496" width="9.44140625" style="208" customWidth="1"/>
    <col min="10497" max="10497" width="10.33203125" style="208" customWidth="1"/>
    <col min="10498" max="10498" width="10.44140625" style="208" customWidth="1"/>
    <col min="10499" max="10499" width="9.77734375" style="208" customWidth="1"/>
    <col min="10500" max="10500" width="10.21875" style="208" customWidth="1"/>
    <col min="10501" max="10501" width="8.77734375" style="208" customWidth="1"/>
    <col min="10502" max="10502" width="9" style="208" hidden="1" customWidth="1"/>
    <col min="10503" max="10503" width="8.21875" style="208" customWidth="1"/>
    <col min="10504" max="10508" width="9" style="208" hidden="1" customWidth="1"/>
    <col min="10509" max="10509" width="0.109375" style="208" customWidth="1"/>
    <col min="10510" max="10526" width="9" style="208" hidden="1" customWidth="1"/>
    <col min="10527" max="10527" width="10.21875" style="208" customWidth="1"/>
    <col min="10528" max="10528" width="9.88671875" style="208" customWidth="1"/>
    <col min="10529" max="10529" width="10.77734375" style="208" customWidth="1"/>
    <col min="10530" max="10530" width="8.109375" style="208" customWidth="1"/>
    <col min="10531" max="10531" width="10" style="208" customWidth="1"/>
    <col min="10532" max="10532" width="11.77734375" style="208" customWidth="1"/>
    <col min="10533" max="10725" width="9" style="208"/>
    <col min="10726" max="10726" width="4.109375" style="208" customWidth="1"/>
    <col min="10727" max="10727" width="46.21875" style="208" customWidth="1"/>
    <col min="10728" max="10728" width="19.33203125" style="208" customWidth="1"/>
    <col min="10729" max="10729" width="10.6640625" style="208" customWidth="1"/>
    <col min="10730" max="10749" width="9" style="208" hidden="1" customWidth="1"/>
    <col min="10750" max="10750" width="9.77734375" style="208" customWidth="1"/>
    <col min="10751" max="10751" width="9.6640625" style="208" customWidth="1"/>
    <col min="10752" max="10752" width="9.44140625" style="208" customWidth="1"/>
    <col min="10753" max="10753" width="10.33203125" style="208" customWidth="1"/>
    <col min="10754" max="10754" width="10.44140625" style="208" customWidth="1"/>
    <col min="10755" max="10755" width="9.77734375" style="208" customWidth="1"/>
    <col min="10756" max="10756" width="10.21875" style="208" customWidth="1"/>
    <col min="10757" max="10757" width="8.77734375" style="208" customWidth="1"/>
    <col min="10758" max="10758" width="9" style="208" hidden="1" customWidth="1"/>
    <col min="10759" max="10759" width="8.21875" style="208" customWidth="1"/>
    <col min="10760" max="10764" width="9" style="208" hidden="1" customWidth="1"/>
    <col min="10765" max="10765" width="0.109375" style="208" customWidth="1"/>
    <col min="10766" max="10782" width="9" style="208" hidden="1" customWidth="1"/>
    <col min="10783" max="10783" width="10.21875" style="208" customWidth="1"/>
    <col min="10784" max="10784" width="9.88671875" style="208" customWidth="1"/>
    <col min="10785" max="10785" width="10.77734375" style="208" customWidth="1"/>
    <col min="10786" max="10786" width="8.109375" style="208" customWidth="1"/>
    <col min="10787" max="10787" width="10" style="208" customWidth="1"/>
    <col min="10788" max="10788" width="11.77734375" style="208" customWidth="1"/>
    <col min="10789" max="10981" width="9" style="208"/>
    <col min="10982" max="10982" width="4.109375" style="208" customWidth="1"/>
    <col min="10983" max="10983" width="46.21875" style="208" customWidth="1"/>
    <col min="10984" max="10984" width="19.33203125" style="208" customWidth="1"/>
    <col min="10985" max="10985" width="10.6640625" style="208" customWidth="1"/>
    <col min="10986" max="11005" width="9" style="208" hidden="1" customWidth="1"/>
    <col min="11006" max="11006" width="9.77734375" style="208" customWidth="1"/>
    <col min="11007" max="11007" width="9.6640625" style="208" customWidth="1"/>
    <col min="11008" max="11008" width="9.44140625" style="208" customWidth="1"/>
    <col min="11009" max="11009" width="10.33203125" style="208" customWidth="1"/>
    <col min="11010" max="11010" width="10.44140625" style="208" customWidth="1"/>
    <col min="11011" max="11011" width="9.77734375" style="208" customWidth="1"/>
    <col min="11012" max="11012" width="10.21875" style="208" customWidth="1"/>
    <col min="11013" max="11013" width="8.77734375" style="208" customWidth="1"/>
    <col min="11014" max="11014" width="9" style="208" hidden="1" customWidth="1"/>
    <col min="11015" max="11015" width="8.21875" style="208" customWidth="1"/>
    <col min="11016" max="11020" width="9" style="208" hidden="1" customWidth="1"/>
    <col min="11021" max="11021" width="0.109375" style="208" customWidth="1"/>
    <col min="11022" max="11038" width="9" style="208" hidden="1" customWidth="1"/>
    <col min="11039" max="11039" width="10.21875" style="208" customWidth="1"/>
    <col min="11040" max="11040" width="9.88671875" style="208" customWidth="1"/>
    <col min="11041" max="11041" width="10.77734375" style="208" customWidth="1"/>
    <col min="11042" max="11042" width="8.109375" style="208" customWidth="1"/>
    <col min="11043" max="11043" width="10" style="208" customWidth="1"/>
    <col min="11044" max="11044" width="11.77734375" style="208" customWidth="1"/>
    <col min="11045" max="11237" width="9" style="208"/>
    <col min="11238" max="11238" width="4.109375" style="208" customWidth="1"/>
    <col min="11239" max="11239" width="46.21875" style="208" customWidth="1"/>
    <col min="11240" max="11240" width="19.33203125" style="208" customWidth="1"/>
    <col min="11241" max="11241" width="10.6640625" style="208" customWidth="1"/>
    <col min="11242" max="11261" width="9" style="208" hidden="1" customWidth="1"/>
    <col min="11262" max="11262" width="9.77734375" style="208" customWidth="1"/>
    <col min="11263" max="11263" width="9.6640625" style="208" customWidth="1"/>
    <col min="11264" max="11264" width="9.44140625" style="208" customWidth="1"/>
    <col min="11265" max="11265" width="10.33203125" style="208" customWidth="1"/>
    <col min="11266" max="11266" width="10.44140625" style="208" customWidth="1"/>
    <col min="11267" max="11267" width="9.77734375" style="208" customWidth="1"/>
    <col min="11268" max="11268" width="10.21875" style="208" customWidth="1"/>
    <col min="11269" max="11269" width="8.77734375" style="208" customWidth="1"/>
    <col min="11270" max="11270" width="9" style="208" hidden="1" customWidth="1"/>
    <col min="11271" max="11271" width="8.21875" style="208" customWidth="1"/>
    <col min="11272" max="11276" width="9" style="208" hidden="1" customWidth="1"/>
    <col min="11277" max="11277" width="0.109375" style="208" customWidth="1"/>
    <col min="11278" max="11294" width="9" style="208" hidden="1" customWidth="1"/>
    <col min="11295" max="11295" width="10.21875" style="208" customWidth="1"/>
    <col min="11296" max="11296" width="9.88671875" style="208" customWidth="1"/>
    <col min="11297" max="11297" width="10.77734375" style="208" customWidth="1"/>
    <col min="11298" max="11298" width="8.109375" style="208" customWidth="1"/>
    <col min="11299" max="11299" width="10" style="208" customWidth="1"/>
    <col min="11300" max="11300" width="11.77734375" style="208" customWidth="1"/>
    <col min="11301" max="11493" width="9" style="208"/>
    <col min="11494" max="11494" width="4.109375" style="208" customWidth="1"/>
    <col min="11495" max="11495" width="46.21875" style="208" customWidth="1"/>
    <col min="11496" max="11496" width="19.33203125" style="208" customWidth="1"/>
    <col min="11497" max="11497" width="10.6640625" style="208" customWidth="1"/>
    <col min="11498" max="11517" width="9" style="208" hidden="1" customWidth="1"/>
    <col min="11518" max="11518" width="9.77734375" style="208" customWidth="1"/>
    <col min="11519" max="11519" width="9.6640625" style="208" customWidth="1"/>
    <col min="11520" max="11520" width="9.44140625" style="208" customWidth="1"/>
    <col min="11521" max="11521" width="10.33203125" style="208" customWidth="1"/>
    <col min="11522" max="11522" width="10.44140625" style="208" customWidth="1"/>
    <col min="11523" max="11523" width="9.77734375" style="208" customWidth="1"/>
    <col min="11524" max="11524" width="10.21875" style="208" customWidth="1"/>
    <col min="11525" max="11525" width="8.77734375" style="208" customWidth="1"/>
    <col min="11526" max="11526" width="9" style="208" hidden="1" customWidth="1"/>
    <col min="11527" max="11527" width="8.21875" style="208" customWidth="1"/>
    <col min="11528" max="11532" width="9" style="208" hidden="1" customWidth="1"/>
    <col min="11533" max="11533" width="0.109375" style="208" customWidth="1"/>
    <col min="11534" max="11550" width="9" style="208" hidden="1" customWidth="1"/>
    <col min="11551" max="11551" width="10.21875" style="208" customWidth="1"/>
    <col min="11552" max="11552" width="9.88671875" style="208" customWidth="1"/>
    <col min="11553" max="11553" width="10.77734375" style="208" customWidth="1"/>
    <col min="11554" max="11554" width="8.109375" style="208" customWidth="1"/>
    <col min="11555" max="11555" width="10" style="208" customWidth="1"/>
    <col min="11556" max="11556" width="11.77734375" style="208" customWidth="1"/>
    <col min="11557" max="11749" width="9" style="208"/>
    <col min="11750" max="11750" width="4.109375" style="208" customWidth="1"/>
    <col min="11751" max="11751" width="46.21875" style="208" customWidth="1"/>
    <col min="11752" max="11752" width="19.33203125" style="208" customWidth="1"/>
    <col min="11753" max="11753" width="10.6640625" style="208" customWidth="1"/>
    <col min="11754" max="11773" width="9" style="208" hidden="1" customWidth="1"/>
    <col min="11774" max="11774" width="9.77734375" style="208" customWidth="1"/>
    <col min="11775" max="11775" width="9.6640625" style="208" customWidth="1"/>
    <col min="11776" max="11776" width="9.44140625" style="208" customWidth="1"/>
    <col min="11777" max="11777" width="10.33203125" style="208" customWidth="1"/>
    <col min="11778" max="11778" width="10.44140625" style="208" customWidth="1"/>
    <col min="11779" max="11779" width="9.77734375" style="208" customWidth="1"/>
    <col min="11780" max="11780" width="10.21875" style="208" customWidth="1"/>
    <col min="11781" max="11781" width="8.77734375" style="208" customWidth="1"/>
    <col min="11782" max="11782" width="9" style="208" hidden="1" customWidth="1"/>
    <col min="11783" max="11783" width="8.21875" style="208" customWidth="1"/>
    <col min="11784" max="11788" width="9" style="208" hidden="1" customWidth="1"/>
    <col min="11789" max="11789" width="0.109375" style="208" customWidth="1"/>
    <col min="11790" max="11806" width="9" style="208" hidden="1" customWidth="1"/>
    <col min="11807" max="11807" width="10.21875" style="208" customWidth="1"/>
    <col min="11808" max="11808" width="9.88671875" style="208" customWidth="1"/>
    <col min="11809" max="11809" width="10.77734375" style="208" customWidth="1"/>
    <col min="11810" max="11810" width="8.109375" style="208" customWidth="1"/>
    <col min="11811" max="11811" width="10" style="208" customWidth="1"/>
    <col min="11812" max="11812" width="11.77734375" style="208" customWidth="1"/>
    <col min="11813" max="12005" width="9" style="208"/>
    <col min="12006" max="12006" width="4.109375" style="208" customWidth="1"/>
    <col min="12007" max="12007" width="46.21875" style="208" customWidth="1"/>
    <col min="12008" max="12008" width="19.33203125" style="208" customWidth="1"/>
    <col min="12009" max="12009" width="10.6640625" style="208" customWidth="1"/>
    <col min="12010" max="12029" width="9" style="208" hidden="1" customWidth="1"/>
    <col min="12030" max="12030" width="9.77734375" style="208" customWidth="1"/>
    <col min="12031" max="12031" width="9.6640625" style="208" customWidth="1"/>
    <col min="12032" max="12032" width="9.44140625" style="208" customWidth="1"/>
    <col min="12033" max="12033" width="10.33203125" style="208" customWidth="1"/>
    <col min="12034" max="12034" width="10.44140625" style="208" customWidth="1"/>
    <col min="12035" max="12035" width="9.77734375" style="208" customWidth="1"/>
    <col min="12036" max="12036" width="10.21875" style="208" customWidth="1"/>
    <col min="12037" max="12037" width="8.77734375" style="208" customWidth="1"/>
    <col min="12038" max="12038" width="9" style="208" hidden="1" customWidth="1"/>
    <col min="12039" max="12039" width="8.21875" style="208" customWidth="1"/>
    <col min="12040" max="12044" width="9" style="208" hidden="1" customWidth="1"/>
    <col min="12045" max="12045" width="0.109375" style="208" customWidth="1"/>
    <col min="12046" max="12062" width="9" style="208" hidden="1" customWidth="1"/>
    <col min="12063" max="12063" width="10.21875" style="208" customWidth="1"/>
    <col min="12064" max="12064" width="9.88671875" style="208" customWidth="1"/>
    <col min="12065" max="12065" width="10.77734375" style="208" customWidth="1"/>
    <col min="12066" max="12066" width="8.109375" style="208" customWidth="1"/>
    <col min="12067" max="12067" width="10" style="208" customWidth="1"/>
    <col min="12068" max="12068" width="11.77734375" style="208" customWidth="1"/>
    <col min="12069" max="12261" width="9" style="208"/>
    <col min="12262" max="12262" width="4.109375" style="208" customWidth="1"/>
    <col min="12263" max="12263" width="46.21875" style="208" customWidth="1"/>
    <col min="12264" max="12264" width="19.33203125" style="208" customWidth="1"/>
    <col min="12265" max="12265" width="10.6640625" style="208" customWidth="1"/>
    <col min="12266" max="12285" width="9" style="208" hidden="1" customWidth="1"/>
    <col min="12286" max="12286" width="9.77734375" style="208" customWidth="1"/>
    <col min="12287" max="12287" width="9.6640625" style="208" customWidth="1"/>
    <col min="12288" max="12288" width="9.44140625" style="208" customWidth="1"/>
    <col min="12289" max="12289" width="10.33203125" style="208" customWidth="1"/>
    <col min="12290" max="12290" width="10.44140625" style="208" customWidth="1"/>
    <col min="12291" max="12291" width="9.77734375" style="208" customWidth="1"/>
    <col min="12292" max="12292" width="10.21875" style="208" customWidth="1"/>
    <col min="12293" max="12293" width="8.77734375" style="208" customWidth="1"/>
    <col min="12294" max="12294" width="9" style="208" hidden="1" customWidth="1"/>
    <col min="12295" max="12295" width="8.21875" style="208" customWidth="1"/>
    <col min="12296" max="12300" width="9" style="208" hidden="1" customWidth="1"/>
    <col min="12301" max="12301" width="0.109375" style="208" customWidth="1"/>
    <col min="12302" max="12318" width="9" style="208" hidden="1" customWidth="1"/>
    <col min="12319" max="12319" width="10.21875" style="208" customWidth="1"/>
    <col min="12320" max="12320" width="9.88671875" style="208" customWidth="1"/>
    <col min="12321" max="12321" width="10.77734375" style="208" customWidth="1"/>
    <col min="12322" max="12322" width="8.109375" style="208" customWidth="1"/>
    <col min="12323" max="12323" width="10" style="208" customWidth="1"/>
    <col min="12324" max="12324" width="11.77734375" style="208" customWidth="1"/>
    <col min="12325" max="12517" width="9" style="208"/>
    <col min="12518" max="12518" width="4.109375" style="208" customWidth="1"/>
    <col min="12519" max="12519" width="46.21875" style="208" customWidth="1"/>
    <col min="12520" max="12520" width="19.33203125" style="208" customWidth="1"/>
    <col min="12521" max="12521" width="10.6640625" style="208" customWidth="1"/>
    <col min="12522" max="12541" width="9" style="208" hidden="1" customWidth="1"/>
    <col min="12542" max="12542" width="9.77734375" style="208" customWidth="1"/>
    <col min="12543" max="12543" width="9.6640625" style="208" customWidth="1"/>
    <col min="12544" max="12544" width="9.44140625" style="208" customWidth="1"/>
    <col min="12545" max="12545" width="10.33203125" style="208" customWidth="1"/>
    <col min="12546" max="12546" width="10.44140625" style="208" customWidth="1"/>
    <col min="12547" max="12547" width="9.77734375" style="208" customWidth="1"/>
    <col min="12548" max="12548" width="10.21875" style="208" customWidth="1"/>
    <col min="12549" max="12549" width="8.77734375" style="208" customWidth="1"/>
    <col min="12550" max="12550" width="9" style="208" hidden="1" customWidth="1"/>
    <col min="12551" max="12551" width="8.21875" style="208" customWidth="1"/>
    <col min="12552" max="12556" width="9" style="208" hidden="1" customWidth="1"/>
    <col min="12557" max="12557" width="0.109375" style="208" customWidth="1"/>
    <col min="12558" max="12574" width="9" style="208" hidden="1" customWidth="1"/>
    <col min="12575" max="12575" width="10.21875" style="208" customWidth="1"/>
    <col min="12576" max="12576" width="9.88671875" style="208" customWidth="1"/>
    <col min="12577" max="12577" width="10.77734375" style="208" customWidth="1"/>
    <col min="12578" max="12578" width="8.109375" style="208" customWidth="1"/>
    <col min="12579" max="12579" width="10" style="208" customWidth="1"/>
    <col min="12580" max="12580" width="11.77734375" style="208" customWidth="1"/>
    <col min="12581" max="12773" width="9" style="208"/>
    <col min="12774" max="12774" width="4.109375" style="208" customWidth="1"/>
    <col min="12775" max="12775" width="46.21875" style="208" customWidth="1"/>
    <col min="12776" max="12776" width="19.33203125" style="208" customWidth="1"/>
    <col min="12777" max="12777" width="10.6640625" style="208" customWidth="1"/>
    <col min="12778" max="12797" width="9" style="208" hidden="1" customWidth="1"/>
    <col min="12798" max="12798" width="9.77734375" style="208" customWidth="1"/>
    <col min="12799" max="12799" width="9.6640625" style="208" customWidth="1"/>
    <col min="12800" max="12800" width="9.44140625" style="208" customWidth="1"/>
    <col min="12801" max="12801" width="10.33203125" style="208" customWidth="1"/>
    <col min="12802" max="12802" width="10.44140625" style="208" customWidth="1"/>
    <col min="12803" max="12803" width="9.77734375" style="208" customWidth="1"/>
    <col min="12804" max="12804" width="10.21875" style="208" customWidth="1"/>
    <col min="12805" max="12805" width="8.77734375" style="208" customWidth="1"/>
    <col min="12806" max="12806" width="9" style="208" hidden="1" customWidth="1"/>
    <col min="12807" max="12807" width="8.21875" style="208" customWidth="1"/>
    <col min="12808" max="12812" width="9" style="208" hidden="1" customWidth="1"/>
    <col min="12813" max="12813" width="0.109375" style="208" customWidth="1"/>
    <col min="12814" max="12830" width="9" style="208" hidden="1" customWidth="1"/>
    <col min="12831" max="12831" width="10.21875" style="208" customWidth="1"/>
    <col min="12832" max="12832" width="9.88671875" style="208" customWidth="1"/>
    <col min="12833" max="12833" width="10.77734375" style="208" customWidth="1"/>
    <col min="12834" max="12834" width="8.109375" style="208" customWidth="1"/>
    <col min="12835" max="12835" width="10" style="208" customWidth="1"/>
    <col min="12836" max="12836" width="11.77734375" style="208" customWidth="1"/>
    <col min="12837" max="13029" width="9" style="208"/>
    <col min="13030" max="13030" width="4.109375" style="208" customWidth="1"/>
    <col min="13031" max="13031" width="46.21875" style="208" customWidth="1"/>
    <col min="13032" max="13032" width="19.33203125" style="208" customWidth="1"/>
    <col min="13033" max="13033" width="10.6640625" style="208" customWidth="1"/>
    <col min="13034" max="13053" width="9" style="208" hidden="1" customWidth="1"/>
    <col min="13054" max="13054" width="9.77734375" style="208" customWidth="1"/>
    <col min="13055" max="13055" width="9.6640625" style="208" customWidth="1"/>
    <col min="13056" max="13056" width="9.44140625" style="208" customWidth="1"/>
    <col min="13057" max="13057" width="10.33203125" style="208" customWidth="1"/>
    <col min="13058" max="13058" width="10.44140625" style="208" customWidth="1"/>
    <col min="13059" max="13059" width="9.77734375" style="208" customWidth="1"/>
    <col min="13060" max="13060" width="10.21875" style="208" customWidth="1"/>
    <col min="13061" max="13061" width="8.77734375" style="208" customWidth="1"/>
    <col min="13062" max="13062" width="9" style="208" hidden="1" customWidth="1"/>
    <col min="13063" max="13063" width="8.21875" style="208" customWidth="1"/>
    <col min="13064" max="13068" width="9" style="208" hidden="1" customWidth="1"/>
    <col min="13069" max="13069" width="0.109375" style="208" customWidth="1"/>
    <col min="13070" max="13086" width="9" style="208" hidden="1" customWidth="1"/>
    <col min="13087" max="13087" width="10.21875" style="208" customWidth="1"/>
    <col min="13088" max="13088" width="9.88671875" style="208" customWidth="1"/>
    <col min="13089" max="13089" width="10.77734375" style="208" customWidth="1"/>
    <col min="13090" max="13090" width="8.109375" style="208" customWidth="1"/>
    <col min="13091" max="13091" width="10" style="208" customWidth="1"/>
    <col min="13092" max="13092" width="11.77734375" style="208" customWidth="1"/>
    <col min="13093" max="13285" width="9" style="208"/>
    <col min="13286" max="13286" width="4.109375" style="208" customWidth="1"/>
    <col min="13287" max="13287" width="46.21875" style="208" customWidth="1"/>
    <col min="13288" max="13288" width="19.33203125" style="208" customWidth="1"/>
    <col min="13289" max="13289" width="10.6640625" style="208" customWidth="1"/>
    <col min="13290" max="13309" width="9" style="208" hidden="1" customWidth="1"/>
    <col min="13310" max="13310" width="9.77734375" style="208" customWidth="1"/>
    <col min="13311" max="13311" width="9.6640625" style="208" customWidth="1"/>
    <col min="13312" max="13312" width="9.44140625" style="208" customWidth="1"/>
    <col min="13313" max="13313" width="10.33203125" style="208" customWidth="1"/>
    <col min="13314" max="13314" width="10.44140625" style="208" customWidth="1"/>
    <col min="13315" max="13315" width="9.77734375" style="208" customWidth="1"/>
    <col min="13316" max="13316" width="10.21875" style="208" customWidth="1"/>
    <col min="13317" max="13317" width="8.77734375" style="208" customWidth="1"/>
    <col min="13318" max="13318" width="9" style="208" hidden="1" customWidth="1"/>
    <col min="13319" max="13319" width="8.21875" style="208" customWidth="1"/>
    <col min="13320" max="13324" width="9" style="208" hidden="1" customWidth="1"/>
    <col min="13325" max="13325" width="0.109375" style="208" customWidth="1"/>
    <col min="13326" max="13342" width="9" style="208" hidden="1" customWidth="1"/>
    <col min="13343" max="13343" width="10.21875" style="208" customWidth="1"/>
    <col min="13344" max="13344" width="9.88671875" style="208" customWidth="1"/>
    <col min="13345" max="13345" width="10.77734375" style="208" customWidth="1"/>
    <col min="13346" max="13346" width="8.109375" style="208" customWidth="1"/>
    <col min="13347" max="13347" width="10" style="208" customWidth="1"/>
    <col min="13348" max="13348" width="11.77734375" style="208" customWidth="1"/>
    <col min="13349" max="13541" width="9" style="208"/>
    <col min="13542" max="13542" width="4.109375" style="208" customWidth="1"/>
    <col min="13543" max="13543" width="46.21875" style="208" customWidth="1"/>
    <col min="13544" max="13544" width="19.33203125" style="208" customWidth="1"/>
    <col min="13545" max="13545" width="10.6640625" style="208" customWidth="1"/>
    <col min="13546" max="13565" width="9" style="208" hidden="1" customWidth="1"/>
    <col min="13566" max="13566" width="9.77734375" style="208" customWidth="1"/>
    <col min="13567" max="13567" width="9.6640625" style="208" customWidth="1"/>
    <col min="13568" max="13568" width="9.44140625" style="208" customWidth="1"/>
    <col min="13569" max="13569" width="10.33203125" style="208" customWidth="1"/>
    <col min="13570" max="13570" width="10.44140625" style="208" customWidth="1"/>
    <col min="13571" max="13571" width="9.77734375" style="208" customWidth="1"/>
    <col min="13572" max="13572" width="10.21875" style="208" customWidth="1"/>
    <col min="13573" max="13573" width="8.77734375" style="208" customWidth="1"/>
    <col min="13574" max="13574" width="9" style="208" hidden="1" customWidth="1"/>
    <col min="13575" max="13575" width="8.21875" style="208" customWidth="1"/>
    <col min="13576" max="13580" width="9" style="208" hidden="1" customWidth="1"/>
    <col min="13581" max="13581" width="0.109375" style="208" customWidth="1"/>
    <col min="13582" max="13598" width="9" style="208" hidden="1" customWidth="1"/>
    <col min="13599" max="13599" width="10.21875" style="208" customWidth="1"/>
    <col min="13600" max="13600" width="9.88671875" style="208" customWidth="1"/>
    <col min="13601" max="13601" width="10.77734375" style="208" customWidth="1"/>
    <col min="13602" max="13602" width="8.109375" style="208" customWidth="1"/>
    <col min="13603" max="13603" width="10" style="208" customWidth="1"/>
    <col min="13604" max="13604" width="11.77734375" style="208" customWidth="1"/>
    <col min="13605" max="13797" width="9" style="208"/>
    <col min="13798" max="13798" width="4.109375" style="208" customWidth="1"/>
    <col min="13799" max="13799" width="46.21875" style="208" customWidth="1"/>
    <col min="13800" max="13800" width="19.33203125" style="208" customWidth="1"/>
    <col min="13801" max="13801" width="10.6640625" style="208" customWidth="1"/>
    <col min="13802" max="13821" width="9" style="208" hidden="1" customWidth="1"/>
    <col min="13822" max="13822" width="9.77734375" style="208" customWidth="1"/>
    <col min="13823" max="13823" width="9.6640625" style="208" customWidth="1"/>
    <col min="13824" max="13824" width="9.44140625" style="208" customWidth="1"/>
    <col min="13825" max="13825" width="10.33203125" style="208" customWidth="1"/>
    <col min="13826" max="13826" width="10.44140625" style="208" customWidth="1"/>
    <col min="13827" max="13827" width="9.77734375" style="208" customWidth="1"/>
    <col min="13828" max="13828" width="10.21875" style="208" customWidth="1"/>
    <col min="13829" max="13829" width="8.77734375" style="208" customWidth="1"/>
    <col min="13830" max="13830" width="9" style="208" hidden="1" customWidth="1"/>
    <col min="13831" max="13831" width="8.21875" style="208" customWidth="1"/>
    <col min="13832" max="13836" width="9" style="208" hidden="1" customWidth="1"/>
    <col min="13837" max="13837" width="0.109375" style="208" customWidth="1"/>
    <col min="13838" max="13854" width="9" style="208" hidden="1" customWidth="1"/>
    <col min="13855" max="13855" width="10.21875" style="208" customWidth="1"/>
    <col min="13856" max="13856" width="9.88671875" style="208" customWidth="1"/>
    <col min="13857" max="13857" width="10.77734375" style="208" customWidth="1"/>
    <col min="13858" max="13858" width="8.109375" style="208" customWidth="1"/>
    <col min="13859" max="13859" width="10" style="208" customWidth="1"/>
    <col min="13860" max="13860" width="11.77734375" style="208" customWidth="1"/>
    <col min="13861" max="14053" width="9" style="208"/>
    <col min="14054" max="14054" width="4.109375" style="208" customWidth="1"/>
    <col min="14055" max="14055" width="46.21875" style="208" customWidth="1"/>
    <col min="14056" max="14056" width="19.33203125" style="208" customWidth="1"/>
    <col min="14057" max="14057" width="10.6640625" style="208" customWidth="1"/>
    <col min="14058" max="14077" width="9" style="208" hidden="1" customWidth="1"/>
    <col min="14078" max="14078" width="9.77734375" style="208" customWidth="1"/>
    <col min="14079" max="14079" width="9.6640625" style="208" customWidth="1"/>
    <col min="14080" max="14080" width="9.44140625" style="208" customWidth="1"/>
    <col min="14081" max="14081" width="10.33203125" style="208" customWidth="1"/>
    <col min="14082" max="14082" width="10.44140625" style="208" customWidth="1"/>
    <col min="14083" max="14083" width="9.77734375" style="208" customWidth="1"/>
    <col min="14084" max="14084" width="10.21875" style="208" customWidth="1"/>
    <col min="14085" max="14085" width="8.77734375" style="208" customWidth="1"/>
    <col min="14086" max="14086" width="9" style="208" hidden="1" customWidth="1"/>
    <col min="14087" max="14087" width="8.21875" style="208" customWidth="1"/>
    <col min="14088" max="14092" width="9" style="208" hidden="1" customWidth="1"/>
    <col min="14093" max="14093" width="0.109375" style="208" customWidth="1"/>
    <col min="14094" max="14110" width="9" style="208" hidden="1" customWidth="1"/>
    <col min="14111" max="14111" width="10.21875" style="208" customWidth="1"/>
    <col min="14112" max="14112" width="9.88671875" style="208" customWidth="1"/>
    <col min="14113" max="14113" width="10.77734375" style="208" customWidth="1"/>
    <col min="14114" max="14114" width="8.109375" style="208" customWidth="1"/>
    <col min="14115" max="14115" width="10" style="208" customWidth="1"/>
    <col min="14116" max="14116" width="11.77734375" style="208" customWidth="1"/>
    <col min="14117" max="14309" width="9" style="208"/>
    <col min="14310" max="14310" width="4.109375" style="208" customWidth="1"/>
    <col min="14311" max="14311" width="46.21875" style="208" customWidth="1"/>
    <col min="14312" max="14312" width="19.33203125" style="208" customWidth="1"/>
    <col min="14313" max="14313" width="10.6640625" style="208" customWidth="1"/>
    <col min="14314" max="14333" width="9" style="208" hidden="1" customWidth="1"/>
    <col min="14334" max="14334" width="9.77734375" style="208" customWidth="1"/>
    <col min="14335" max="14335" width="9.6640625" style="208" customWidth="1"/>
    <col min="14336" max="14336" width="9.44140625" style="208" customWidth="1"/>
    <col min="14337" max="14337" width="10.33203125" style="208" customWidth="1"/>
    <col min="14338" max="14338" width="10.44140625" style="208" customWidth="1"/>
    <col min="14339" max="14339" width="9.77734375" style="208" customWidth="1"/>
    <col min="14340" max="14340" width="10.21875" style="208" customWidth="1"/>
    <col min="14341" max="14341" width="8.77734375" style="208" customWidth="1"/>
    <col min="14342" max="14342" width="9" style="208" hidden="1" customWidth="1"/>
    <col min="14343" max="14343" width="8.21875" style="208" customWidth="1"/>
    <col min="14344" max="14348" width="9" style="208" hidden="1" customWidth="1"/>
    <col min="14349" max="14349" width="0.109375" style="208" customWidth="1"/>
    <col min="14350" max="14366" width="9" style="208" hidden="1" customWidth="1"/>
    <col min="14367" max="14367" width="10.21875" style="208" customWidth="1"/>
    <col min="14368" max="14368" width="9.88671875" style="208" customWidth="1"/>
    <col min="14369" max="14369" width="10.77734375" style="208" customWidth="1"/>
    <col min="14370" max="14370" width="8.109375" style="208" customWidth="1"/>
    <col min="14371" max="14371" width="10" style="208" customWidth="1"/>
    <col min="14372" max="14372" width="11.77734375" style="208" customWidth="1"/>
    <col min="14373" max="14565" width="9" style="208"/>
    <col min="14566" max="14566" width="4.109375" style="208" customWidth="1"/>
    <col min="14567" max="14567" width="46.21875" style="208" customWidth="1"/>
    <col min="14568" max="14568" width="19.33203125" style="208" customWidth="1"/>
    <col min="14569" max="14569" width="10.6640625" style="208" customWidth="1"/>
    <col min="14570" max="14589" width="9" style="208" hidden="1" customWidth="1"/>
    <col min="14590" max="14590" width="9.77734375" style="208" customWidth="1"/>
    <col min="14591" max="14591" width="9.6640625" style="208" customWidth="1"/>
    <col min="14592" max="14592" width="9.44140625" style="208" customWidth="1"/>
    <col min="14593" max="14593" width="10.33203125" style="208" customWidth="1"/>
    <col min="14594" max="14594" width="10.44140625" style="208" customWidth="1"/>
    <col min="14595" max="14595" width="9.77734375" style="208" customWidth="1"/>
    <col min="14596" max="14596" width="10.21875" style="208" customWidth="1"/>
    <col min="14597" max="14597" width="8.77734375" style="208" customWidth="1"/>
    <col min="14598" max="14598" width="9" style="208" hidden="1" customWidth="1"/>
    <col min="14599" max="14599" width="8.21875" style="208" customWidth="1"/>
    <col min="14600" max="14604" width="9" style="208" hidden="1" customWidth="1"/>
    <col min="14605" max="14605" width="0.109375" style="208" customWidth="1"/>
    <col min="14606" max="14622" width="9" style="208" hidden="1" customWidth="1"/>
    <col min="14623" max="14623" width="10.21875" style="208" customWidth="1"/>
    <col min="14624" max="14624" width="9.88671875" style="208" customWidth="1"/>
    <col min="14625" max="14625" width="10.77734375" style="208" customWidth="1"/>
    <col min="14626" max="14626" width="8.109375" style="208" customWidth="1"/>
    <col min="14627" max="14627" width="10" style="208" customWidth="1"/>
    <col min="14628" max="14628" width="11.77734375" style="208" customWidth="1"/>
    <col min="14629" max="14821" width="9" style="208"/>
    <col min="14822" max="14822" width="4.109375" style="208" customWidth="1"/>
    <col min="14823" max="14823" width="46.21875" style="208" customWidth="1"/>
    <col min="14824" max="14824" width="19.33203125" style="208" customWidth="1"/>
    <col min="14825" max="14825" width="10.6640625" style="208" customWidth="1"/>
    <col min="14826" max="14845" width="9" style="208" hidden="1" customWidth="1"/>
    <col min="14846" max="14846" width="9.77734375" style="208" customWidth="1"/>
    <col min="14847" max="14847" width="9.6640625" style="208" customWidth="1"/>
    <col min="14848" max="14848" width="9.44140625" style="208" customWidth="1"/>
    <col min="14849" max="14849" width="10.33203125" style="208" customWidth="1"/>
    <col min="14850" max="14850" width="10.44140625" style="208" customWidth="1"/>
    <col min="14851" max="14851" width="9.77734375" style="208" customWidth="1"/>
    <col min="14852" max="14852" width="10.21875" style="208" customWidth="1"/>
    <col min="14853" max="14853" width="8.77734375" style="208" customWidth="1"/>
    <col min="14854" max="14854" width="9" style="208" hidden="1" customWidth="1"/>
    <col min="14855" max="14855" width="8.21875" style="208" customWidth="1"/>
    <col min="14856" max="14860" width="9" style="208" hidden="1" customWidth="1"/>
    <col min="14861" max="14861" width="0.109375" style="208" customWidth="1"/>
    <col min="14862" max="14878" width="9" style="208" hidden="1" customWidth="1"/>
    <col min="14879" max="14879" width="10.21875" style="208" customWidth="1"/>
    <col min="14880" max="14880" width="9.88671875" style="208" customWidth="1"/>
    <col min="14881" max="14881" width="10.77734375" style="208" customWidth="1"/>
    <col min="14882" max="14882" width="8.109375" style="208" customWidth="1"/>
    <col min="14883" max="14883" width="10" style="208" customWidth="1"/>
    <col min="14884" max="14884" width="11.77734375" style="208" customWidth="1"/>
    <col min="14885" max="15077" width="9" style="208"/>
    <col min="15078" max="15078" width="4.109375" style="208" customWidth="1"/>
    <col min="15079" max="15079" width="46.21875" style="208" customWidth="1"/>
    <col min="15080" max="15080" width="19.33203125" style="208" customWidth="1"/>
    <col min="15081" max="15081" width="10.6640625" style="208" customWidth="1"/>
    <col min="15082" max="15101" width="9" style="208" hidden="1" customWidth="1"/>
    <col min="15102" max="15102" width="9.77734375" style="208" customWidth="1"/>
    <col min="15103" max="15103" width="9.6640625" style="208" customWidth="1"/>
    <col min="15104" max="15104" width="9.44140625" style="208" customWidth="1"/>
    <col min="15105" max="15105" width="10.33203125" style="208" customWidth="1"/>
    <col min="15106" max="15106" width="10.44140625" style="208" customWidth="1"/>
    <col min="15107" max="15107" width="9.77734375" style="208" customWidth="1"/>
    <col min="15108" max="15108" width="10.21875" style="208" customWidth="1"/>
    <col min="15109" max="15109" width="8.77734375" style="208" customWidth="1"/>
    <col min="15110" max="15110" width="9" style="208" hidden="1" customWidth="1"/>
    <col min="15111" max="15111" width="8.21875" style="208" customWidth="1"/>
    <col min="15112" max="15116" width="9" style="208" hidden="1" customWidth="1"/>
    <col min="15117" max="15117" width="0.109375" style="208" customWidth="1"/>
    <col min="15118" max="15134" width="9" style="208" hidden="1" customWidth="1"/>
    <col min="15135" max="15135" width="10.21875" style="208" customWidth="1"/>
    <col min="15136" max="15136" width="9.88671875" style="208" customWidth="1"/>
    <col min="15137" max="15137" width="10.77734375" style="208" customWidth="1"/>
    <col min="15138" max="15138" width="8.109375" style="208" customWidth="1"/>
    <col min="15139" max="15139" width="10" style="208" customWidth="1"/>
    <col min="15140" max="15140" width="11.77734375" style="208" customWidth="1"/>
    <col min="15141" max="15333" width="9" style="208"/>
    <col min="15334" max="15334" width="4.109375" style="208" customWidth="1"/>
    <col min="15335" max="15335" width="46.21875" style="208" customWidth="1"/>
    <col min="15336" max="15336" width="19.33203125" style="208" customWidth="1"/>
    <col min="15337" max="15337" width="10.6640625" style="208" customWidth="1"/>
    <col min="15338" max="15357" width="9" style="208" hidden="1" customWidth="1"/>
    <col min="15358" max="15358" width="9.77734375" style="208" customWidth="1"/>
    <col min="15359" max="15359" width="9.6640625" style="208" customWidth="1"/>
    <col min="15360" max="15360" width="9.44140625" style="208" customWidth="1"/>
    <col min="15361" max="15361" width="10.33203125" style="208" customWidth="1"/>
    <col min="15362" max="15362" width="10.44140625" style="208" customWidth="1"/>
    <col min="15363" max="15363" width="9.77734375" style="208" customWidth="1"/>
    <col min="15364" max="15364" width="10.21875" style="208" customWidth="1"/>
    <col min="15365" max="15365" width="8.77734375" style="208" customWidth="1"/>
    <col min="15366" max="15366" width="9" style="208" hidden="1" customWidth="1"/>
    <col min="15367" max="15367" width="8.21875" style="208" customWidth="1"/>
    <col min="15368" max="15372" width="9" style="208" hidden="1" customWidth="1"/>
    <col min="15373" max="15373" width="0.109375" style="208" customWidth="1"/>
    <col min="15374" max="15390" width="9" style="208" hidden="1" customWidth="1"/>
    <col min="15391" max="15391" width="10.21875" style="208" customWidth="1"/>
    <col min="15392" max="15392" width="9.88671875" style="208" customWidth="1"/>
    <col min="15393" max="15393" width="10.77734375" style="208" customWidth="1"/>
    <col min="15394" max="15394" width="8.109375" style="208" customWidth="1"/>
    <col min="15395" max="15395" width="10" style="208" customWidth="1"/>
    <col min="15396" max="15396" width="11.77734375" style="208" customWidth="1"/>
    <col min="15397" max="15589" width="9" style="208"/>
    <col min="15590" max="15590" width="4.109375" style="208" customWidth="1"/>
    <col min="15591" max="15591" width="46.21875" style="208" customWidth="1"/>
    <col min="15592" max="15592" width="19.33203125" style="208" customWidth="1"/>
    <col min="15593" max="15593" width="10.6640625" style="208" customWidth="1"/>
    <col min="15594" max="15613" width="9" style="208" hidden="1" customWidth="1"/>
    <col min="15614" max="15614" width="9.77734375" style="208" customWidth="1"/>
    <col min="15615" max="15615" width="9.6640625" style="208" customWidth="1"/>
    <col min="15616" max="15616" width="9.44140625" style="208" customWidth="1"/>
    <col min="15617" max="15617" width="10.33203125" style="208" customWidth="1"/>
    <col min="15618" max="15618" width="10.44140625" style="208" customWidth="1"/>
    <col min="15619" max="15619" width="9.77734375" style="208" customWidth="1"/>
    <col min="15620" max="15620" width="10.21875" style="208" customWidth="1"/>
    <col min="15621" max="15621" width="8.77734375" style="208" customWidth="1"/>
    <col min="15622" max="15622" width="9" style="208" hidden="1" customWidth="1"/>
    <col min="15623" max="15623" width="8.21875" style="208" customWidth="1"/>
    <col min="15624" max="15628" width="9" style="208" hidden="1" customWidth="1"/>
    <col min="15629" max="15629" width="0.109375" style="208" customWidth="1"/>
    <col min="15630" max="15646" width="9" style="208" hidden="1" customWidth="1"/>
    <col min="15647" max="15647" width="10.21875" style="208" customWidth="1"/>
    <col min="15648" max="15648" width="9.88671875" style="208" customWidth="1"/>
    <col min="15649" max="15649" width="10.77734375" style="208" customWidth="1"/>
    <col min="15650" max="15650" width="8.109375" style="208" customWidth="1"/>
    <col min="15651" max="15651" width="10" style="208" customWidth="1"/>
    <col min="15652" max="15652" width="11.77734375" style="208" customWidth="1"/>
    <col min="15653" max="15845" width="9" style="208"/>
    <col min="15846" max="15846" width="4.109375" style="208" customWidth="1"/>
    <col min="15847" max="15847" width="46.21875" style="208" customWidth="1"/>
    <col min="15848" max="15848" width="19.33203125" style="208" customWidth="1"/>
    <col min="15849" max="15849" width="10.6640625" style="208" customWidth="1"/>
    <col min="15850" max="15869" width="9" style="208" hidden="1" customWidth="1"/>
    <col min="15870" max="15870" width="9.77734375" style="208" customWidth="1"/>
    <col min="15871" max="15871" width="9.6640625" style="208" customWidth="1"/>
    <col min="15872" max="15872" width="9.44140625" style="208" customWidth="1"/>
    <col min="15873" max="15873" width="10.33203125" style="208" customWidth="1"/>
    <col min="15874" max="15874" width="10.44140625" style="208" customWidth="1"/>
    <col min="15875" max="15875" width="9.77734375" style="208" customWidth="1"/>
    <col min="15876" max="15876" width="10.21875" style="208" customWidth="1"/>
    <col min="15877" max="15877" width="8.77734375" style="208" customWidth="1"/>
    <col min="15878" max="15878" width="9" style="208" hidden="1" customWidth="1"/>
    <col min="15879" max="15879" width="8.21875" style="208" customWidth="1"/>
    <col min="15880" max="15884" width="9" style="208" hidden="1" customWidth="1"/>
    <col min="15885" max="15885" width="0.109375" style="208" customWidth="1"/>
    <col min="15886" max="15902" width="9" style="208" hidden="1" customWidth="1"/>
    <col min="15903" max="15903" width="10.21875" style="208" customWidth="1"/>
    <col min="15904" max="15904" width="9.88671875" style="208" customWidth="1"/>
    <col min="15905" max="15905" width="10.77734375" style="208" customWidth="1"/>
    <col min="15906" max="15906" width="8.109375" style="208" customWidth="1"/>
    <col min="15907" max="15907" width="10" style="208" customWidth="1"/>
    <col min="15908" max="15908" width="11.77734375" style="208" customWidth="1"/>
    <col min="15909" max="16101" width="9" style="208"/>
    <col min="16102" max="16102" width="4.109375" style="208" customWidth="1"/>
    <col min="16103" max="16103" width="46.21875" style="208" customWidth="1"/>
    <col min="16104" max="16104" width="19.33203125" style="208" customWidth="1"/>
    <col min="16105" max="16105" width="10.6640625" style="208" customWidth="1"/>
    <col min="16106" max="16125" width="9" style="208" hidden="1" customWidth="1"/>
    <col min="16126" max="16126" width="9.77734375" style="208" customWidth="1"/>
    <col min="16127" max="16127" width="9.6640625" style="208" customWidth="1"/>
    <col min="16128" max="16128" width="9.44140625" style="208" customWidth="1"/>
    <col min="16129" max="16129" width="10.33203125" style="208" customWidth="1"/>
    <col min="16130" max="16130" width="10.44140625" style="208" customWidth="1"/>
    <col min="16131" max="16131" width="9.77734375" style="208" customWidth="1"/>
    <col min="16132" max="16132" width="10.21875" style="208" customWidth="1"/>
    <col min="16133" max="16133" width="8.77734375" style="208" customWidth="1"/>
    <col min="16134" max="16134" width="9" style="208" hidden="1" customWidth="1"/>
    <col min="16135" max="16135" width="8.21875" style="208" customWidth="1"/>
    <col min="16136" max="16140" width="9" style="208" hidden="1" customWidth="1"/>
    <col min="16141" max="16141" width="0.109375" style="208" customWidth="1"/>
    <col min="16142" max="16158" width="9" style="208" hidden="1" customWidth="1"/>
    <col min="16159" max="16159" width="10.21875" style="208" customWidth="1"/>
    <col min="16160" max="16160" width="9.88671875" style="208" customWidth="1"/>
    <col min="16161" max="16161" width="10.77734375" style="208" customWidth="1"/>
    <col min="16162" max="16162" width="8.109375" style="208" customWidth="1"/>
    <col min="16163" max="16163" width="10" style="208" customWidth="1"/>
    <col min="16164" max="16164" width="11.77734375" style="208" customWidth="1"/>
    <col min="16165" max="16384" width="9" style="208"/>
  </cols>
  <sheetData>
    <row r="1" spans="1:55">
      <c r="W1" s="207" t="s">
        <v>101</v>
      </c>
    </row>
    <row r="2" spans="1:55" ht="22.5" customHeight="1">
      <c r="A2" s="564" t="s">
        <v>331</v>
      </c>
      <c r="B2" s="564"/>
      <c r="C2" s="564"/>
      <c r="D2" s="564"/>
      <c r="E2" s="564"/>
      <c r="F2" s="564"/>
      <c r="G2" s="564"/>
      <c r="H2" s="564"/>
      <c r="I2" s="564"/>
      <c r="J2" s="564"/>
      <c r="K2" s="564"/>
      <c r="L2" s="564"/>
      <c r="M2" s="564"/>
      <c r="N2" s="564"/>
      <c r="O2" s="564"/>
      <c r="P2" s="564"/>
      <c r="Q2" s="564"/>
      <c r="R2" s="564"/>
      <c r="S2" s="564"/>
      <c r="T2" s="564"/>
      <c r="U2" s="564"/>
      <c r="V2" s="564"/>
      <c r="W2" s="564"/>
    </row>
    <row r="3" spans="1:55" ht="24" customHeight="1">
      <c r="A3" s="565" t="str">
        <f>+'01-Cân đôi'!A3:D3</f>
        <v>(Kèm theo Nghị quyết số         /NQ-HĐND ngày     tháng 9 năm 2025 của HĐND xã Quang Sơn)</v>
      </c>
      <c r="B3" s="565"/>
      <c r="C3" s="565"/>
      <c r="D3" s="565"/>
      <c r="E3" s="565"/>
      <c r="F3" s="565"/>
      <c r="G3" s="565"/>
      <c r="H3" s="565"/>
      <c r="I3" s="565"/>
      <c r="J3" s="565"/>
      <c r="K3" s="565"/>
      <c r="L3" s="565"/>
      <c r="M3" s="565"/>
      <c r="N3" s="565"/>
      <c r="O3" s="565"/>
      <c r="P3" s="565"/>
      <c r="Q3" s="565"/>
      <c r="R3" s="565"/>
      <c r="S3" s="565"/>
      <c r="T3" s="565"/>
      <c r="U3" s="565"/>
      <c r="V3" s="565"/>
      <c r="W3" s="565"/>
    </row>
    <row r="4" spans="1:55" ht="18" customHeight="1">
      <c r="B4" s="566" t="s">
        <v>55</v>
      </c>
      <c r="C4" s="566"/>
      <c r="D4" s="566"/>
      <c r="E4" s="566"/>
      <c r="F4" s="566"/>
      <c r="G4" s="566"/>
      <c r="H4" s="566"/>
      <c r="I4" s="566"/>
      <c r="J4" s="566"/>
      <c r="K4" s="566"/>
      <c r="L4" s="566"/>
      <c r="M4" s="566"/>
      <c r="N4" s="566"/>
      <c r="O4" s="566"/>
      <c r="P4" s="566"/>
      <c r="Q4" s="566"/>
      <c r="R4" s="566"/>
      <c r="S4" s="566"/>
      <c r="T4" s="566"/>
      <c r="U4" s="566"/>
      <c r="V4" s="566"/>
      <c r="W4" s="566"/>
    </row>
    <row r="5" spans="1:55" s="202" customFormat="1" ht="44.1" customHeight="1">
      <c r="A5" s="209" t="s">
        <v>332</v>
      </c>
      <c r="B5" s="209" t="s">
        <v>333</v>
      </c>
      <c r="C5" s="541" t="s">
        <v>334</v>
      </c>
      <c r="D5" s="541"/>
      <c r="E5" s="541"/>
      <c r="F5" s="541"/>
      <c r="G5" s="541" t="s">
        <v>335</v>
      </c>
      <c r="H5" s="541"/>
      <c r="I5" s="541"/>
      <c r="J5" s="541"/>
      <c r="K5" s="541" t="s">
        <v>336</v>
      </c>
      <c r="L5" s="541"/>
      <c r="M5" s="541"/>
      <c r="N5" s="541"/>
      <c r="O5" s="541" t="s">
        <v>337</v>
      </c>
      <c r="P5" s="541"/>
      <c r="Q5" s="541"/>
      <c r="R5" s="541"/>
      <c r="S5" s="567" t="s">
        <v>338</v>
      </c>
      <c r="T5" s="568"/>
      <c r="U5" s="220" t="s">
        <v>339</v>
      </c>
      <c r="V5" s="209" t="s">
        <v>340</v>
      </c>
      <c r="W5" s="209" t="s">
        <v>6</v>
      </c>
    </row>
    <row r="6" spans="1:55" ht="15.6">
      <c r="A6" s="210"/>
      <c r="B6" s="209" t="s">
        <v>155</v>
      </c>
      <c r="C6" s="211"/>
      <c r="D6" s="211"/>
      <c r="E6" s="211"/>
      <c r="F6" s="211"/>
      <c r="G6" s="211"/>
      <c r="H6" s="211" t="e">
        <f>#REF!+#REF!+#REF!</f>
        <v>#REF!</v>
      </c>
      <c r="I6" s="211" t="e">
        <f>#REF!+#REF!+#REF!</f>
        <v>#REF!</v>
      </c>
      <c r="J6" s="211" t="e">
        <f>#REF!+#REF!+#REF!</f>
        <v>#REF!</v>
      </c>
      <c r="K6" s="211" t="e">
        <f>#REF!+#REF!+#REF!</f>
        <v>#REF!</v>
      </c>
      <c r="L6" s="211" t="e">
        <f>#REF!+#REF!+#REF!</f>
        <v>#REF!</v>
      </c>
      <c r="M6" s="211" t="e">
        <f>#REF!+#REF!+#REF!</f>
        <v>#REF!</v>
      </c>
      <c r="N6" s="211" t="e">
        <f>#REF!+#REF!+#REF!</f>
        <v>#REF!</v>
      </c>
      <c r="O6" s="211" t="e">
        <f>#REF!+#REF!+#REF!</f>
        <v>#REF!</v>
      </c>
      <c r="P6" s="211" t="e">
        <f>#REF!+#REF!+#REF!</f>
        <v>#REF!</v>
      </c>
      <c r="Q6" s="211" t="e">
        <f>#REF!+#REF!+#REF!</f>
        <v>#REF!</v>
      </c>
      <c r="R6" s="211" t="e">
        <f>#REF!+#REF!+#REF!</f>
        <v>#REF!</v>
      </c>
      <c r="S6" s="211" t="e">
        <f>#REF!+#REF!+#REF!</f>
        <v>#REF!</v>
      </c>
      <c r="T6" s="211"/>
      <c r="U6" s="221"/>
      <c r="V6" s="222">
        <f>+V7+V11+V13</f>
        <v>2683</v>
      </c>
      <c r="W6" s="211"/>
      <c r="X6" s="223"/>
      <c r="Y6" s="223"/>
      <c r="Z6" s="223"/>
      <c r="AA6" s="223"/>
      <c r="AB6" s="223"/>
      <c r="AC6" s="223"/>
      <c r="AD6" s="223"/>
      <c r="AE6" s="223"/>
      <c r="AF6" s="223"/>
      <c r="AG6" s="223"/>
      <c r="AH6" s="227">
        <f>40000-V6</f>
        <v>37317</v>
      </c>
      <c r="AI6" s="227" t="e">
        <f>#REF!+AH6</f>
        <v>#REF!</v>
      </c>
      <c r="AJ6" s="227" t="e">
        <f>AI6-#REF!</f>
        <v>#REF!</v>
      </c>
      <c r="AK6" s="208">
        <v>160067</v>
      </c>
      <c r="AL6" s="227" t="e">
        <f>AK6-#REF!</f>
        <v>#REF!</v>
      </c>
      <c r="AM6" s="227" t="e">
        <f>AL6-#REF!</f>
        <v>#REF!</v>
      </c>
    </row>
    <row r="7" spans="1:55" ht="15.6">
      <c r="A7" s="209" t="s">
        <v>9</v>
      </c>
      <c r="B7" s="212" t="s">
        <v>341</v>
      </c>
      <c r="C7" s="211"/>
      <c r="D7" s="211"/>
      <c r="E7" s="211"/>
      <c r="F7" s="211"/>
      <c r="G7" s="211"/>
      <c r="H7" s="211"/>
      <c r="I7" s="211"/>
      <c r="J7" s="211"/>
      <c r="K7" s="211"/>
      <c r="L7" s="211"/>
      <c r="M7" s="211"/>
      <c r="N7" s="211"/>
      <c r="O7" s="211"/>
      <c r="P7" s="211"/>
      <c r="Q7" s="211"/>
      <c r="R7" s="211"/>
      <c r="S7" s="211"/>
      <c r="T7" s="211"/>
      <c r="U7" s="221"/>
      <c r="V7" s="222">
        <f>+SUM(V8:V10)</f>
        <v>2595</v>
      </c>
      <c r="W7" s="211"/>
      <c r="X7" s="223"/>
      <c r="Y7" s="223"/>
      <c r="Z7" s="223"/>
      <c r="AA7" s="223"/>
      <c r="AB7" s="223"/>
      <c r="AC7" s="223"/>
      <c r="AD7" s="223"/>
      <c r="AE7" s="223"/>
      <c r="AF7" s="223"/>
      <c r="AG7" s="223"/>
    </row>
    <row r="8" spans="1:55" ht="39.6">
      <c r="A8" s="210">
        <v>1</v>
      </c>
      <c r="B8" s="213" t="s">
        <v>342</v>
      </c>
      <c r="C8" s="214"/>
      <c r="D8" s="214"/>
      <c r="E8" s="214"/>
      <c r="F8" s="214"/>
      <c r="G8" s="214"/>
      <c r="H8" s="214"/>
      <c r="I8" s="214"/>
      <c r="J8" s="214"/>
      <c r="K8" s="214"/>
      <c r="L8" s="214"/>
      <c r="M8" s="214"/>
      <c r="N8" s="214"/>
      <c r="O8" s="214"/>
      <c r="P8" s="214"/>
      <c r="Q8" s="214"/>
      <c r="R8" s="214"/>
      <c r="S8" s="214"/>
      <c r="T8" s="214" t="s">
        <v>343</v>
      </c>
      <c r="U8" s="224" t="s">
        <v>344</v>
      </c>
      <c r="V8" s="225">
        <v>2380</v>
      </c>
      <c r="W8" s="214"/>
      <c r="X8" s="223"/>
      <c r="Y8" s="223"/>
      <c r="Z8" s="223"/>
      <c r="AA8" s="223"/>
      <c r="AB8" s="223"/>
      <c r="AC8" s="223"/>
      <c r="AD8" s="223"/>
      <c r="AE8" s="223"/>
      <c r="AF8" s="223"/>
      <c r="AG8" s="223"/>
    </row>
    <row r="9" spans="1:55" ht="55.5" customHeight="1">
      <c r="A9" s="210">
        <v>2</v>
      </c>
      <c r="B9" s="215" t="s">
        <v>345</v>
      </c>
      <c r="C9" s="214"/>
      <c r="D9" s="214"/>
      <c r="E9" s="214"/>
      <c r="F9" s="214"/>
      <c r="G9" s="214"/>
      <c r="H9" s="214"/>
      <c r="I9" s="214"/>
      <c r="J9" s="214"/>
      <c r="K9" s="214"/>
      <c r="L9" s="214"/>
      <c r="M9" s="214"/>
      <c r="N9" s="214"/>
      <c r="O9" s="214"/>
      <c r="P9" s="214"/>
      <c r="Q9" s="214"/>
      <c r="R9" s="214"/>
      <c r="S9" s="214"/>
      <c r="T9" s="214" t="s">
        <v>343</v>
      </c>
      <c r="U9" s="224" t="s">
        <v>344</v>
      </c>
      <c r="V9" s="225">
        <v>185</v>
      </c>
      <c r="W9" s="214"/>
      <c r="X9" s="223"/>
      <c r="Y9" s="223"/>
      <c r="Z9" s="223"/>
      <c r="AA9" s="223"/>
      <c r="AB9" s="223"/>
      <c r="AC9" s="223"/>
      <c r="AD9" s="223"/>
      <c r="AE9" s="223"/>
      <c r="AF9" s="223"/>
      <c r="AG9" s="223"/>
    </row>
    <row r="10" spans="1:55" ht="39.6">
      <c r="A10" s="210">
        <v>3</v>
      </c>
      <c r="B10" s="215" t="s">
        <v>346</v>
      </c>
      <c r="C10" s="214"/>
      <c r="D10" s="214"/>
      <c r="E10" s="214"/>
      <c r="F10" s="214"/>
      <c r="G10" s="214"/>
      <c r="H10" s="214"/>
      <c r="I10" s="214"/>
      <c r="J10" s="214"/>
      <c r="K10" s="214"/>
      <c r="L10" s="214"/>
      <c r="M10" s="214"/>
      <c r="N10" s="214"/>
      <c r="O10" s="214"/>
      <c r="P10" s="214"/>
      <c r="Q10" s="214"/>
      <c r="R10" s="214"/>
      <c r="S10" s="214"/>
      <c r="T10" s="214" t="s">
        <v>343</v>
      </c>
      <c r="U10" s="224" t="s">
        <v>347</v>
      </c>
      <c r="V10" s="225">
        <v>30</v>
      </c>
      <c r="W10" s="214"/>
      <c r="X10" s="223"/>
      <c r="Y10" s="223"/>
      <c r="Z10" s="223"/>
      <c r="AA10" s="223"/>
      <c r="AB10" s="223"/>
      <c r="AC10" s="223"/>
      <c r="AD10" s="223"/>
      <c r="AE10" s="223"/>
      <c r="AF10" s="223"/>
      <c r="AG10" s="223"/>
      <c r="BC10" s="208" t="s">
        <v>348</v>
      </c>
    </row>
    <row r="11" spans="1:55" ht="15.6">
      <c r="A11" s="209" t="s">
        <v>14</v>
      </c>
      <c r="B11" s="216" t="s">
        <v>349</v>
      </c>
      <c r="C11" s="211"/>
      <c r="D11" s="211"/>
      <c r="E11" s="211"/>
      <c r="F11" s="211"/>
      <c r="G11" s="211"/>
      <c r="H11" s="211"/>
      <c r="I11" s="211"/>
      <c r="J11" s="211"/>
      <c r="K11" s="211"/>
      <c r="L11" s="211"/>
      <c r="M11" s="211"/>
      <c r="N11" s="211"/>
      <c r="O11" s="211"/>
      <c r="P11" s="211"/>
      <c r="Q11" s="211"/>
      <c r="R11" s="211"/>
      <c r="S11" s="211"/>
      <c r="T11" s="211"/>
      <c r="U11" s="221"/>
      <c r="V11" s="222">
        <f>+V12</f>
        <v>86</v>
      </c>
      <c r="W11" s="211"/>
      <c r="X11" s="223"/>
      <c r="Y11" s="223"/>
      <c r="Z11" s="223"/>
      <c r="AA11" s="223"/>
      <c r="AB11" s="223"/>
      <c r="AC11" s="223"/>
      <c r="AD11" s="223"/>
      <c r="AE11" s="223"/>
      <c r="AF11" s="223"/>
      <c r="AG11" s="223"/>
    </row>
    <row r="12" spans="1:55" ht="39.6">
      <c r="A12" s="210">
        <v>1</v>
      </c>
      <c r="B12" s="217" t="s">
        <v>350</v>
      </c>
      <c r="C12" s="214"/>
      <c r="D12" s="214"/>
      <c r="E12" s="214"/>
      <c r="F12" s="214"/>
      <c r="G12" s="214"/>
      <c r="H12" s="214"/>
      <c r="I12" s="214"/>
      <c r="J12" s="214"/>
      <c r="K12" s="214"/>
      <c r="L12" s="214"/>
      <c r="M12" s="214"/>
      <c r="N12" s="214"/>
      <c r="O12" s="214"/>
      <c r="P12" s="214"/>
      <c r="Q12" s="214"/>
      <c r="R12" s="214"/>
      <c r="S12" s="214"/>
      <c r="T12" s="214" t="s">
        <v>343</v>
      </c>
      <c r="U12" s="224" t="s">
        <v>344</v>
      </c>
      <c r="V12" s="225">
        <v>86</v>
      </c>
      <c r="W12" s="214"/>
      <c r="X12" s="223"/>
      <c r="Y12" s="223"/>
      <c r="Z12" s="223"/>
      <c r="AA12" s="223"/>
      <c r="AB12" s="223"/>
      <c r="AC12" s="223"/>
      <c r="AD12" s="223"/>
      <c r="AE12" s="223"/>
      <c r="AF12" s="223"/>
      <c r="AG12" s="223"/>
      <c r="BC12" s="208" t="s">
        <v>348</v>
      </c>
    </row>
    <row r="13" spans="1:55" ht="15.6">
      <c r="A13" s="209" t="s">
        <v>18</v>
      </c>
      <c r="B13" s="218" t="s">
        <v>351</v>
      </c>
      <c r="C13" s="211"/>
      <c r="D13" s="211"/>
      <c r="E13" s="211"/>
      <c r="F13" s="211"/>
      <c r="G13" s="211"/>
      <c r="H13" s="211"/>
      <c r="I13" s="211"/>
      <c r="J13" s="211"/>
      <c r="K13" s="211"/>
      <c r="L13" s="211"/>
      <c r="M13" s="211"/>
      <c r="N13" s="211"/>
      <c r="O13" s="211"/>
      <c r="P13" s="211"/>
      <c r="Q13" s="211"/>
      <c r="R13" s="211"/>
      <c r="S13" s="211"/>
      <c r="T13" s="211"/>
      <c r="U13" s="221"/>
      <c r="V13" s="222">
        <f>+V14</f>
        <v>2</v>
      </c>
      <c r="W13" s="211"/>
      <c r="X13" s="223"/>
      <c r="Y13" s="223"/>
      <c r="Z13" s="223"/>
      <c r="AA13" s="223"/>
      <c r="AB13" s="223"/>
      <c r="AC13" s="223"/>
      <c r="AD13" s="223"/>
      <c r="AE13" s="223"/>
      <c r="AF13" s="223"/>
      <c r="AG13" s="223"/>
    </row>
    <row r="14" spans="1:55" ht="39.6">
      <c r="A14" s="210">
        <v>2</v>
      </c>
      <c r="B14" s="219" t="s">
        <v>352</v>
      </c>
      <c r="C14" s="214"/>
      <c r="D14" s="214"/>
      <c r="E14" s="214"/>
      <c r="F14" s="214"/>
      <c r="G14" s="214"/>
      <c r="H14" s="214"/>
      <c r="I14" s="214"/>
      <c r="J14" s="214"/>
      <c r="K14" s="214"/>
      <c r="L14" s="214"/>
      <c r="M14" s="214"/>
      <c r="N14" s="214"/>
      <c r="O14" s="214"/>
      <c r="P14" s="214"/>
      <c r="Q14" s="214"/>
      <c r="R14" s="214"/>
      <c r="S14" s="214"/>
      <c r="T14" s="214" t="s">
        <v>343</v>
      </c>
      <c r="U14" s="224">
        <v>2025</v>
      </c>
      <c r="V14" s="225">
        <v>2</v>
      </c>
      <c r="W14" s="214"/>
      <c r="X14" s="223"/>
      <c r="Y14" s="223"/>
      <c r="Z14" s="223"/>
      <c r="AA14" s="223"/>
      <c r="AB14" s="223"/>
      <c r="AC14" s="223"/>
      <c r="AD14" s="223"/>
      <c r="AE14" s="223"/>
      <c r="AF14" s="223"/>
      <c r="AG14" s="223"/>
      <c r="BC14" s="208" t="s">
        <v>348</v>
      </c>
    </row>
    <row r="42" spans="22:22" ht="24.6">
      <c r="V42" s="226"/>
    </row>
  </sheetData>
  <mergeCells count="8">
    <mergeCell ref="A2:W2"/>
    <mergeCell ref="A3:W3"/>
    <mergeCell ref="B4:W4"/>
    <mergeCell ref="C5:F5"/>
    <mergeCell ref="G5:J5"/>
    <mergeCell ref="K5:N5"/>
    <mergeCell ref="O5:R5"/>
    <mergeCell ref="S5:T5"/>
  </mergeCells>
  <pageMargins left="0.46" right="0.196850393700787" top="0.57999999999999996" bottom="0.74803149606299202" header="0.31496062992126" footer="0.31496062992126"/>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12C15-2E95-4D55-B3F6-8726982A4A56}">
  <dimension ref="A1:F43"/>
  <sheetViews>
    <sheetView topLeftCell="A36" workbookViewId="0">
      <selection activeCell="B34" sqref="B34"/>
    </sheetView>
  </sheetViews>
  <sheetFormatPr defaultColWidth="7.77734375" defaultRowHeight="13.2"/>
  <cols>
    <col min="1" max="1" width="4.77734375" style="428" customWidth="1"/>
    <col min="2" max="2" width="32.21875" style="466" customWidth="1"/>
    <col min="3" max="5" width="12.33203125" style="466" customWidth="1"/>
    <col min="6" max="6" width="11" style="466" customWidth="1"/>
    <col min="7" max="246" width="8" style="466" bestFit="1" customWidth="1"/>
    <col min="247" max="249" width="7.77734375" style="466"/>
    <col min="250" max="250" width="4.77734375" style="466" customWidth="1"/>
    <col min="251" max="251" width="26.109375" style="466" customWidth="1"/>
    <col min="252" max="252" width="11.33203125" style="466" customWidth="1"/>
    <col min="253" max="253" width="13.109375" style="466" customWidth="1"/>
    <col min="254" max="254" width="12.109375" style="466" customWidth="1"/>
    <col min="255" max="255" width="12.44140625" style="466" customWidth="1"/>
    <col min="256" max="256" width="9.21875" style="466" customWidth="1"/>
    <col min="257" max="257" width="11.33203125" style="466" customWidth="1"/>
    <col min="258" max="258" width="25.21875" style="466" customWidth="1"/>
    <col min="259" max="259" width="16.6640625" style="466" customWidth="1"/>
    <col min="260" max="502" width="8" style="466" bestFit="1" customWidth="1"/>
    <col min="503" max="505" width="7.77734375" style="466"/>
    <col min="506" max="506" width="4.77734375" style="466" customWidth="1"/>
    <col min="507" max="507" width="26.109375" style="466" customWidth="1"/>
    <col min="508" max="508" width="11.33203125" style="466" customWidth="1"/>
    <col min="509" max="509" width="13.109375" style="466" customWidth="1"/>
    <col min="510" max="510" width="12.109375" style="466" customWidth="1"/>
    <col min="511" max="511" width="12.44140625" style="466" customWidth="1"/>
    <col min="512" max="512" width="9.21875" style="466" customWidth="1"/>
    <col min="513" max="513" width="11.33203125" style="466" customWidth="1"/>
    <col min="514" max="514" width="25.21875" style="466" customWidth="1"/>
    <col min="515" max="515" width="16.6640625" style="466" customWidth="1"/>
    <col min="516" max="758" width="8" style="466" bestFit="1" customWidth="1"/>
    <col min="759" max="761" width="7.77734375" style="466"/>
    <col min="762" max="762" width="4.77734375" style="466" customWidth="1"/>
    <col min="763" max="763" width="26.109375" style="466" customWidth="1"/>
    <col min="764" max="764" width="11.33203125" style="466" customWidth="1"/>
    <col min="765" max="765" width="13.109375" style="466" customWidth="1"/>
    <col min="766" max="766" width="12.109375" style="466" customWidth="1"/>
    <col min="767" max="767" width="12.44140625" style="466" customWidth="1"/>
    <col min="768" max="768" width="9.21875" style="466" customWidth="1"/>
    <col min="769" max="769" width="11.33203125" style="466" customWidth="1"/>
    <col min="770" max="770" width="25.21875" style="466" customWidth="1"/>
    <col min="771" max="771" width="16.6640625" style="466" customWidth="1"/>
    <col min="772" max="1014" width="8" style="466" bestFit="1" customWidth="1"/>
    <col min="1015" max="1017" width="7.77734375" style="466"/>
    <col min="1018" max="1018" width="4.77734375" style="466" customWidth="1"/>
    <col min="1019" max="1019" width="26.109375" style="466" customWidth="1"/>
    <col min="1020" max="1020" width="11.33203125" style="466" customWidth="1"/>
    <col min="1021" max="1021" width="13.109375" style="466" customWidth="1"/>
    <col min="1022" max="1022" width="12.109375" style="466" customWidth="1"/>
    <col min="1023" max="1023" width="12.44140625" style="466" customWidth="1"/>
    <col min="1024" max="1024" width="9.21875" style="466" customWidth="1"/>
    <col min="1025" max="1025" width="11.33203125" style="466" customWidth="1"/>
    <col min="1026" max="1026" width="25.21875" style="466" customWidth="1"/>
    <col min="1027" max="1027" width="16.6640625" style="466" customWidth="1"/>
    <col min="1028" max="1270" width="8" style="466" bestFit="1" customWidth="1"/>
    <col min="1271" max="1273" width="7.77734375" style="466"/>
    <col min="1274" max="1274" width="4.77734375" style="466" customWidth="1"/>
    <col min="1275" max="1275" width="26.109375" style="466" customWidth="1"/>
    <col min="1276" max="1276" width="11.33203125" style="466" customWidth="1"/>
    <col min="1277" max="1277" width="13.109375" style="466" customWidth="1"/>
    <col min="1278" max="1278" width="12.109375" style="466" customWidth="1"/>
    <col min="1279" max="1279" width="12.44140625" style="466" customWidth="1"/>
    <col min="1280" max="1280" width="9.21875" style="466" customWidth="1"/>
    <col min="1281" max="1281" width="11.33203125" style="466" customWidth="1"/>
    <col min="1282" max="1282" width="25.21875" style="466" customWidth="1"/>
    <col min="1283" max="1283" width="16.6640625" style="466" customWidth="1"/>
    <col min="1284" max="1526" width="8" style="466" bestFit="1" customWidth="1"/>
    <col min="1527" max="1529" width="7.77734375" style="466"/>
    <col min="1530" max="1530" width="4.77734375" style="466" customWidth="1"/>
    <col min="1531" max="1531" width="26.109375" style="466" customWidth="1"/>
    <col min="1532" max="1532" width="11.33203125" style="466" customWidth="1"/>
    <col min="1533" max="1533" width="13.109375" style="466" customWidth="1"/>
    <col min="1534" max="1534" width="12.109375" style="466" customWidth="1"/>
    <col min="1535" max="1535" width="12.44140625" style="466" customWidth="1"/>
    <col min="1536" max="1536" width="9.21875" style="466" customWidth="1"/>
    <col min="1537" max="1537" width="11.33203125" style="466" customWidth="1"/>
    <col min="1538" max="1538" width="25.21875" style="466" customWidth="1"/>
    <col min="1539" max="1539" width="16.6640625" style="466" customWidth="1"/>
    <col min="1540" max="1782" width="8" style="466" bestFit="1" customWidth="1"/>
    <col min="1783" max="1785" width="7.77734375" style="466"/>
    <col min="1786" max="1786" width="4.77734375" style="466" customWidth="1"/>
    <col min="1787" max="1787" width="26.109375" style="466" customWidth="1"/>
    <col min="1788" max="1788" width="11.33203125" style="466" customWidth="1"/>
    <col min="1789" max="1789" width="13.109375" style="466" customWidth="1"/>
    <col min="1790" max="1790" width="12.109375" style="466" customWidth="1"/>
    <col min="1791" max="1791" width="12.44140625" style="466" customWidth="1"/>
    <col min="1792" max="1792" width="9.21875" style="466" customWidth="1"/>
    <col min="1793" max="1793" width="11.33203125" style="466" customWidth="1"/>
    <col min="1794" max="1794" width="25.21875" style="466" customWidth="1"/>
    <col min="1795" max="1795" width="16.6640625" style="466" customWidth="1"/>
    <col min="1796" max="2038" width="8" style="466" bestFit="1" customWidth="1"/>
    <col min="2039" max="2041" width="7.77734375" style="466"/>
    <col min="2042" max="2042" width="4.77734375" style="466" customWidth="1"/>
    <col min="2043" max="2043" width="26.109375" style="466" customWidth="1"/>
    <col min="2044" max="2044" width="11.33203125" style="466" customWidth="1"/>
    <col min="2045" max="2045" width="13.109375" style="466" customWidth="1"/>
    <col min="2046" max="2046" width="12.109375" style="466" customWidth="1"/>
    <col min="2047" max="2047" width="12.44140625" style="466" customWidth="1"/>
    <col min="2048" max="2048" width="9.21875" style="466" customWidth="1"/>
    <col min="2049" max="2049" width="11.33203125" style="466" customWidth="1"/>
    <col min="2050" max="2050" width="25.21875" style="466" customWidth="1"/>
    <col min="2051" max="2051" width="16.6640625" style="466" customWidth="1"/>
    <col min="2052" max="2294" width="8" style="466" bestFit="1" customWidth="1"/>
    <col min="2295" max="2297" width="7.77734375" style="466"/>
    <col min="2298" max="2298" width="4.77734375" style="466" customWidth="1"/>
    <col min="2299" max="2299" width="26.109375" style="466" customWidth="1"/>
    <col min="2300" max="2300" width="11.33203125" style="466" customWidth="1"/>
    <col min="2301" max="2301" width="13.109375" style="466" customWidth="1"/>
    <col min="2302" max="2302" width="12.109375" style="466" customWidth="1"/>
    <col min="2303" max="2303" width="12.44140625" style="466" customWidth="1"/>
    <col min="2304" max="2304" width="9.21875" style="466" customWidth="1"/>
    <col min="2305" max="2305" width="11.33203125" style="466" customWidth="1"/>
    <col min="2306" max="2306" width="25.21875" style="466" customWidth="1"/>
    <col min="2307" max="2307" width="16.6640625" style="466" customWidth="1"/>
    <col min="2308" max="2550" width="8" style="466" bestFit="1" customWidth="1"/>
    <col min="2551" max="2553" width="7.77734375" style="466"/>
    <col min="2554" max="2554" width="4.77734375" style="466" customWidth="1"/>
    <col min="2555" max="2555" width="26.109375" style="466" customWidth="1"/>
    <col min="2556" max="2556" width="11.33203125" style="466" customWidth="1"/>
    <col min="2557" max="2557" width="13.109375" style="466" customWidth="1"/>
    <col min="2558" max="2558" width="12.109375" style="466" customWidth="1"/>
    <col min="2559" max="2559" width="12.44140625" style="466" customWidth="1"/>
    <col min="2560" max="2560" width="9.21875" style="466" customWidth="1"/>
    <col min="2561" max="2561" width="11.33203125" style="466" customWidth="1"/>
    <col min="2562" max="2562" width="25.21875" style="466" customWidth="1"/>
    <col min="2563" max="2563" width="16.6640625" style="466" customWidth="1"/>
    <col min="2564" max="2806" width="8" style="466" bestFit="1" customWidth="1"/>
    <col min="2807" max="2809" width="7.77734375" style="466"/>
    <col min="2810" max="2810" width="4.77734375" style="466" customWidth="1"/>
    <col min="2811" max="2811" width="26.109375" style="466" customWidth="1"/>
    <col min="2812" max="2812" width="11.33203125" style="466" customWidth="1"/>
    <col min="2813" max="2813" width="13.109375" style="466" customWidth="1"/>
    <col min="2814" max="2814" width="12.109375" style="466" customWidth="1"/>
    <col min="2815" max="2815" width="12.44140625" style="466" customWidth="1"/>
    <col min="2816" max="2816" width="9.21875" style="466" customWidth="1"/>
    <col min="2817" max="2817" width="11.33203125" style="466" customWidth="1"/>
    <col min="2818" max="2818" width="25.21875" style="466" customWidth="1"/>
    <col min="2819" max="2819" width="16.6640625" style="466" customWidth="1"/>
    <col min="2820" max="3062" width="8" style="466" bestFit="1" customWidth="1"/>
    <col min="3063" max="3065" width="7.77734375" style="466"/>
    <col min="3066" max="3066" width="4.77734375" style="466" customWidth="1"/>
    <col min="3067" max="3067" width="26.109375" style="466" customWidth="1"/>
    <col min="3068" max="3068" width="11.33203125" style="466" customWidth="1"/>
    <col min="3069" max="3069" width="13.109375" style="466" customWidth="1"/>
    <col min="3070" max="3070" width="12.109375" style="466" customWidth="1"/>
    <col min="3071" max="3071" width="12.44140625" style="466" customWidth="1"/>
    <col min="3072" max="3072" width="9.21875" style="466" customWidth="1"/>
    <col min="3073" max="3073" width="11.33203125" style="466" customWidth="1"/>
    <col min="3074" max="3074" width="25.21875" style="466" customWidth="1"/>
    <col min="3075" max="3075" width="16.6640625" style="466" customWidth="1"/>
    <col min="3076" max="3318" width="8" style="466" bestFit="1" customWidth="1"/>
    <col min="3319" max="3321" width="7.77734375" style="466"/>
    <col min="3322" max="3322" width="4.77734375" style="466" customWidth="1"/>
    <col min="3323" max="3323" width="26.109375" style="466" customWidth="1"/>
    <col min="3324" max="3324" width="11.33203125" style="466" customWidth="1"/>
    <col min="3325" max="3325" width="13.109375" style="466" customWidth="1"/>
    <col min="3326" max="3326" width="12.109375" style="466" customWidth="1"/>
    <col min="3327" max="3327" width="12.44140625" style="466" customWidth="1"/>
    <col min="3328" max="3328" width="9.21875" style="466" customWidth="1"/>
    <col min="3329" max="3329" width="11.33203125" style="466" customWidth="1"/>
    <col min="3330" max="3330" width="25.21875" style="466" customWidth="1"/>
    <col min="3331" max="3331" width="16.6640625" style="466" customWidth="1"/>
    <col min="3332" max="3574" width="8" style="466" bestFit="1" customWidth="1"/>
    <col min="3575" max="3577" width="7.77734375" style="466"/>
    <col min="3578" max="3578" width="4.77734375" style="466" customWidth="1"/>
    <col min="3579" max="3579" width="26.109375" style="466" customWidth="1"/>
    <col min="3580" max="3580" width="11.33203125" style="466" customWidth="1"/>
    <col min="3581" max="3581" width="13.109375" style="466" customWidth="1"/>
    <col min="3582" max="3582" width="12.109375" style="466" customWidth="1"/>
    <col min="3583" max="3583" width="12.44140625" style="466" customWidth="1"/>
    <col min="3584" max="3584" width="9.21875" style="466" customWidth="1"/>
    <col min="3585" max="3585" width="11.33203125" style="466" customWidth="1"/>
    <col min="3586" max="3586" width="25.21875" style="466" customWidth="1"/>
    <col min="3587" max="3587" width="16.6640625" style="466" customWidth="1"/>
    <col min="3588" max="3830" width="8" style="466" bestFit="1" customWidth="1"/>
    <col min="3831" max="3833" width="7.77734375" style="466"/>
    <col min="3834" max="3834" width="4.77734375" style="466" customWidth="1"/>
    <col min="3835" max="3835" width="26.109375" style="466" customWidth="1"/>
    <col min="3836" max="3836" width="11.33203125" style="466" customWidth="1"/>
    <col min="3837" max="3837" width="13.109375" style="466" customWidth="1"/>
    <col min="3838" max="3838" width="12.109375" style="466" customWidth="1"/>
    <col min="3839" max="3839" width="12.44140625" style="466" customWidth="1"/>
    <col min="3840" max="3840" width="9.21875" style="466" customWidth="1"/>
    <col min="3841" max="3841" width="11.33203125" style="466" customWidth="1"/>
    <col min="3842" max="3842" width="25.21875" style="466" customWidth="1"/>
    <col min="3843" max="3843" width="16.6640625" style="466" customWidth="1"/>
    <col min="3844" max="4086" width="8" style="466" bestFit="1" customWidth="1"/>
    <col min="4087" max="4089" width="7.77734375" style="466"/>
    <col min="4090" max="4090" width="4.77734375" style="466" customWidth="1"/>
    <col min="4091" max="4091" width="26.109375" style="466" customWidth="1"/>
    <col min="4092" max="4092" width="11.33203125" style="466" customWidth="1"/>
    <col min="4093" max="4093" width="13.109375" style="466" customWidth="1"/>
    <col min="4094" max="4094" width="12.109375" style="466" customWidth="1"/>
    <col min="4095" max="4095" width="12.44140625" style="466" customWidth="1"/>
    <col min="4096" max="4096" width="9.21875" style="466" customWidth="1"/>
    <col min="4097" max="4097" width="11.33203125" style="466" customWidth="1"/>
    <col min="4098" max="4098" width="25.21875" style="466" customWidth="1"/>
    <col min="4099" max="4099" width="16.6640625" style="466" customWidth="1"/>
    <col min="4100" max="4342" width="8" style="466" bestFit="1" customWidth="1"/>
    <col min="4343" max="4345" width="7.77734375" style="466"/>
    <col min="4346" max="4346" width="4.77734375" style="466" customWidth="1"/>
    <col min="4347" max="4347" width="26.109375" style="466" customWidth="1"/>
    <col min="4348" max="4348" width="11.33203125" style="466" customWidth="1"/>
    <col min="4349" max="4349" width="13.109375" style="466" customWidth="1"/>
    <col min="4350" max="4350" width="12.109375" style="466" customWidth="1"/>
    <col min="4351" max="4351" width="12.44140625" style="466" customWidth="1"/>
    <col min="4352" max="4352" width="9.21875" style="466" customWidth="1"/>
    <col min="4353" max="4353" width="11.33203125" style="466" customWidth="1"/>
    <col min="4354" max="4354" width="25.21875" style="466" customWidth="1"/>
    <col min="4355" max="4355" width="16.6640625" style="466" customWidth="1"/>
    <col min="4356" max="4598" width="8" style="466" bestFit="1" customWidth="1"/>
    <col min="4599" max="4601" width="7.77734375" style="466"/>
    <col min="4602" max="4602" width="4.77734375" style="466" customWidth="1"/>
    <col min="4603" max="4603" width="26.109375" style="466" customWidth="1"/>
    <col min="4604" max="4604" width="11.33203125" style="466" customWidth="1"/>
    <col min="4605" max="4605" width="13.109375" style="466" customWidth="1"/>
    <col min="4606" max="4606" width="12.109375" style="466" customWidth="1"/>
    <col min="4607" max="4607" width="12.44140625" style="466" customWidth="1"/>
    <col min="4608" max="4608" width="9.21875" style="466" customWidth="1"/>
    <col min="4609" max="4609" width="11.33203125" style="466" customWidth="1"/>
    <col min="4610" max="4610" width="25.21875" style="466" customWidth="1"/>
    <col min="4611" max="4611" width="16.6640625" style="466" customWidth="1"/>
    <col min="4612" max="4854" width="8" style="466" bestFit="1" customWidth="1"/>
    <col min="4855" max="4857" width="7.77734375" style="466"/>
    <col min="4858" max="4858" width="4.77734375" style="466" customWidth="1"/>
    <col min="4859" max="4859" width="26.109375" style="466" customWidth="1"/>
    <col min="4860" max="4860" width="11.33203125" style="466" customWidth="1"/>
    <col min="4861" max="4861" width="13.109375" style="466" customWidth="1"/>
    <col min="4862" max="4862" width="12.109375" style="466" customWidth="1"/>
    <col min="4863" max="4863" width="12.44140625" style="466" customWidth="1"/>
    <col min="4864" max="4864" width="9.21875" style="466" customWidth="1"/>
    <col min="4865" max="4865" width="11.33203125" style="466" customWidth="1"/>
    <col min="4866" max="4866" width="25.21875" style="466" customWidth="1"/>
    <col min="4867" max="4867" width="16.6640625" style="466" customWidth="1"/>
    <col min="4868" max="5110" width="8" style="466" bestFit="1" customWidth="1"/>
    <col min="5111" max="5113" width="7.77734375" style="466"/>
    <col min="5114" max="5114" width="4.77734375" style="466" customWidth="1"/>
    <col min="5115" max="5115" width="26.109375" style="466" customWidth="1"/>
    <col min="5116" max="5116" width="11.33203125" style="466" customWidth="1"/>
    <col min="5117" max="5117" width="13.109375" style="466" customWidth="1"/>
    <col min="5118" max="5118" width="12.109375" style="466" customWidth="1"/>
    <col min="5119" max="5119" width="12.44140625" style="466" customWidth="1"/>
    <col min="5120" max="5120" width="9.21875" style="466" customWidth="1"/>
    <col min="5121" max="5121" width="11.33203125" style="466" customWidth="1"/>
    <col min="5122" max="5122" width="25.21875" style="466" customWidth="1"/>
    <col min="5123" max="5123" width="16.6640625" style="466" customWidth="1"/>
    <col min="5124" max="5366" width="8" style="466" bestFit="1" customWidth="1"/>
    <col min="5367" max="5369" width="7.77734375" style="466"/>
    <col min="5370" max="5370" width="4.77734375" style="466" customWidth="1"/>
    <col min="5371" max="5371" width="26.109375" style="466" customWidth="1"/>
    <col min="5372" max="5372" width="11.33203125" style="466" customWidth="1"/>
    <col min="5373" max="5373" width="13.109375" style="466" customWidth="1"/>
    <col min="5374" max="5374" width="12.109375" style="466" customWidth="1"/>
    <col min="5375" max="5375" width="12.44140625" style="466" customWidth="1"/>
    <col min="5376" max="5376" width="9.21875" style="466" customWidth="1"/>
    <col min="5377" max="5377" width="11.33203125" style="466" customWidth="1"/>
    <col min="5378" max="5378" width="25.21875" style="466" customWidth="1"/>
    <col min="5379" max="5379" width="16.6640625" style="466" customWidth="1"/>
    <col min="5380" max="5622" width="8" style="466" bestFit="1" customWidth="1"/>
    <col min="5623" max="5625" width="7.77734375" style="466"/>
    <col min="5626" max="5626" width="4.77734375" style="466" customWidth="1"/>
    <col min="5627" max="5627" width="26.109375" style="466" customWidth="1"/>
    <col min="5628" max="5628" width="11.33203125" style="466" customWidth="1"/>
    <col min="5629" max="5629" width="13.109375" style="466" customWidth="1"/>
    <col min="5630" max="5630" width="12.109375" style="466" customWidth="1"/>
    <col min="5631" max="5631" width="12.44140625" style="466" customWidth="1"/>
    <col min="5632" max="5632" width="9.21875" style="466" customWidth="1"/>
    <col min="5633" max="5633" width="11.33203125" style="466" customWidth="1"/>
    <col min="5634" max="5634" width="25.21875" style="466" customWidth="1"/>
    <col min="5635" max="5635" width="16.6640625" style="466" customWidth="1"/>
    <col min="5636" max="5878" width="8" style="466" bestFit="1" customWidth="1"/>
    <col min="5879" max="5881" width="7.77734375" style="466"/>
    <col min="5882" max="5882" width="4.77734375" style="466" customWidth="1"/>
    <col min="5883" max="5883" width="26.109375" style="466" customWidth="1"/>
    <col min="5884" max="5884" width="11.33203125" style="466" customWidth="1"/>
    <col min="5885" max="5885" width="13.109375" style="466" customWidth="1"/>
    <col min="5886" max="5886" width="12.109375" style="466" customWidth="1"/>
    <col min="5887" max="5887" width="12.44140625" style="466" customWidth="1"/>
    <col min="5888" max="5888" width="9.21875" style="466" customWidth="1"/>
    <col min="5889" max="5889" width="11.33203125" style="466" customWidth="1"/>
    <col min="5890" max="5890" width="25.21875" style="466" customWidth="1"/>
    <col min="5891" max="5891" width="16.6640625" style="466" customWidth="1"/>
    <col min="5892" max="6134" width="8" style="466" bestFit="1" customWidth="1"/>
    <col min="6135" max="6137" width="7.77734375" style="466"/>
    <col min="6138" max="6138" width="4.77734375" style="466" customWidth="1"/>
    <col min="6139" max="6139" width="26.109375" style="466" customWidth="1"/>
    <col min="6140" max="6140" width="11.33203125" style="466" customWidth="1"/>
    <col min="6141" max="6141" width="13.109375" style="466" customWidth="1"/>
    <col min="6142" max="6142" width="12.109375" style="466" customWidth="1"/>
    <col min="6143" max="6143" width="12.44140625" style="466" customWidth="1"/>
    <col min="6144" max="6144" width="9.21875" style="466" customWidth="1"/>
    <col min="6145" max="6145" width="11.33203125" style="466" customWidth="1"/>
    <col min="6146" max="6146" width="25.21875" style="466" customWidth="1"/>
    <col min="6147" max="6147" width="16.6640625" style="466" customWidth="1"/>
    <col min="6148" max="6390" width="8" style="466" bestFit="1" customWidth="1"/>
    <col min="6391" max="6393" width="7.77734375" style="466"/>
    <col min="6394" max="6394" width="4.77734375" style="466" customWidth="1"/>
    <col min="6395" max="6395" width="26.109375" style="466" customWidth="1"/>
    <col min="6396" max="6396" width="11.33203125" style="466" customWidth="1"/>
    <col min="6397" max="6397" width="13.109375" style="466" customWidth="1"/>
    <col min="6398" max="6398" width="12.109375" style="466" customWidth="1"/>
    <col min="6399" max="6399" width="12.44140625" style="466" customWidth="1"/>
    <col min="6400" max="6400" width="9.21875" style="466" customWidth="1"/>
    <col min="6401" max="6401" width="11.33203125" style="466" customWidth="1"/>
    <col min="6402" max="6402" width="25.21875" style="466" customWidth="1"/>
    <col min="6403" max="6403" width="16.6640625" style="466" customWidth="1"/>
    <col min="6404" max="6646" width="8" style="466" bestFit="1" customWidth="1"/>
    <col min="6647" max="6649" width="7.77734375" style="466"/>
    <col min="6650" max="6650" width="4.77734375" style="466" customWidth="1"/>
    <col min="6651" max="6651" width="26.109375" style="466" customWidth="1"/>
    <col min="6652" max="6652" width="11.33203125" style="466" customWidth="1"/>
    <col min="6653" max="6653" width="13.109375" style="466" customWidth="1"/>
    <col min="6654" max="6654" width="12.109375" style="466" customWidth="1"/>
    <col min="6655" max="6655" width="12.44140625" style="466" customWidth="1"/>
    <col min="6656" max="6656" width="9.21875" style="466" customWidth="1"/>
    <col min="6657" max="6657" width="11.33203125" style="466" customWidth="1"/>
    <col min="6658" max="6658" width="25.21875" style="466" customWidth="1"/>
    <col min="6659" max="6659" width="16.6640625" style="466" customWidth="1"/>
    <col min="6660" max="6902" width="8" style="466" bestFit="1" customWidth="1"/>
    <col min="6903" max="6905" width="7.77734375" style="466"/>
    <col min="6906" max="6906" width="4.77734375" style="466" customWidth="1"/>
    <col min="6907" max="6907" width="26.109375" style="466" customWidth="1"/>
    <col min="6908" max="6908" width="11.33203125" style="466" customWidth="1"/>
    <col min="6909" max="6909" width="13.109375" style="466" customWidth="1"/>
    <col min="6910" max="6910" width="12.109375" style="466" customWidth="1"/>
    <col min="6911" max="6911" width="12.44140625" style="466" customWidth="1"/>
    <col min="6912" max="6912" width="9.21875" style="466" customWidth="1"/>
    <col min="6913" max="6913" width="11.33203125" style="466" customWidth="1"/>
    <col min="6914" max="6914" width="25.21875" style="466" customWidth="1"/>
    <col min="6915" max="6915" width="16.6640625" style="466" customWidth="1"/>
    <col min="6916" max="7158" width="8" style="466" bestFit="1" customWidth="1"/>
    <col min="7159" max="7161" width="7.77734375" style="466"/>
    <col min="7162" max="7162" width="4.77734375" style="466" customWidth="1"/>
    <col min="7163" max="7163" width="26.109375" style="466" customWidth="1"/>
    <col min="7164" max="7164" width="11.33203125" style="466" customWidth="1"/>
    <col min="7165" max="7165" width="13.109375" style="466" customWidth="1"/>
    <col min="7166" max="7166" width="12.109375" style="466" customWidth="1"/>
    <col min="7167" max="7167" width="12.44140625" style="466" customWidth="1"/>
    <col min="7168" max="7168" width="9.21875" style="466" customWidth="1"/>
    <col min="7169" max="7169" width="11.33203125" style="466" customWidth="1"/>
    <col min="7170" max="7170" width="25.21875" style="466" customWidth="1"/>
    <col min="7171" max="7171" width="16.6640625" style="466" customWidth="1"/>
    <col min="7172" max="7414" width="8" style="466" bestFit="1" customWidth="1"/>
    <col min="7415" max="7417" width="7.77734375" style="466"/>
    <col min="7418" max="7418" width="4.77734375" style="466" customWidth="1"/>
    <col min="7419" max="7419" width="26.109375" style="466" customWidth="1"/>
    <col min="7420" max="7420" width="11.33203125" style="466" customWidth="1"/>
    <col min="7421" max="7421" width="13.109375" style="466" customWidth="1"/>
    <col min="7422" max="7422" width="12.109375" style="466" customWidth="1"/>
    <col min="7423" max="7423" width="12.44140625" style="466" customWidth="1"/>
    <col min="7424" max="7424" width="9.21875" style="466" customWidth="1"/>
    <col min="7425" max="7425" width="11.33203125" style="466" customWidth="1"/>
    <col min="7426" max="7426" width="25.21875" style="466" customWidth="1"/>
    <col min="7427" max="7427" width="16.6640625" style="466" customWidth="1"/>
    <col min="7428" max="7670" width="8" style="466" bestFit="1" customWidth="1"/>
    <col min="7671" max="7673" width="7.77734375" style="466"/>
    <col min="7674" max="7674" width="4.77734375" style="466" customWidth="1"/>
    <col min="7675" max="7675" width="26.109375" style="466" customWidth="1"/>
    <col min="7676" max="7676" width="11.33203125" style="466" customWidth="1"/>
    <col min="7677" max="7677" width="13.109375" style="466" customWidth="1"/>
    <col min="7678" max="7678" width="12.109375" style="466" customWidth="1"/>
    <col min="7679" max="7679" width="12.44140625" style="466" customWidth="1"/>
    <col min="7680" max="7680" width="9.21875" style="466" customWidth="1"/>
    <col min="7681" max="7681" width="11.33203125" style="466" customWidth="1"/>
    <col min="7682" max="7682" width="25.21875" style="466" customWidth="1"/>
    <col min="7683" max="7683" width="16.6640625" style="466" customWidth="1"/>
    <col min="7684" max="7926" width="8" style="466" bestFit="1" customWidth="1"/>
    <col min="7927" max="7929" width="7.77734375" style="466"/>
    <col min="7930" max="7930" width="4.77734375" style="466" customWidth="1"/>
    <col min="7931" max="7931" width="26.109375" style="466" customWidth="1"/>
    <col min="7932" max="7932" width="11.33203125" style="466" customWidth="1"/>
    <col min="7933" max="7933" width="13.109375" style="466" customWidth="1"/>
    <col min="7934" max="7934" width="12.109375" style="466" customWidth="1"/>
    <col min="7935" max="7935" width="12.44140625" style="466" customWidth="1"/>
    <col min="7936" max="7936" width="9.21875" style="466" customWidth="1"/>
    <col min="7937" max="7937" width="11.33203125" style="466" customWidth="1"/>
    <col min="7938" max="7938" width="25.21875" style="466" customWidth="1"/>
    <col min="7939" max="7939" width="16.6640625" style="466" customWidth="1"/>
    <col min="7940" max="8182" width="8" style="466" bestFit="1" customWidth="1"/>
    <col min="8183" max="8185" width="7.77734375" style="466"/>
    <col min="8186" max="8186" width="4.77734375" style="466" customWidth="1"/>
    <col min="8187" max="8187" width="26.109375" style="466" customWidth="1"/>
    <col min="8188" max="8188" width="11.33203125" style="466" customWidth="1"/>
    <col min="8189" max="8189" width="13.109375" style="466" customWidth="1"/>
    <col min="8190" max="8190" width="12.109375" style="466" customWidth="1"/>
    <col min="8191" max="8191" width="12.44140625" style="466" customWidth="1"/>
    <col min="8192" max="8192" width="9.21875" style="466" customWidth="1"/>
    <col min="8193" max="8193" width="11.33203125" style="466" customWidth="1"/>
    <col min="8194" max="8194" width="25.21875" style="466" customWidth="1"/>
    <col min="8195" max="8195" width="16.6640625" style="466" customWidth="1"/>
    <col min="8196" max="8438" width="8" style="466" bestFit="1" customWidth="1"/>
    <col min="8439" max="8441" width="7.77734375" style="466"/>
    <col min="8442" max="8442" width="4.77734375" style="466" customWidth="1"/>
    <col min="8443" max="8443" width="26.109375" style="466" customWidth="1"/>
    <col min="8444" max="8444" width="11.33203125" style="466" customWidth="1"/>
    <col min="8445" max="8445" width="13.109375" style="466" customWidth="1"/>
    <col min="8446" max="8446" width="12.109375" style="466" customWidth="1"/>
    <col min="8447" max="8447" width="12.44140625" style="466" customWidth="1"/>
    <col min="8448" max="8448" width="9.21875" style="466" customWidth="1"/>
    <col min="8449" max="8449" width="11.33203125" style="466" customWidth="1"/>
    <col min="8450" max="8450" width="25.21875" style="466" customWidth="1"/>
    <col min="8451" max="8451" width="16.6640625" style="466" customWidth="1"/>
    <col min="8452" max="8694" width="8" style="466" bestFit="1" customWidth="1"/>
    <col min="8695" max="8697" width="7.77734375" style="466"/>
    <col min="8698" max="8698" width="4.77734375" style="466" customWidth="1"/>
    <col min="8699" max="8699" width="26.109375" style="466" customWidth="1"/>
    <col min="8700" max="8700" width="11.33203125" style="466" customWidth="1"/>
    <col min="8701" max="8701" width="13.109375" style="466" customWidth="1"/>
    <col min="8702" max="8702" width="12.109375" style="466" customWidth="1"/>
    <col min="8703" max="8703" width="12.44140625" style="466" customWidth="1"/>
    <col min="8704" max="8704" width="9.21875" style="466" customWidth="1"/>
    <col min="8705" max="8705" width="11.33203125" style="466" customWidth="1"/>
    <col min="8706" max="8706" width="25.21875" style="466" customWidth="1"/>
    <col min="8707" max="8707" width="16.6640625" style="466" customWidth="1"/>
    <col min="8708" max="8950" width="8" style="466" bestFit="1" customWidth="1"/>
    <col min="8951" max="8953" width="7.77734375" style="466"/>
    <col min="8954" max="8954" width="4.77734375" style="466" customWidth="1"/>
    <col min="8955" max="8955" width="26.109375" style="466" customWidth="1"/>
    <col min="8956" max="8956" width="11.33203125" style="466" customWidth="1"/>
    <col min="8957" max="8957" width="13.109375" style="466" customWidth="1"/>
    <col min="8958" max="8958" width="12.109375" style="466" customWidth="1"/>
    <col min="8959" max="8959" width="12.44140625" style="466" customWidth="1"/>
    <col min="8960" max="8960" width="9.21875" style="466" customWidth="1"/>
    <col min="8961" max="8961" width="11.33203125" style="466" customWidth="1"/>
    <col min="8962" max="8962" width="25.21875" style="466" customWidth="1"/>
    <col min="8963" max="8963" width="16.6640625" style="466" customWidth="1"/>
    <col min="8964" max="9206" width="8" style="466" bestFit="1" customWidth="1"/>
    <col min="9207" max="9209" width="7.77734375" style="466"/>
    <col min="9210" max="9210" width="4.77734375" style="466" customWidth="1"/>
    <col min="9211" max="9211" width="26.109375" style="466" customWidth="1"/>
    <col min="9212" max="9212" width="11.33203125" style="466" customWidth="1"/>
    <col min="9213" max="9213" width="13.109375" style="466" customWidth="1"/>
    <col min="9214" max="9214" width="12.109375" style="466" customWidth="1"/>
    <col min="9215" max="9215" width="12.44140625" style="466" customWidth="1"/>
    <col min="9216" max="9216" width="9.21875" style="466" customWidth="1"/>
    <col min="9217" max="9217" width="11.33203125" style="466" customWidth="1"/>
    <col min="9218" max="9218" width="25.21875" style="466" customWidth="1"/>
    <col min="9219" max="9219" width="16.6640625" style="466" customWidth="1"/>
    <col min="9220" max="9462" width="8" style="466" bestFit="1" customWidth="1"/>
    <col min="9463" max="9465" width="7.77734375" style="466"/>
    <col min="9466" max="9466" width="4.77734375" style="466" customWidth="1"/>
    <col min="9467" max="9467" width="26.109375" style="466" customWidth="1"/>
    <col min="9468" max="9468" width="11.33203125" style="466" customWidth="1"/>
    <col min="9469" max="9469" width="13.109375" style="466" customWidth="1"/>
    <col min="9470" max="9470" width="12.109375" style="466" customWidth="1"/>
    <col min="9471" max="9471" width="12.44140625" style="466" customWidth="1"/>
    <col min="9472" max="9472" width="9.21875" style="466" customWidth="1"/>
    <col min="9473" max="9473" width="11.33203125" style="466" customWidth="1"/>
    <col min="9474" max="9474" width="25.21875" style="466" customWidth="1"/>
    <col min="9475" max="9475" width="16.6640625" style="466" customWidth="1"/>
    <col min="9476" max="9718" width="8" style="466" bestFit="1" customWidth="1"/>
    <col min="9719" max="9721" width="7.77734375" style="466"/>
    <col min="9722" max="9722" width="4.77734375" style="466" customWidth="1"/>
    <col min="9723" max="9723" width="26.109375" style="466" customWidth="1"/>
    <col min="9724" max="9724" width="11.33203125" style="466" customWidth="1"/>
    <col min="9725" max="9725" width="13.109375" style="466" customWidth="1"/>
    <col min="9726" max="9726" width="12.109375" style="466" customWidth="1"/>
    <col min="9727" max="9727" width="12.44140625" style="466" customWidth="1"/>
    <col min="9728" max="9728" width="9.21875" style="466" customWidth="1"/>
    <col min="9729" max="9729" width="11.33203125" style="466" customWidth="1"/>
    <col min="9730" max="9730" width="25.21875" style="466" customWidth="1"/>
    <col min="9731" max="9731" width="16.6640625" style="466" customWidth="1"/>
    <col min="9732" max="9974" width="8" style="466" bestFit="1" customWidth="1"/>
    <col min="9975" max="9977" width="7.77734375" style="466"/>
    <col min="9978" max="9978" width="4.77734375" style="466" customWidth="1"/>
    <col min="9979" max="9979" width="26.109375" style="466" customWidth="1"/>
    <col min="9980" max="9980" width="11.33203125" style="466" customWidth="1"/>
    <col min="9981" max="9981" width="13.109375" style="466" customWidth="1"/>
    <col min="9982" max="9982" width="12.109375" style="466" customWidth="1"/>
    <col min="9983" max="9983" width="12.44140625" style="466" customWidth="1"/>
    <col min="9984" max="9984" width="9.21875" style="466" customWidth="1"/>
    <col min="9985" max="9985" width="11.33203125" style="466" customWidth="1"/>
    <col min="9986" max="9986" width="25.21875" style="466" customWidth="1"/>
    <col min="9987" max="9987" width="16.6640625" style="466" customWidth="1"/>
    <col min="9988" max="10230" width="8" style="466" bestFit="1" customWidth="1"/>
    <col min="10231" max="10233" width="7.77734375" style="466"/>
    <col min="10234" max="10234" width="4.77734375" style="466" customWidth="1"/>
    <col min="10235" max="10235" width="26.109375" style="466" customWidth="1"/>
    <col min="10236" max="10236" width="11.33203125" style="466" customWidth="1"/>
    <col min="10237" max="10237" width="13.109375" style="466" customWidth="1"/>
    <col min="10238" max="10238" width="12.109375" style="466" customWidth="1"/>
    <col min="10239" max="10239" width="12.44140625" style="466" customWidth="1"/>
    <col min="10240" max="10240" width="9.21875" style="466" customWidth="1"/>
    <col min="10241" max="10241" width="11.33203125" style="466" customWidth="1"/>
    <col min="10242" max="10242" width="25.21875" style="466" customWidth="1"/>
    <col min="10243" max="10243" width="16.6640625" style="466" customWidth="1"/>
    <col min="10244" max="10486" width="8" style="466" bestFit="1" customWidth="1"/>
    <col min="10487" max="10489" width="7.77734375" style="466"/>
    <col min="10490" max="10490" width="4.77734375" style="466" customWidth="1"/>
    <col min="10491" max="10491" width="26.109375" style="466" customWidth="1"/>
    <col min="10492" max="10492" width="11.33203125" style="466" customWidth="1"/>
    <col min="10493" max="10493" width="13.109375" style="466" customWidth="1"/>
    <col min="10494" max="10494" width="12.109375" style="466" customWidth="1"/>
    <col min="10495" max="10495" width="12.44140625" style="466" customWidth="1"/>
    <col min="10496" max="10496" width="9.21875" style="466" customWidth="1"/>
    <col min="10497" max="10497" width="11.33203125" style="466" customWidth="1"/>
    <col min="10498" max="10498" width="25.21875" style="466" customWidth="1"/>
    <col min="10499" max="10499" width="16.6640625" style="466" customWidth="1"/>
    <col min="10500" max="10742" width="8" style="466" bestFit="1" customWidth="1"/>
    <col min="10743" max="10745" width="7.77734375" style="466"/>
    <col min="10746" max="10746" width="4.77734375" style="466" customWidth="1"/>
    <col min="10747" max="10747" width="26.109375" style="466" customWidth="1"/>
    <col min="10748" max="10748" width="11.33203125" style="466" customWidth="1"/>
    <col min="10749" max="10749" width="13.109375" style="466" customWidth="1"/>
    <col min="10750" max="10750" width="12.109375" style="466" customWidth="1"/>
    <col min="10751" max="10751" width="12.44140625" style="466" customWidth="1"/>
    <col min="10752" max="10752" width="9.21875" style="466" customWidth="1"/>
    <col min="10753" max="10753" width="11.33203125" style="466" customWidth="1"/>
    <col min="10754" max="10754" width="25.21875" style="466" customWidth="1"/>
    <col min="10755" max="10755" width="16.6640625" style="466" customWidth="1"/>
    <col min="10756" max="10998" width="8" style="466" bestFit="1" customWidth="1"/>
    <col min="10999" max="11001" width="7.77734375" style="466"/>
    <col min="11002" max="11002" width="4.77734375" style="466" customWidth="1"/>
    <col min="11003" max="11003" width="26.109375" style="466" customWidth="1"/>
    <col min="11004" max="11004" width="11.33203125" style="466" customWidth="1"/>
    <col min="11005" max="11005" width="13.109375" style="466" customWidth="1"/>
    <col min="11006" max="11006" width="12.109375" style="466" customWidth="1"/>
    <col min="11007" max="11007" width="12.44140625" style="466" customWidth="1"/>
    <col min="11008" max="11008" width="9.21875" style="466" customWidth="1"/>
    <col min="11009" max="11009" width="11.33203125" style="466" customWidth="1"/>
    <col min="11010" max="11010" width="25.21875" style="466" customWidth="1"/>
    <col min="11011" max="11011" width="16.6640625" style="466" customWidth="1"/>
    <col min="11012" max="11254" width="8" style="466" bestFit="1" customWidth="1"/>
    <col min="11255" max="11257" width="7.77734375" style="466"/>
    <col min="11258" max="11258" width="4.77734375" style="466" customWidth="1"/>
    <col min="11259" max="11259" width="26.109375" style="466" customWidth="1"/>
    <col min="11260" max="11260" width="11.33203125" style="466" customWidth="1"/>
    <col min="11261" max="11261" width="13.109375" style="466" customWidth="1"/>
    <col min="11262" max="11262" width="12.109375" style="466" customWidth="1"/>
    <col min="11263" max="11263" width="12.44140625" style="466" customWidth="1"/>
    <col min="11264" max="11264" width="9.21875" style="466" customWidth="1"/>
    <col min="11265" max="11265" width="11.33203125" style="466" customWidth="1"/>
    <col min="11266" max="11266" width="25.21875" style="466" customWidth="1"/>
    <col min="11267" max="11267" width="16.6640625" style="466" customWidth="1"/>
    <col min="11268" max="11510" width="8" style="466" bestFit="1" customWidth="1"/>
    <col min="11511" max="11513" width="7.77734375" style="466"/>
    <col min="11514" max="11514" width="4.77734375" style="466" customWidth="1"/>
    <col min="11515" max="11515" width="26.109375" style="466" customWidth="1"/>
    <col min="11516" max="11516" width="11.33203125" style="466" customWidth="1"/>
    <col min="11517" max="11517" width="13.109375" style="466" customWidth="1"/>
    <col min="11518" max="11518" width="12.109375" style="466" customWidth="1"/>
    <col min="11519" max="11519" width="12.44140625" style="466" customWidth="1"/>
    <col min="11520" max="11520" width="9.21875" style="466" customWidth="1"/>
    <col min="11521" max="11521" width="11.33203125" style="466" customWidth="1"/>
    <col min="11522" max="11522" width="25.21875" style="466" customWidth="1"/>
    <col min="11523" max="11523" width="16.6640625" style="466" customWidth="1"/>
    <col min="11524" max="11766" width="8" style="466" bestFit="1" customWidth="1"/>
    <col min="11767" max="11769" width="7.77734375" style="466"/>
    <col min="11770" max="11770" width="4.77734375" style="466" customWidth="1"/>
    <col min="11771" max="11771" width="26.109375" style="466" customWidth="1"/>
    <col min="11772" max="11772" width="11.33203125" style="466" customWidth="1"/>
    <col min="11773" max="11773" width="13.109375" style="466" customWidth="1"/>
    <col min="11774" max="11774" width="12.109375" style="466" customWidth="1"/>
    <col min="11775" max="11775" width="12.44140625" style="466" customWidth="1"/>
    <col min="11776" max="11776" width="9.21875" style="466" customWidth="1"/>
    <col min="11777" max="11777" width="11.33203125" style="466" customWidth="1"/>
    <col min="11778" max="11778" width="25.21875" style="466" customWidth="1"/>
    <col min="11779" max="11779" width="16.6640625" style="466" customWidth="1"/>
    <col min="11780" max="12022" width="8" style="466" bestFit="1" customWidth="1"/>
    <col min="12023" max="12025" width="7.77734375" style="466"/>
    <col min="12026" max="12026" width="4.77734375" style="466" customWidth="1"/>
    <col min="12027" max="12027" width="26.109375" style="466" customWidth="1"/>
    <col min="12028" max="12028" width="11.33203125" style="466" customWidth="1"/>
    <col min="12029" max="12029" width="13.109375" style="466" customWidth="1"/>
    <col min="12030" max="12030" width="12.109375" style="466" customWidth="1"/>
    <col min="12031" max="12031" width="12.44140625" style="466" customWidth="1"/>
    <col min="12032" max="12032" width="9.21875" style="466" customWidth="1"/>
    <col min="12033" max="12033" width="11.33203125" style="466" customWidth="1"/>
    <col min="12034" max="12034" width="25.21875" style="466" customWidth="1"/>
    <col min="12035" max="12035" width="16.6640625" style="466" customWidth="1"/>
    <col min="12036" max="12278" width="8" style="466" bestFit="1" customWidth="1"/>
    <col min="12279" max="12281" width="7.77734375" style="466"/>
    <col min="12282" max="12282" width="4.77734375" style="466" customWidth="1"/>
    <col min="12283" max="12283" width="26.109375" style="466" customWidth="1"/>
    <col min="12284" max="12284" width="11.33203125" style="466" customWidth="1"/>
    <col min="12285" max="12285" width="13.109375" style="466" customWidth="1"/>
    <col min="12286" max="12286" width="12.109375" style="466" customWidth="1"/>
    <col min="12287" max="12287" width="12.44140625" style="466" customWidth="1"/>
    <col min="12288" max="12288" width="9.21875" style="466" customWidth="1"/>
    <col min="12289" max="12289" width="11.33203125" style="466" customWidth="1"/>
    <col min="12290" max="12290" width="25.21875" style="466" customWidth="1"/>
    <col min="12291" max="12291" width="16.6640625" style="466" customWidth="1"/>
    <col min="12292" max="12534" width="8" style="466" bestFit="1" customWidth="1"/>
    <col min="12535" max="12537" width="7.77734375" style="466"/>
    <col min="12538" max="12538" width="4.77734375" style="466" customWidth="1"/>
    <col min="12539" max="12539" width="26.109375" style="466" customWidth="1"/>
    <col min="12540" max="12540" width="11.33203125" style="466" customWidth="1"/>
    <col min="12541" max="12541" width="13.109375" style="466" customWidth="1"/>
    <col min="12542" max="12542" width="12.109375" style="466" customWidth="1"/>
    <col min="12543" max="12543" width="12.44140625" style="466" customWidth="1"/>
    <col min="12544" max="12544" width="9.21875" style="466" customWidth="1"/>
    <col min="12545" max="12545" width="11.33203125" style="466" customWidth="1"/>
    <col min="12546" max="12546" width="25.21875" style="466" customWidth="1"/>
    <col min="12547" max="12547" width="16.6640625" style="466" customWidth="1"/>
    <col min="12548" max="12790" width="8" style="466" bestFit="1" customWidth="1"/>
    <col min="12791" max="12793" width="7.77734375" style="466"/>
    <col min="12794" max="12794" width="4.77734375" style="466" customWidth="1"/>
    <col min="12795" max="12795" width="26.109375" style="466" customWidth="1"/>
    <col min="12796" max="12796" width="11.33203125" style="466" customWidth="1"/>
    <col min="12797" max="12797" width="13.109375" style="466" customWidth="1"/>
    <col min="12798" max="12798" width="12.109375" style="466" customWidth="1"/>
    <col min="12799" max="12799" width="12.44140625" style="466" customWidth="1"/>
    <col min="12800" max="12800" width="9.21875" style="466" customWidth="1"/>
    <col min="12801" max="12801" width="11.33203125" style="466" customWidth="1"/>
    <col min="12802" max="12802" width="25.21875" style="466" customWidth="1"/>
    <col min="12803" max="12803" width="16.6640625" style="466" customWidth="1"/>
    <col min="12804" max="13046" width="8" style="466" bestFit="1" customWidth="1"/>
    <col min="13047" max="13049" width="7.77734375" style="466"/>
    <col min="13050" max="13050" width="4.77734375" style="466" customWidth="1"/>
    <col min="13051" max="13051" width="26.109375" style="466" customWidth="1"/>
    <col min="13052" max="13052" width="11.33203125" style="466" customWidth="1"/>
    <col min="13053" max="13053" width="13.109375" style="466" customWidth="1"/>
    <col min="13054" max="13054" width="12.109375" style="466" customWidth="1"/>
    <col min="13055" max="13055" width="12.44140625" style="466" customWidth="1"/>
    <col min="13056" max="13056" width="9.21875" style="466" customWidth="1"/>
    <col min="13057" max="13057" width="11.33203125" style="466" customWidth="1"/>
    <col min="13058" max="13058" width="25.21875" style="466" customWidth="1"/>
    <col min="13059" max="13059" width="16.6640625" style="466" customWidth="1"/>
    <col min="13060" max="13302" width="8" style="466" bestFit="1" customWidth="1"/>
    <col min="13303" max="13305" width="7.77734375" style="466"/>
    <col min="13306" max="13306" width="4.77734375" style="466" customWidth="1"/>
    <col min="13307" max="13307" width="26.109375" style="466" customWidth="1"/>
    <col min="13308" max="13308" width="11.33203125" style="466" customWidth="1"/>
    <col min="13309" max="13309" width="13.109375" style="466" customWidth="1"/>
    <col min="13310" max="13310" width="12.109375" style="466" customWidth="1"/>
    <col min="13311" max="13311" width="12.44140625" style="466" customWidth="1"/>
    <col min="13312" max="13312" width="9.21875" style="466" customWidth="1"/>
    <col min="13313" max="13313" width="11.33203125" style="466" customWidth="1"/>
    <col min="13314" max="13314" width="25.21875" style="466" customWidth="1"/>
    <col min="13315" max="13315" width="16.6640625" style="466" customWidth="1"/>
    <col min="13316" max="13558" width="8" style="466" bestFit="1" customWidth="1"/>
    <col min="13559" max="13561" width="7.77734375" style="466"/>
    <col min="13562" max="13562" width="4.77734375" style="466" customWidth="1"/>
    <col min="13563" max="13563" width="26.109375" style="466" customWidth="1"/>
    <col min="13564" max="13564" width="11.33203125" style="466" customWidth="1"/>
    <col min="13565" max="13565" width="13.109375" style="466" customWidth="1"/>
    <col min="13566" max="13566" width="12.109375" style="466" customWidth="1"/>
    <col min="13567" max="13567" width="12.44140625" style="466" customWidth="1"/>
    <col min="13568" max="13568" width="9.21875" style="466" customWidth="1"/>
    <col min="13569" max="13569" width="11.33203125" style="466" customWidth="1"/>
    <col min="13570" max="13570" width="25.21875" style="466" customWidth="1"/>
    <col min="13571" max="13571" width="16.6640625" style="466" customWidth="1"/>
    <col min="13572" max="13814" width="8" style="466" bestFit="1" customWidth="1"/>
    <col min="13815" max="13817" width="7.77734375" style="466"/>
    <col min="13818" max="13818" width="4.77734375" style="466" customWidth="1"/>
    <col min="13819" max="13819" width="26.109375" style="466" customWidth="1"/>
    <col min="13820" max="13820" width="11.33203125" style="466" customWidth="1"/>
    <col min="13821" max="13821" width="13.109375" style="466" customWidth="1"/>
    <col min="13822" max="13822" width="12.109375" style="466" customWidth="1"/>
    <col min="13823" max="13823" width="12.44140625" style="466" customWidth="1"/>
    <col min="13824" max="13824" width="9.21875" style="466" customWidth="1"/>
    <col min="13825" max="13825" width="11.33203125" style="466" customWidth="1"/>
    <col min="13826" max="13826" width="25.21875" style="466" customWidth="1"/>
    <col min="13827" max="13827" width="16.6640625" style="466" customWidth="1"/>
    <col min="13828" max="14070" width="8" style="466" bestFit="1" customWidth="1"/>
    <col min="14071" max="14073" width="7.77734375" style="466"/>
    <col min="14074" max="14074" width="4.77734375" style="466" customWidth="1"/>
    <col min="14075" max="14075" width="26.109375" style="466" customWidth="1"/>
    <col min="14076" max="14076" width="11.33203125" style="466" customWidth="1"/>
    <col min="14077" max="14077" width="13.109375" style="466" customWidth="1"/>
    <col min="14078" max="14078" width="12.109375" style="466" customWidth="1"/>
    <col min="14079" max="14079" width="12.44140625" style="466" customWidth="1"/>
    <col min="14080" max="14080" width="9.21875" style="466" customWidth="1"/>
    <col min="14081" max="14081" width="11.33203125" style="466" customWidth="1"/>
    <col min="14082" max="14082" width="25.21875" style="466" customWidth="1"/>
    <col min="14083" max="14083" width="16.6640625" style="466" customWidth="1"/>
    <col min="14084" max="14326" width="8" style="466" bestFit="1" customWidth="1"/>
    <col min="14327" max="14329" width="7.77734375" style="466"/>
    <col min="14330" max="14330" width="4.77734375" style="466" customWidth="1"/>
    <col min="14331" max="14331" width="26.109375" style="466" customWidth="1"/>
    <col min="14332" max="14332" width="11.33203125" style="466" customWidth="1"/>
    <col min="14333" max="14333" width="13.109375" style="466" customWidth="1"/>
    <col min="14334" max="14334" width="12.109375" style="466" customWidth="1"/>
    <col min="14335" max="14335" width="12.44140625" style="466" customWidth="1"/>
    <col min="14336" max="14336" width="9.21875" style="466" customWidth="1"/>
    <col min="14337" max="14337" width="11.33203125" style="466" customWidth="1"/>
    <col min="14338" max="14338" width="25.21875" style="466" customWidth="1"/>
    <col min="14339" max="14339" width="16.6640625" style="466" customWidth="1"/>
    <col min="14340" max="14582" width="8" style="466" bestFit="1" customWidth="1"/>
    <col min="14583" max="14585" width="7.77734375" style="466"/>
    <col min="14586" max="14586" width="4.77734375" style="466" customWidth="1"/>
    <col min="14587" max="14587" width="26.109375" style="466" customWidth="1"/>
    <col min="14588" max="14588" width="11.33203125" style="466" customWidth="1"/>
    <col min="14589" max="14589" width="13.109375" style="466" customWidth="1"/>
    <col min="14590" max="14590" width="12.109375" style="466" customWidth="1"/>
    <col min="14591" max="14591" width="12.44140625" style="466" customWidth="1"/>
    <col min="14592" max="14592" width="9.21875" style="466" customWidth="1"/>
    <col min="14593" max="14593" width="11.33203125" style="466" customWidth="1"/>
    <col min="14594" max="14594" width="25.21875" style="466" customWidth="1"/>
    <col min="14595" max="14595" width="16.6640625" style="466" customWidth="1"/>
    <col min="14596" max="14838" width="8" style="466" bestFit="1" customWidth="1"/>
    <col min="14839" max="14841" width="7.77734375" style="466"/>
    <col min="14842" max="14842" width="4.77734375" style="466" customWidth="1"/>
    <col min="14843" max="14843" width="26.109375" style="466" customWidth="1"/>
    <col min="14844" max="14844" width="11.33203125" style="466" customWidth="1"/>
    <col min="14845" max="14845" width="13.109375" style="466" customWidth="1"/>
    <col min="14846" max="14846" width="12.109375" style="466" customWidth="1"/>
    <col min="14847" max="14847" width="12.44140625" style="466" customWidth="1"/>
    <col min="14848" max="14848" width="9.21875" style="466" customWidth="1"/>
    <col min="14849" max="14849" width="11.33203125" style="466" customWidth="1"/>
    <col min="14850" max="14850" width="25.21875" style="466" customWidth="1"/>
    <col min="14851" max="14851" width="16.6640625" style="466" customWidth="1"/>
    <col min="14852" max="15094" width="8" style="466" bestFit="1" customWidth="1"/>
    <col min="15095" max="15097" width="7.77734375" style="466"/>
    <col min="15098" max="15098" width="4.77734375" style="466" customWidth="1"/>
    <col min="15099" max="15099" width="26.109375" style="466" customWidth="1"/>
    <col min="15100" max="15100" width="11.33203125" style="466" customWidth="1"/>
    <col min="15101" max="15101" width="13.109375" style="466" customWidth="1"/>
    <col min="15102" max="15102" width="12.109375" style="466" customWidth="1"/>
    <col min="15103" max="15103" width="12.44140625" style="466" customWidth="1"/>
    <col min="15104" max="15104" width="9.21875" style="466" customWidth="1"/>
    <col min="15105" max="15105" width="11.33203125" style="466" customWidth="1"/>
    <col min="15106" max="15106" width="25.21875" style="466" customWidth="1"/>
    <col min="15107" max="15107" width="16.6640625" style="466" customWidth="1"/>
    <col min="15108" max="15350" width="8" style="466" bestFit="1" customWidth="1"/>
    <col min="15351" max="15353" width="7.77734375" style="466"/>
    <col min="15354" max="15354" width="4.77734375" style="466" customWidth="1"/>
    <col min="15355" max="15355" width="26.109375" style="466" customWidth="1"/>
    <col min="15356" max="15356" width="11.33203125" style="466" customWidth="1"/>
    <col min="15357" max="15357" width="13.109375" style="466" customWidth="1"/>
    <col min="15358" max="15358" width="12.109375" style="466" customWidth="1"/>
    <col min="15359" max="15359" width="12.44140625" style="466" customWidth="1"/>
    <col min="15360" max="15360" width="9.21875" style="466" customWidth="1"/>
    <col min="15361" max="15361" width="11.33203125" style="466" customWidth="1"/>
    <col min="15362" max="15362" width="25.21875" style="466" customWidth="1"/>
    <col min="15363" max="15363" width="16.6640625" style="466" customWidth="1"/>
    <col min="15364" max="15606" width="8" style="466" bestFit="1" customWidth="1"/>
    <col min="15607" max="15609" width="7.77734375" style="466"/>
    <col min="15610" max="15610" width="4.77734375" style="466" customWidth="1"/>
    <col min="15611" max="15611" width="26.109375" style="466" customWidth="1"/>
    <col min="15612" max="15612" width="11.33203125" style="466" customWidth="1"/>
    <col min="15613" max="15613" width="13.109375" style="466" customWidth="1"/>
    <col min="15614" max="15614" width="12.109375" style="466" customWidth="1"/>
    <col min="15615" max="15615" width="12.44140625" style="466" customWidth="1"/>
    <col min="15616" max="15616" width="9.21875" style="466" customWidth="1"/>
    <col min="15617" max="15617" width="11.33203125" style="466" customWidth="1"/>
    <col min="15618" max="15618" width="25.21875" style="466" customWidth="1"/>
    <col min="15619" max="15619" width="16.6640625" style="466" customWidth="1"/>
    <col min="15620" max="15862" width="8" style="466" bestFit="1" customWidth="1"/>
    <col min="15863" max="15865" width="7.77734375" style="466"/>
    <col min="15866" max="15866" width="4.77734375" style="466" customWidth="1"/>
    <col min="15867" max="15867" width="26.109375" style="466" customWidth="1"/>
    <col min="15868" max="15868" width="11.33203125" style="466" customWidth="1"/>
    <col min="15869" max="15869" width="13.109375" style="466" customWidth="1"/>
    <col min="15870" max="15870" width="12.109375" style="466" customWidth="1"/>
    <col min="15871" max="15871" width="12.44140625" style="466" customWidth="1"/>
    <col min="15872" max="15872" width="9.21875" style="466" customWidth="1"/>
    <col min="15873" max="15873" width="11.33203125" style="466" customWidth="1"/>
    <col min="15874" max="15874" width="25.21875" style="466" customWidth="1"/>
    <col min="15875" max="15875" width="16.6640625" style="466" customWidth="1"/>
    <col min="15876" max="16118" width="8" style="466" bestFit="1" customWidth="1"/>
    <col min="16119" max="16121" width="7.77734375" style="466"/>
    <col min="16122" max="16122" width="4.77734375" style="466" customWidth="1"/>
    <col min="16123" max="16123" width="26.109375" style="466" customWidth="1"/>
    <col min="16124" max="16124" width="11.33203125" style="466" customWidth="1"/>
    <col min="16125" max="16125" width="13.109375" style="466" customWidth="1"/>
    <col min="16126" max="16126" width="12.109375" style="466" customWidth="1"/>
    <col min="16127" max="16127" width="12.44140625" style="466" customWidth="1"/>
    <col min="16128" max="16128" width="9.21875" style="466" customWidth="1"/>
    <col min="16129" max="16129" width="11.33203125" style="466" customWidth="1"/>
    <col min="16130" max="16130" width="25.21875" style="466" customWidth="1"/>
    <col min="16131" max="16131" width="16.6640625" style="466" customWidth="1"/>
    <col min="16132" max="16374" width="8" style="466" bestFit="1" customWidth="1"/>
    <col min="16375" max="16384" width="8" style="466" customWidth="1"/>
  </cols>
  <sheetData>
    <row r="1" spans="1:6" ht="15.6">
      <c r="F1" s="467" t="s">
        <v>858</v>
      </c>
    </row>
    <row r="2" spans="1:6" ht="37.5" customHeight="1">
      <c r="A2" s="525" t="s">
        <v>871</v>
      </c>
      <c r="B2" s="525"/>
      <c r="C2" s="525"/>
      <c r="D2" s="525"/>
      <c r="E2" s="525"/>
      <c r="F2" s="525"/>
    </row>
    <row r="3" spans="1:6" ht="18.75" customHeight="1">
      <c r="A3" s="569" t="str">
        <f>+'01-Cân đôi'!A3:D3</f>
        <v>(Kèm theo Nghị quyết số         /NQ-HĐND ngày     tháng 9 năm 2025 của HĐND xã Quang Sơn)</v>
      </c>
      <c r="B3" s="569"/>
      <c r="C3" s="569"/>
      <c r="D3" s="569"/>
      <c r="E3" s="569"/>
      <c r="F3" s="569"/>
    </row>
    <row r="4" spans="1:6" ht="14.25" customHeight="1">
      <c r="A4" s="503"/>
      <c r="B4" s="468"/>
      <c r="C4" s="468"/>
      <c r="D4" s="468"/>
      <c r="E4" s="468"/>
      <c r="F4" s="469" t="s">
        <v>911</v>
      </c>
    </row>
    <row r="5" spans="1:6" ht="16.5" customHeight="1">
      <c r="A5" s="576" t="s">
        <v>137</v>
      </c>
      <c r="B5" s="576" t="s">
        <v>862</v>
      </c>
      <c r="C5" s="576" t="s">
        <v>322</v>
      </c>
      <c r="D5" s="570" t="s">
        <v>111</v>
      </c>
      <c r="E5" s="571"/>
      <c r="F5" s="572" t="s">
        <v>6</v>
      </c>
    </row>
    <row r="6" spans="1:6" ht="24" customHeight="1">
      <c r="A6" s="576"/>
      <c r="B6" s="576"/>
      <c r="C6" s="576"/>
      <c r="D6" s="470" t="s">
        <v>130</v>
      </c>
      <c r="E6" s="470" t="s">
        <v>131</v>
      </c>
      <c r="F6" s="573"/>
    </row>
    <row r="7" spans="1:6" s="473" customFormat="1" ht="20.25" customHeight="1">
      <c r="A7" s="209"/>
      <c r="B7" s="502" t="s">
        <v>155</v>
      </c>
      <c r="C7" s="492">
        <f>+D7+E7</f>
        <v>5281044809</v>
      </c>
      <c r="D7" s="492">
        <f>+D8+D10+D12+D29+D40+D39</f>
        <v>3061790660</v>
      </c>
      <c r="E7" s="492">
        <f>+E8+E10+E12+E29+E40+E39</f>
        <v>2219254149</v>
      </c>
      <c r="F7" s="492"/>
    </row>
    <row r="8" spans="1:6" s="473" customFormat="1" ht="20.25" customHeight="1">
      <c r="A8" s="209">
        <v>1</v>
      </c>
      <c r="B8" s="502" t="s">
        <v>905</v>
      </c>
      <c r="C8" s="492">
        <f>+C9</f>
        <v>476000000</v>
      </c>
      <c r="D8" s="492">
        <f t="shared" ref="D8:E8" si="0">+D9</f>
        <v>476000000</v>
      </c>
      <c r="E8" s="492">
        <f t="shared" si="0"/>
        <v>0</v>
      </c>
      <c r="F8" s="492"/>
    </row>
    <row r="9" spans="1:6" s="473" customFormat="1" ht="39.6">
      <c r="A9" s="209"/>
      <c r="B9" s="496" t="s">
        <v>904</v>
      </c>
      <c r="C9" s="495">
        <f>+SUM(D9:E9)</f>
        <v>476000000</v>
      </c>
      <c r="D9" s="495">
        <v>476000000</v>
      </c>
      <c r="E9" s="492"/>
      <c r="F9" s="210" t="s">
        <v>903</v>
      </c>
    </row>
    <row r="10" spans="1:6" s="473" customFormat="1" ht="18" customHeight="1">
      <c r="A10" s="209">
        <v>2</v>
      </c>
      <c r="B10" s="502" t="s">
        <v>906</v>
      </c>
      <c r="C10" s="492">
        <f>+C11</f>
        <v>73000000</v>
      </c>
      <c r="D10" s="492">
        <f t="shared" ref="D10:E10" si="1">+D11</f>
        <v>73000000</v>
      </c>
      <c r="E10" s="492">
        <f t="shared" si="1"/>
        <v>0</v>
      </c>
      <c r="F10" s="492"/>
    </row>
    <row r="11" spans="1:6" s="473" customFormat="1" ht="39.6">
      <c r="A11" s="209"/>
      <c r="B11" s="496" t="s">
        <v>907</v>
      </c>
      <c r="C11" s="495">
        <f>+D11+E11</f>
        <v>73000000</v>
      </c>
      <c r="D11" s="495">
        <v>73000000</v>
      </c>
      <c r="E11" s="492"/>
      <c r="F11" s="492"/>
    </row>
    <row r="12" spans="1:6" s="473" customFormat="1" ht="15.75" customHeight="1">
      <c r="A12" s="209">
        <v>3</v>
      </c>
      <c r="B12" s="502" t="s">
        <v>886</v>
      </c>
      <c r="C12" s="492">
        <f>+C13+C28</f>
        <v>2948821441</v>
      </c>
      <c r="D12" s="492">
        <f>+D13+D28</f>
        <v>2123312660</v>
      </c>
      <c r="E12" s="492">
        <f>+E13+E28</f>
        <v>825508781</v>
      </c>
      <c r="F12" s="492"/>
    </row>
    <row r="13" spans="1:6" s="508" customFormat="1" ht="15.75" customHeight="1">
      <c r="A13" s="506" t="s">
        <v>184</v>
      </c>
      <c r="B13" s="514" t="s">
        <v>899</v>
      </c>
      <c r="C13" s="507">
        <f>+SUM(C14:C27)</f>
        <v>2123312660</v>
      </c>
      <c r="D13" s="507">
        <f>+SUM(D14:D27)</f>
        <v>2123312660</v>
      </c>
      <c r="E13" s="507">
        <f>+SUM(E14:E27)</f>
        <v>0</v>
      </c>
      <c r="F13" s="507"/>
    </row>
    <row r="14" spans="1:6" ht="39.6">
      <c r="A14" s="494"/>
      <c r="B14" s="496" t="s">
        <v>874</v>
      </c>
      <c r="C14" s="495">
        <f t="shared" ref="C14:C27" si="2">+SUM(D14:E14)</f>
        <v>1799000000</v>
      </c>
      <c r="D14" s="495">
        <v>1799000000</v>
      </c>
      <c r="E14" s="495"/>
      <c r="F14" s="210" t="s">
        <v>903</v>
      </c>
    </row>
    <row r="15" spans="1:6" ht="26.4">
      <c r="A15" s="494"/>
      <c r="B15" s="496" t="s">
        <v>875</v>
      </c>
      <c r="C15" s="495">
        <f t="shared" si="2"/>
        <v>34300000</v>
      </c>
      <c r="D15" s="495">
        <v>34300000</v>
      </c>
      <c r="E15" s="495"/>
      <c r="F15" s="495"/>
    </row>
    <row r="16" spans="1:6" ht="25.5" customHeight="1">
      <c r="A16" s="493"/>
      <c r="B16" s="574" t="s">
        <v>876</v>
      </c>
      <c r="C16" s="495">
        <f t="shared" si="2"/>
        <v>55000</v>
      </c>
      <c r="D16" s="495">
        <v>55000</v>
      </c>
      <c r="E16" s="492"/>
      <c r="F16" s="495"/>
    </row>
    <row r="17" spans="1:6">
      <c r="A17" s="494"/>
      <c r="B17" s="575"/>
      <c r="C17" s="495">
        <f t="shared" si="2"/>
        <v>19545660</v>
      </c>
      <c r="D17" s="495">
        <v>19545660</v>
      </c>
      <c r="E17" s="495"/>
      <c r="F17" s="495"/>
    </row>
    <row r="18" spans="1:6" ht="39.6">
      <c r="A18" s="494"/>
      <c r="B18" s="496" t="s">
        <v>877</v>
      </c>
      <c r="C18" s="495">
        <f t="shared" si="2"/>
        <v>17100000</v>
      </c>
      <c r="D18" s="495">
        <v>17100000</v>
      </c>
      <c r="E18" s="495"/>
      <c r="F18" s="495"/>
    </row>
    <row r="19" spans="1:6" ht="39.6">
      <c r="A19" s="494"/>
      <c r="B19" s="496" t="s">
        <v>878</v>
      </c>
      <c r="C19" s="495">
        <f t="shared" si="2"/>
        <v>25400000</v>
      </c>
      <c r="D19" s="495">
        <v>25400000</v>
      </c>
      <c r="E19" s="495"/>
      <c r="F19" s="495"/>
    </row>
    <row r="20" spans="1:6" ht="39.6">
      <c r="A20" s="493"/>
      <c r="B20" s="496" t="s">
        <v>879</v>
      </c>
      <c r="C20" s="495">
        <f t="shared" si="2"/>
        <v>29378000</v>
      </c>
      <c r="D20" s="495">
        <v>29378000</v>
      </c>
      <c r="E20" s="492"/>
      <c r="F20" s="495"/>
    </row>
    <row r="21" spans="1:6" ht="31.5" customHeight="1">
      <c r="A21" s="494"/>
      <c r="B21" s="496" t="s">
        <v>880</v>
      </c>
      <c r="C21" s="495">
        <f t="shared" si="2"/>
        <v>17534000</v>
      </c>
      <c r="D21" s="495">
        <v>17534000</v>
      </c>
      <c r="E21" s="495"/>
      <c r="F21" s="495"/>
    </row>
    <row r="22" spans="1:6" ht="43.5" customHeight="1">
      <c r="A22" s="493"/>
      <c r="B22" s="496" t="s">
        <v>881</v>
      </c>
      <c r="C22" s="495">
        <f t="shared" si="2"/>
        <v>18700000</v>
      </c>
      <c r="D22" s="495">
        <v>18700000</v>
      </c>
      <c r="E22" s="492"/>
      <c r="F22" s="495"/>
    </row>
    <row r="23" spans="1:6" ht="43.5" customHeight="1">
      <c r="A23" s="494"/>
      <c r="B23" s="496" t="s">
        <v>882</v>
      </c>
      <c r="C23" s="495">
        <f t="shared" si="2"/>
        <v>62700000</v>
      </c>
      <c r="D23" s="495">
        <v>62700000</v>
      </c>
      <c r="E23" s="495"/>
      <c r="F23" s="495"/>
    </row>
    <row r="24" spans="1:6" ht="42" customHeight="1">
      <c r="A24" s="494"/>
      <c r="B24" s="496" t="s">
        <v>883</v>
      </c>
      <c r="C24" s="495">
        <f t="shared" si="2"/>
        <v>27300000</v>
      </c>
      <c r="D24" s="495">
        <v>27300000</v>
      </c>
      <c r="E24" s="495"/>
      <c r="F24" s="495"/>
    </row>
    <row r="25" spans="1:6" ht="42" customHeight="1">
      <c r="A25" s="494"/>
      <c r="B25" s="496" t="s">
        <v>884</v>
      </c>
      <c r="C25" s="495">
        <f t="shared" si="2"/>
        <v>27800000</v>
      </c>
      <c r="D25" s="495">
        <v>27800000</v>
      </c>
      <c r="E25" s="495"/>
      <c r="F25" s="495"/>
    </row>
    <row r="26" spans="1:6" ht="41.25" customHeight="1">
      <c r="A26" s="504"/>
      <c r="B26" s="496" t="s">
        <v>873</v>
      </c>
      <c r="C26" s="495">
        <f t="shared" si="2"/>
        <v>6700000</v>
      </c>
      <c r="D26" s="500">
        <v>6700000</v>
      </c>
      <c r="E26" s="501"/>
      <c r="F26" s="497"/>
    </row>
    <row r="27" spans="1:6" ht="41.25" customHeight="1">
      <c r="A27" s="504"/>
      <c r="B27" s="496" t="s">
        <v>885</v>
      </c>
      <c r="C27" s="495">
        <f t="shared" si="2"/>
        <v>37800000</v>
      </c>
      <c r="D27" s="501">
        <v>37800000</v>
      </c>
      <c r="E27" s="501"/>
      <c r="F27" s="497"/>
    </row>
    <row r="28" spans="1:6" s="511" customFormat="1" ht="18" customHeight="1">
      <c r="A28" s="509" t="s">
        <v>185</v>
      </c>
      <c r="B28" s="514" t="s">
        <v>900</v>
      </c>
      <c r="C28" s="507">
        <f>+D28+E28</f>
        <v>825508781</v>
      </c>
      <c r="D28" s="512"/>
      <c r="E28" s="507">
        <v>825508781</v>
      </c>
      <c r="F28" s="510"/>
    </row>
    <row r="29" spans="1:6" s="473" customFormat="1" ht="18" customHeight="1">
      <c r="A29" s="505">
        <v>4</v>
      </c>
      <c r="B29" s="498" t="s">
        <v>895</v>
      </c>
      <c r="C29" s="492">
        <f>+SUM(D29:E29)</f>
        <v>389478000</v>
      </c>
      <c r="D29" s="492">
        <f>+D30</f>
        <v>389478000</v>
      </c>
      <c r="E29" s="492">
        <f>+E30</f>
        <v>0</v>
      </c>
      <c r="F29" s="498"/>
    </row>
    <row r="30" spans="1:6" s="473" customFormat="1">
      <c r="A30" s="505"/>
      <c r="B30" s="498" t="s">
        <v>899</v>
      </c>
      <c r="C30" s="492">
        <f>+D30+E30</f>
        <v>389478000</v>
      </c>
      <c r="D30" s="492">
        <f>+SUM(D31:D38)</f>
        <v>389478000</v>
      </c>
      <c r="E30" s="492">
        <f>+SUM(E31:E38)</f>
        <v>0</v>
      </c>
      <c r="F30" s="498"/>
    </row>
    <row r="31" spans="1:6" ht="39.6">
      <c r="A31" s="504"/>
      <c r="B31" s="496" t="s">
        <v>887</v>
      </c>
      <c r="C31" s="495">
        <f t="shared" ref="C31:C43" si="3">+SUM(D31:E31)</f>
        <v>48331000</v>
      </c>
      <c r="D31" s="500">
        <v>48331000</v>
      </c>
      <c r="E31" s="501"/>
      <c r="F31" s="497"/>
    </row>
    <row r="32" spans="1:6" ht="26.4">
      <c r="A32" s="504"/>
      <c r="B32" s="496" t="s">
        <v>888</v>
      </c>
      <c r="C32" s="495">
        <f t="shared" si="3"/>
        <v>31237000</v>
      </c>
      <c r="D32" s="500">
        <v>31237000</v>
      </c>
      <c r="E32" s="501"/>
      <c r="F32" s="497"/>
    </row>
    <row r="33" spans="1:6" ht="26.4">
      <c r="A33" s="504"/>
      <c r="B33" s="496" t="s">
        <v>889</v>
      </c>
      <c r="C33" s="495">
        <f t="shared" si="3"/>
        <v>64745000</v>
      </c>
      <c r="D33" s="500">
        <v>64745000</v>
      </c>
      <c r="E33" s="501"/>
      <c r="F33" s="497"/>
    </row>
    <row r="34" spans="1:6" ht="52.8">
      <c r="A34" s="504"/>
      <c r="B34" s="496" t="s">
        <v>890</v>
      </c>
      <c r="C34" s="495">
        <f t="shared" si="3"/>
        <v>87300000</v>
      </c>
      <c r="D34" s="500">
        <v>87300000</v>
      </c>
      <c r="E34" s="501"/>
      <c r="F34" s="497"/>
    </row>
    <row r="35" spans="1:6" ht="30.75" customHeight="1">
      <c r="A35" s="504"/>
      <c r="B35" s="496" t="s">
        <v>891</v>
      </c>
      <c r="C35" s="495">
        <f t="shared" si="3"/>
        <v>48405000</v>
      </c>
      <c r="D35" s="500">
        <v>48405000</v>
      </c>
      <c r="E35" s="501"/>
      <c r="F35" s="497"/>
    </row>
    <row r="36" spans="1:6" ht="30.75" customHeight="1">
      <c r="A36" s="504"/>
      <c r="B36" s="496" t="s">
        <v>892</v>
      </c>
      <c r="C36" s="495">
        <f t="shared" si="3"/>
        <v>33700000</v>
      </c>
      <c r="D36" s="500">
        <v>33700000</v>
      </c>
      <c r="E36" s="501"/>
      <c r="F36" s="497"/>
    </row>
    <row r="37" spans="1:6" ht="30.75" customHeight="1">
      <c r="A37" s="504"/>
      <c r="B37" s="496" t="s">
        <v>893</v>
      </c>
      <c r="C37" s="495">
        <f t="shared" si="3"/>
        <v>43680000</v>
      </c>
      <c r="D37" s="500">
        <v>43680000</v>
      </c>
      <c r="E37" s="501"/>
      <c r="F37" s="497"/>
    </row>
    <row r="38" spans="1:6" ht="30.75" customHeight="1">
      <c r="A38" s="504"/>
      <c r="B38" s="496" t="s">
        <v>894</v>
      </c>
      <c r="C38" s="495">
        <f t="shared" si="3"/>
        <v>32080000</v>
      </c>
      <c r="D38" s="500">
        <v>32080000</v>
      </c>
      <c r="E38" s="501"/>
      <c r="F38" s="497"/>
    </row>
    <row r="39" spans="1:6" ht="14.25" customHeight="1">
      <c r="A39" s="505">
        <v>5</v>
      </c>
      <c r="B39" s="498" t="s">
        <v>902</v>
      </c>
      <c r="C39" s="492">
        <f t="shared" si="3"/>
        <v>195180000</v>
      </c>
      <c r="D39" s="513"/>
      <c r="E39" s="492">
        <v>195180000</v>
      </c>
      <c r="F39" s="498"/>
    </row>
    <row r="40" spans="1:6" s="473" customFormat="1" ht="14.25" customHeight="1">
      <c r="A40" s="505">
        <v>6</v>
      </c>
      <c r="B40" s="498" t="s">
        <v>898</v>
      </c>
      <c r="C40" s="492">
        <f t="shared" si="3"/>
        <v>1198565368</v>
      </c>
      <c r="D40" s="513">
        <f>+SUM(D41:D43)</f>
        <v>0</v>
      </c>
      <c r="E40" s="492">
        <f>+SUM(E41:E43)</f>
        <v>1198565368</v>
      </c>
      <c r="F40" s="498"/>
    </row>
    <row r="41" spans="1:6" s="473" customFormat="1" ht="26.4">
      <c r="A41" s="505"/>
      <c r="B41" s="496" t="s">
        <v>872</v>
      </c>
      <c r="C41" s="495">
        <f t="shared" si="3"/>
        <v>314647685</v>
      </c>
      <c r="D41" s="513"/>
      <c r="E41" s="495">
        <v>314647685</v>
      </c>
      <c r="F41" s="498"/>
    </row>
    <row r="42" spans="1:6" ht="26.4">
      <c r="A42" s="504"/>
      <c r="B42" s="496" t="s">
        <v>867</v>
      </c>
      <c r="C42" s="495">
        <f t="shared" si="3"/>
        <v>484120000</v>
      </c>
      <c r="D42" s="500"/>
      <c r="E42" s="495">
        <v>484120000</v>
      </c>
      <c r="F42" s="499" t="s">
        <v>901</v>
      </c>
    </row>
    <row r="43" spans="1:6" ht="52.8">
      <c r="A43" s="504"/>
      <c r="B43" s="496" t="s">
        <v>896</v>
      </c>
      <c r="C43" s="495">
        <f t="shared" si="3"/>
        <v>399797683</v>
      </c>
      <c r="D43" s="500"/>
      <c r="E43" s="495">
        <v>399797683</v>
      </c>
      <c r="F43" s="499" t="s">
        <v>897</v>
      </c>
    </row>
  </sheetData>
  <mergeCells count="8">
    <mergeCell ref="A2:F2"/>
    <mergeCell ref="A3:F3"/>
    <mergeCell ref="D5:E5"/>
    <mergeCell ref="F5:F6"/>
    <mergeCell ref="B16:B17"/>
    <mergeCell ref="A5:A6"/>
    <mergeCell ref="B5:B6"/>
    <mergeCell ref="C5:C6"/>
  </mergeCells>
  <pageMargins left="0.47244094488188981" right="0.19685039370078741" top="0.62992125984251968" bottom="0.74803149606299213" header="0.31496062992125984" footer="0.31496062992125984"/>
  <pageSetup paperSize="9" orientation="portrait" verticalDpi="0" r:id="rId1"/>
  <headerFooter differentFirst="1">
    <oddHeader>&amp;C&amp;P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6FD7-8458-42CB-A9B8-0FC36B56316C}">
  <dimension ref="A1:F16"/>
  <sheetViews>
    <sheetView workbookViewId="0">
      <selection activeCell="F9" sqref="F9"/>
    </sheetView>
  </sheetViews>
  <sheetFormatPr defaultColWidth="7.77734375" defaultRowHeight="13.2"/>
  <cols>
    <col min="1" max="1" width="4.77734375" style="466" customWidth="1"/>
    <col min="2" max="2" width="29" style="466" customWidth="1"/>
    <col min="3" max="5" width="16" style="466" customWidth="1"/>
    <col min="6" max="6" width="10.44140625" style="466" customWidth="1"/>
    <col min="7" max="247" width="8" style="466" bestFit="1" customWidth="1"/>
    <col min="248" max="250" width="7.77734375" style="466"/>
    <col min="251" max="251" width="4.77734375" style="466" customWidth="1"/>
    <col min="252" max="252" width="26.109375" style="466" customWidth="1"/>
    <col min="253" max="253" width="11.33203125" style="466" customWidth="1"/>
    <col min="254" max="254" width="13.109375" style="466" customWidth="1"/>
    <col min="255" max="255" width="12.109375" style="466" customWidth="1"/>
    <col min="256" max="256" width="12.44140625" style="466" customWidth="1"/>
    <col min="257" max="257" width="9.21875" style="466" customWidth="1"/>
    <col min="258" max="258" width="11.33203125" style="466" customWidth="1"/>
    <col min="259" max="259" width="25.21875" style="466" customWidth="1"/>
    <col min="260" max="260" width="16.6640625" style="466" customWidth="1"/>
    <col min="261" max="503" width="8" style="466" bestFit="1" customWidth="1"/>
    <col min="504" max="506" width="7.77734375" style="466"/>
    <col min="507" max="507" width="4.77734375" style="466" customWidth="1"/>
    <col min="508" max="508" width="26.109375" style="466" customWidth="1"/>
    <col min="509" max="509" width="11.33203125" style="466" customWidth="1"/>
    <col min="510" max="510" width="13.109375" style="466" customWidth="1"/>
    <col min="511" max="511" width="12.109375" style="466" customWidth="1"/>
    <col min="512" max="512" width="12.44140625" style="466" customWidth="1"/>
    <col min="513" max="513" width="9.21875" style="466" customWidth="1"/>
    <col min="514" max="514" width="11.33203125" style="466" customWidth="1"/>
    <col min="515" max="515" width="25.21875" style="466" customWidth="1"/>
    <col min="516" max="516" width="16.6640625" style="466" customWidth="1"/>
    <col min="517" max="759" width="8" style="466" bestFit="1" customWidth="1"/>
    <col min="760" max="762" width="7.77734375" style="466"/>
    <col min="763" max="763" width="4.77734375" style="466" customWidth="1"/>
    <col min="764" max="764" width="26.109375" style="466" customWidth="1"/>
    <col min="765" max="765" width="11.33203125" style="466" customWidth="1"/>
    <col min="766" max="766" width="13.109375" style="466" customWidth="1"/>
    <col min="767" max="767" width="12.109375" style="466" customWidth="1"/>
    <col min="768" max="768" width="12.44140625" style="466" customWidth="1"/>
    <col min="769" max="769" width="9.21875" style="466" customWidth="1"/>
    <col min="770" max="770" width="11.33203125" style="466" customWidth="1"/>
    <col min="771" max="771" width="25.21875" style="466" customWidth="1"/>
    <col min="772" max="772" width="16.6640625" style="466" customWidth="1"/>
    <col min="773" max="1015" width="8" style="466" bestFit="1" customWidth="1"/>
    <col min="1016" max="1018" width="7.77734375" style="466"/>
    <col min="1019" max="1019" width="4.77734375" style="466" customWidth="1"/>
    <col min="1020" max="1020" width="26.109375" style="466" customWidth="1"/>
    <col min="1021" max="1021" width="11.33203125" style="466" customWidth="1"/>
    <col min="1022" max="1022" width="13.109375" style="466" customWidth="1"/>
    <col min="1023" max="1023" width="12.109375" style="466" customWidth="1"/>
    <col min="1024" max="1024" width="12.44140625" style="466" customWidth="1"/>
    <col min="1025" max="1025" width="9.21875" style="466" customWidth="1"/>
    <col min="1026" max="1026" width="11.33203125" style="466" customWidth="1"/>
    <col min="1027" max="1027" width="25.21875" style="466" customWidth="1"/>
    <col min="1028" max="1028" width="16.6640625" style="466" customWidth="1"/>
    <col min="1029" max="1271" width="8" style="466" bestFit="1" customWidth="1"/>
    <col min="1272" max="1274" width="7.77734375" style="466"/>
    <col min="1275" max="1275" width="4.77734375" style="466" customWidth="1"/>
    <col min="1276" max="1276" width="26.109375" style="466" customWidth="1"/>
    <col min="1277" max="1277" width="11.33203125" style="466" customWidth="1"/>
    <col min="1278" max="1278" width="13.109375" style="466" customWidth="1"/>
    <col min="1279" max="1279" width="12.109375" style="466" customWidth="1"/>
    <col min="1280" max="1280" width="12.44140625" style="466" customWidth="1"/>
    <col min="1281" max="1281" width="9.21875" style="466" customWidth="1"/>
    <col min="1282" max="1282" width="11.33203125" style="466" customWidth="1"/>
    <col min="1283" max="1283" width="25.21875" style="466" customWidth="1"/>
    <col min="1284" max="1284" width="16.6640625" style="466" customWidth="1"/>
    <col min="1285" max="1527" width="8" style="466" bestFit="1" customWidth="1"/>
    <col min="1528" max="1530" width="7.77734375" style="466"/>
    <col min="1531" max="1531" width="4.77734375" style="466" customWidth="1"/>
    <col min="1532" max="1532" width="26.109375" style="466" customWidth="1"/>
    <col min="1533" max="1533" width="11.33203125" style="466" customWidth="1"/>
    <col min="1534" max="1534" width="13.109375" style="466" customWidth="1"/>
    <col min="1535" max="1535" width="12.109375" style="466" customWidth="1"/>
    <col min="1536" max="1536" width="12.44140625" style="466" customWidth="1"/>
    <col min="1537" max="1537" width="9.21875" style="466" customWidth="1"/>
    <col min="1538" max="1538" width="11.33203125" style="466" customWidth="1"/>
    <col min="1539" max="1539" width="25.21875" style="466" customWidth="1"/>
    <col min="1540" max="1540" width="16.6640625" style="466" customWidth="1"/>
    <col min="1541" max="1783" width="8" style="466" bestFit="1" customWidth="1"/>
    <col min="1784" max="1786" width="7.77734375" style="466"/>
    <col min="1787" max="1787" width="4.77734375" style="466" customWidth="1"/>
    <col min="1788" max="1788" width="26.109375" style="466" customWidth="1"/>
    <col min="1789" max="1789" width="11.33203125" style="466" customWidth="1"/>
    <col min="1790" max="1790" width="13.109375" style="466" customWidth="1"/>
    <col min="1791" max="1791" width="12.109375" style="466" customWidth="1"/>
    <col min="1792" max="1792" width="12.44140625" style="466" customWidth="1"/>
    <col min="1793" max="1793" width="9.21875" style="466" customWidth="1"/>
    <col min="1794" max="1794" width="11.33203125" style="466" customWidth="1"/>
    <col min="1795" max="1795" width="25.21875" style="466" customWidth="1"/>
    <col min="1796" max="1796" width="16.6640625" style="466" customWidth="1"/>
    <col min="1797" max="2039" width="8" style="466" bestFit="1" customWidth="1"/>
    <col min="2040" max="2042" width="7.77734375" style="466"/>
    <col min="2043" max="2043" width="4.77734375" style="466" customWidth="1"/>
    <col min="2044" max="2044" width="26.109375" style="466" customWidth="1"/>
    <col min="2045" max="2045" width="11.33203125" style="466" customWidth="1"/>
    <col min="2046" max="2046" width="13.109375" style="466" customWidth="1"/>
    <col min="2047" max="2047" width="12.109375" style="466" customWidth="1"/>
    <col min="2048" max="2048" width="12.44140625" style="466" customWidth="1"/>
    <col min="2049" max="2049" width="9.21875" style="466" customWidth="1"/>
    <col min="2050" max="2050" width="11.33203125" style="466" customWidth="1"/>
    <col min="2051" max="2051" width="25.21875" style="466" customWidth="1"/>
    <col min="2052" max="2052" width="16.6640625" style="466" customWidth="1"/>
    <col min="2053" max="2295" width="8" style="466" bestFit="1" customWidth="1"/>
    <col min="2296" max="2298" width="7.77734375" style="466"/>
    <col min="2299" max="2299" width="4.77734375" style="466" customWidth="1"/>
    <col min="2300" max="2300" width="26.109375" style="466" customWidth="1"/>
    <col min="2301" max="2301" width="11.33203125" style="466" customWidth="1"/>
    <col min="2302" max="2302" width="13.109375" style="466" customWidth="1"/>
    <col min="2303" max="2303" width="12.109375" style="466" customWidth="1"/>
    <col min="2304" max="2304" width="12.44140625" style="466" customWidth="1"/>
    <col min="2305" max="2305" width="9.21875" style="466" customWidth="1"/>
    <col min="2306" max="2306" width="11.33203125" style="466" customWidth="1"/>
    <col min="2307" max="2307" width="25.21875" style="466" customWidth="1"/>
    <col min="2308" max="2308" width="16.6640625" style="466" customWidth="1"/>
    <col min="2309" max="2551" width="8" style="466" bestFit="1" customWidth="1"/>
    <col min="2552" max="2554" width="7.77734375" style="466"/>
    <col min="2555" max="2555" width="4.77734375" style="466" customWidth="1"/>
    <col min="2556" max="2556" width="26.109375" style="466" customWidth="1"/>
    <col min="2557" max="2557" width="11.33203125" style="466" customWidth="1"/>
    <col min="2558" max="2558" width="13.109375" style="466" customWidth="1"/>
    <col min="2559" max="2559" width="12.109375" style="466" customWidth="1"/>
    <col min="2560" max="2560" width="12.44140625" style="466" customWidth="1"/>
    <col min="2561" max="2561" width="9.21875" style="466" customWidth="1"/>
    <col min="2562" max="2562" width="11.33203125" style="466" customWidth="1"/>
    <col min="2563" max="2563" width="25.21875" style="466" customWidth="1"/>
    <col min="2564" max="2564" width="16.6640625" style="466" customWidth="1"/>
    <col min="2565" max="2807" width="8" style="466" bestFit="1" customWidth="1"/>
    <col min="2808" max="2810" width="7.77734375" style="466"/>
    <col min="2811" max="2811" width="4.77734375" style="466" customWidth="1"/>
    <col min="2812" max="2812" width="26.109375" style="466" customWidth="1"/>
    <col min="2813" max="2813" width="11.33203125" style="466" customWidth="1"/>
    <col min="2814" max="2814" width="13.109375" style="466" customWidth="1"/>
    <col min="2815" max="2815" width="12.109375" style="466" customWidth="1"/>
    <col min="2816" max="2816" width="12.44140625" style="466" customWidth="1"/>
    <col min="2817" max="2817" width="9.21875" style="466" customWidth="1"/>
    <col min="2818" max="2818" width="11.33203125" style="466" customWidth="1"/>
    <col min="2819" max="2819" width="25.21875" style="466" customWidth="1"/>
    <col min="2820" max="2820" width="16.6640625" style="466" customWidth="1"/>
    <col min="2821" max="3063" width="8" style="466" bestFit="1" customWidth="1"/>
    <col min="3064" max="3066" width="7.77734375" style="466"/>
    <col min="3067" max="3067" width="4.77734375" style="466" customWidth="1"/>
    <col min="3068" max="3068" width="26.109375" style="466" customWidth="1"/>
    <col min="3069" max="3069" width="11.33203125" style="466" customWidth="1"/>
    <col min="3070" max="3070" width="13.109375" style="466" customWidth="1"/>
    <col min="3071" max="3071" width="12.109375" style="466" customWidth="1"/>
    <col min="3072" max="3072" width="12.44140625" style="466" customWidth="1"/>
    <col min="3073" max="3073" width="9.21875" style="466" customWidth="1"/>
    <col min="3074" max="3074" width="11.33203125" style="466" customWidth="1"/>
    <col min="3075" max="3075" width="25.21875" style="466" customWidth="1"/>
    <col min="3076" max="3076" width="16.6640625" style="466" customWidth="1"/>
    <col min="3077" max="3319" width="8" style="466" bestFit="1" customWidth="1"/>
    <col min="3320" max="3322" width="7.77734375" style="466"/>
    <col min="3323" max="3323" width="4.77734375" style="466" customWidth="1"/>
    <col min="3324" max="3324" width="26.109375" style="466" customWidth="1"/>
    <col min="3325" max="3325" width="11.33203125" style="466" customWidth="1"/>
    <col min="3326" max="3326" width="13.109375" style="466" customWidth="1"/>
    <col min="3327" max="3327" width="12.109375" style="466" customWidth="1"/>
    <col min="3328" max="3328" width="12.44140625" style="466" customWidth="1"/>
    <col min="3329" max="3329" width="9.21875" style="466" customWidth="1"/>
    <col min="3330" max="3330" width="11.33203125" style="466" customWidth="1"/>
    <col min="3331" max="3331" width="25.21875" style="466" customWidth="1"/>
    <col min="3332" max="3332" width="16.6640625" style="466" customWidth="1"/>
    <col min="3333" max="3575" width="8" style="466" bestFit="1" customWidth="1"/>
    <col min="3576" max="3578" width="7.77734375" style="466"/>
    <col min="3579" max="3579" width="4.77734375" style="466" customWidth="1"/>
    <col min="3580" max="3580" width="26.109375" style="466" customWidth="1"/>
    <col min="3581" max="3581" width="11.33203125" style="466" customWidth="1"/>
    <col min="3582" max="3582" width="13.109375" style="466" customWidth="1"/>
    <col min="3583" max="3583" width="12.109375" style="466" customWidth="1"/>
    <col min="3584" max="3584" width="12.44140625" style="466" customWidth="1"/>
    <col min="3585" max="3585" width="9.21875" style="466" customWidth="1"/>
    <col min="3586" max="3586" width="11.33203125" style="466" customWidth="1"/>
    <col min="3587" max="3587" width="25.21875" style="466" customWidth="1"/>
    <col min="3588" max="3588" width="16.6640625" style="466" customWidth="1"/>
    <col min="3589" max="3831" width="8" style="466" bestFit="1" customWidth="1"/>
    <col min="3832" max="3834" width="7.77734375" style="466"/>
    <col min="3835" max="3835" width="4.77734375" style="466" customWidth="1"/>
    <col min="3836" max="3836" width="26.109375" style="466" customWidth="1"/>
    <col min="3837" max="3837" width="11.33203125" style="466" customWidth="1"/>
    <col min="3838" max="3838" width="13.109375" style="466" customWidth="1"/>
    <col min="3839" max="3839" width="12.109375" style="466" customWidth="1"/>
    <col min="3840" max="3840" width="12.44140625" style="466" customWidth="1"/>
    <col min="3841" max="3841" width="9.21875" style="466" customWidth="1"/>
    <col min="3842" max="3842" width="11.33203125" style="466" customWidth="1"/>
    <col min="3843" max="3843" width="25.21875" style="466" customWidth="1"/>
    <col min="3844" max="3844" width="16.6640625" style="466" customWidth="1"/>
    <col min="3845" max="4087" width="8" style="466" bestFit="1" customWidth="1"/>
    <col min="4088" max="4090" width="7.77734375" style="466"/>
    <col min="4091" max="4091" width="4.77734375" style="466" customWidth="1"/>
    <col min="4092" max="4092" width="26.109375" style="466" customWidth="1"/>
    <col min="4093" max="4093" width="11.33203125" style="466" customWidth="1"/>
    <col min="4094" max="4094" width="13.109375" style="466" customWidth="1"/>
    <col min="4095" max="4095" width="12.109375" style="466" customWidth="1"/>
    <col min="4096" max="4096" width="12.44140625" style="466" customWidth="1"/>
    <col min="4097" max="4097" width="9.21875" style="466" customWidth="1"/>
    <col min="4098" max="4098" width="11.33203125" style="466" customWidth="1"/>
    <col min="4099" max="4099" width="25.21875" style="466" customWidth="1"/>
    <col min="4100" max="4100" width="16.6640625" style="466" customWidth="1"/>
    <col min="4101" max="4343" width="8" style="466" bestFit="1" customWidth="1"/>
    <col min="4344" max="4346" width="7.77734375" style="466"/>
    <col min="4347" max="4347" width="4.77734375" style="466" customWidth="1"/>
    <col min="4348" max="4348" width="26.109375" style="466" customWidth="1"/>
    <col min="4349" max="4349" width="11.33203125" style="466" customWidth="1"/>
    <col min="4350" max="4350" width="13.109375" style="466" customWidth="1"/>
    <col min="4351" max="4351" width="12.109375" style="466" customWidth="1"/>
    <col min="4352" max="4352" width="12.44140625" style="466" customWidth="1"/>
    <col min="4353" max="4353" width="9.21875" style="466" customWidth="1"/>
    <col min="4354" max="4354" width="11.33203125" style="466" customWidth="1"/>
    <col min="4355" max="4355" width="25.21875" style="466" customWidth="1"/>
    <col min="4356" max="4356" width="16.6640625" style="466" customWidth="1"/>
    <col min="4357" max="4599" width="8" style="466" bestFit="1" customWidth="1"/>
    <col min="4600" max="4602" width="7.77734375" style="466"/>
    <col min="4603" max="4603" width="4.77734375" style="466" customWidth="1"/>
    <col min="4604" max="4604" width="26.109375" style="466" customWidth="1"/>
    <col min="4605" max="4605" width="11.33203125" style="466" customWidth="1"/>
    <col min="4606" max="4606" width="13.109375" style="466" customWidth="1"/>
    <col min="4607" max="4607" width="12.109375" style="466" customWidth="1"/>
    <col min="4608" max="4608" width="12.44140625" style="466" customWidth="1"/>
    <col min="4609" max="4609" width="9.21875" style="466" customWidth="1"/>
    <col min="4610" max="4610" width="11.33203125" style="466" customWidth="1"/>
    <col min="4611" max="4611" width="25.21875" style="466" customWidth="1"/>
    <col min="4612" max="4612" width="16.6640625" style="466" customWidth="1"/>
    <col min="4613" max="4855" width="8" style="466" bestFit="1" customWidth="1"/>
    <col min="4856" max="4858" width="7.77734375" style="466"/>
    <col min="4859" max="4859" width="4.77734375" style="466" customWidth="1"/>
    <col min="4860" max="4860" width="26.109375" style="466" customWidth="1"/>
    <col min="4861" max="4861" width="11.33203125" style="466" customWidth="1"/>
    <col min="4862" max="4862" width="13.109375" style="466" customWidth="1"/>
    <col min="4863" max="4863" width="12.109375" style="466" customWidth="1"/>
    <col min="4864" max="4864" width="12.44140625" style="466" customWidth="1"/>
    <col min="4865" max="4865" width="9.21875" style="466" customWidth="1"/>
    <col min="4866" max="4866" width="11.33203125" style="466" customWidth="1"/>
    <col min="4867" max="4867" width="25.21875" style="466" customWidth="1"/>
    <col min="4868" max="4868" width="16.6640625" style="466" customWidth="1"/>
    <col min="4869" max="5111" width="8" style="466" bestFit="1" customWidth="1"/>
    <col min="5112" max="5114" width="7.77734375" style="466"/>
    <col min="5115" max="5115" width="4.77734375" style="466" customWidth="1"/>
    <col min="5116" max="5116" width="26.109375" style="466" customWidth="1"/>
    <col min="5117" max="5117" width="11.33203125" style="466" customWidth="1"/>
    <col min="5118" max="5118" width="13.109375" style="466" customWidth="1"/>
    <col min="5119" max="5119" width="12.109375" style="466" customWidth="1"/>
    <col min="5120" max="5120" width="12.44140625" style="466" customWidth="1"/>
    <col min="5121" max="5121" width="9.21875" style="466" customWidth="1"/>
    <col min="5122" max="5122" width="11.33203125" style="466" customWidth="1"/>
    <col min="5123" max="5123" width="25.21875" style="466" customWidth="1"/>
    <col min="5124" max="5124" width="16.6640625" style="466" customWidth="1"/>
    <col min="5125" max="5367" width="8" style="466" bestFit="1" customWidth="1"/>
    <col min="5368" max="5370" width="7.77734375" style="466"/>
    <col min="5371" max="5371" width="4.77734375" style="466" customWidth="1"/>
    <col min="5372" max="5372" width="26.109375" style="466" customWidth="1"/>
    <col min="5373" max="5373" width="11.33203125" style="466" customWidth="1"/>
    <col min="5374" max="5374" width="13.109375" style="466" customWidth="1"/>
    <col min="5375" max="5375" width="12.109375" style="466" customWidth="1"/>
    <col min="5376" max="5376" width="12.44140625" style="466" customWidth="1"/>
    <col min="5377" max="5377" width="9.21875" style="466" customWidth="1"/>
    <col min="5378" max="5378" width="11.33203125" style="466" customWidth="1"/>
    <col min="5379" max="5379" width="25.21875" style="466" customWidth="1"/>
    <col min="5380" max="5380" width="16.6640625" style="466" customWidth="1"/>
    <col min="5381" max="5623" width="8" style="466" bestFit="1" customWidth="1"/>
    <col min="5624" max="5626" width="7.77734375" style="466"/>
    <col min="5627" max="5627" width="4.77734375" style="466" customWidth="1"/>
    <col min="5628" max="5628" width="26.109375" style="466" customWidth="1"/>
    <col min="5629" max="5629" width="11.33203125" style="466" customWidth="1"/>
    <col min="5630" max="5630" width="13.109375" style="466" customWidth="1"/>
    <col min="5631" max="5631" width="12.109375" style="466" customWidth="1"/>
    <col min="5632" max="5632" width="12.44140625" style="466" customWidth="1"/>
    <col min="5633" max="5633" width="9.21875" style="466" customWidth="1"/>
    <col min="5634" max="5634" width="11.33203125" style="466" customWidth="1"/>
    <col min="5635" max="5635" width="25.21875" style="466" customWidth="1"/>
    <col min="5636" max="5636" width="16.6640625" style="466" customWidth="1"/>
    <col min="5637" max="5879" width="8" style="466" bestFit="1" customWidth="1"/>
    <col min="5880" max="5882" width="7.77734375" style="466"/>
    <col min="5883" max="5883" width="4.77734375" style="466" customWidth="1"/>
    <col min="5884" max="5884" width="26.109375" style="466" customWidth="1"/>
    <col min="5885" max="5885" width="11.33203125" style="466" customWidth="1"/>
    <col min="5886" max="5886" width="13.109375" style="466" customWidth="1"/>
    <col min="5887" max="5887" width="12.109375" style="466" customWidth="1"/>
    <col min="5888" max="5888" width="12.44140625" style="466" customWidth="1"/>
    <col min="5889" max="5889" width="9.21875" style="466" customWidth="1"/>
    <col min="5890" max="5890" width="11.33203125" style="466" customWidth="1"/>
    <col min="5891" max="5891" width="25.21875" style="466" customWidth="1"/>
    <col min="5892" max="5892" width="16.6640625" style="466" customWidth="1"/>
    <col min="5893" max="6135" width="8" style="466" bestFit="1" customWidth="1"/>
    <col min="6136" max="6138" width="7.77734375" style="466"/>
    <col min="6139" max="6139" width="4.77734375" style="466" customWidth="1"/>
    <col min="6140" max="6140" width="26.109375" style="466" customWidth="1"/>
    <col min="6141" max="6141" width="11.33203125" style="466" customWidth="1"/>
    <col min="6142" max="6142" width="13.109375" style="466" customWidth="1"/>
    <col min="6143" max="6143" width="12.109375" style="466" customWidth="1"/>
    <col min="6144" max="6144" width="12.44140625" style="466" customWidth="1"/>
    <col min="6145" max="6145" width="9.21875" style="466" customWidth="1"/>
    <col min="6146" max="6146" width="11.33203125" style="466" customWidth="1"/>
    <col min="6147" max="6147" width="25.21875" style="466" customWidth="1"/>
    <col min="6148" max="6148" width="16.6640625" style="466" customWidth="1"/>
    <col min="6149" max="6391" width="8" style="466" bestFit="1" customWidth="1"/>
    <col min="6392" max="6394" width="7.77734375" style="466"/>
    <col min="6395" max="6395" width="4.77734375" style="466" customWidth="1"/>
    <col min="6396" max="6396" width="26.109375" style="466" customWidth="1"/>
    <col min="6397" max="6397" width="11.33203125" style="466" customWidth="1"/>
    <col min="6398" max="6398" width="13.109375" style="466" customWidth="1"/>
    <col min="6399" max="6399" width="12.109375" style="466" customWidth="1"/>
    <col min="6400" max="6400" width="12.44140625" style="466" customWidth="1"/>
    <col min="6401" max="6401" width="9.21875" style="466" customWidth="1"/>
    <col min="6402" max="6402" width="11.33203125" style="466" customWidth="1"/>
    <col min="6403" max="6403" width="25.21875" style="466" customWidth="1"/>
    <col min="6404" max="6404" width="16.6640625" style="466" customWidth="1"/>
    <col min="6405" max="6647" width="8" style="466" bestFit="1" customWidth="1"/>
    <col min="6648" max="6650" width="7.77734375" style="466"/>
    <col min="6651" max="6651" width="4.77734375" style="466" customWidth="1"/>
    <col min="6652" max="6652" width="26.109375" style="466" customWidth="1"/>
    <col min="6653" max="6653" width="11.33203125" style="466" customWidth="1"/>
    <col min="6654" max="6654" width="13.109375" style="466" customWidth="1"/>
    <col min="6655" max="6655" width="12.109375" style="466" customWidth="1"/>
    <col min="6656" max="6656" width="12.44140625" style="466" customWidth="1"/>
    <col min="6657" max="6657" width="9.21875" style="466" customWidth="1"/>
    <col min="6658" max="6658" width="11.33203125" style="466" customWidth="1"/>
    <col min="6659" max="6659" width="25.21875" style="466" customWidth="1"/>
    <col min="6660" max="6660" width="16.6640625" style="466" customWidth="1"/>
    <col min="6661" max="6903" width="8" style="466" bestFit="1" customWidth="1"/>
    <col min="6904" max="6906" width="7.77734375" style="466"/>
    <col min="6907" max="6907" width="4.77734375" style="466" customWidth="1"/>
    <col min="6908" max="6908" width="26.109375" style="466" customWidth="1"/>
    <col min="6909" max="6909" width="11.33203125" style="466" customWidth="1"/>
    <col min="6910" max="6910" width="13.109375" style="466" customWidth="1"/>
    <col min="6911" max="6911" width="12.109375" style="466" customWidth="1"/>
    <col min="6912" max="6912" width="12.44140625" style="466" customWidth="1"/>
    <col min="6913" max="6913" width="9.21875" style="466" customWidth="1"/>
    <col min="6914" max="6914" width="11.33203125" style="466" customWidth="1"/>
    <col min="6915" max="6915" width="25.21875" style="466" customWidth="1"/>
    <col min="6916" max="6916" width="16.6640625" style="466" customWidth="1"/>
    <col min="6917" max="7159" width="8" style="466" bestFit="1" customWidth="1"/>
    <col min="7160" max="7162" width="7.77734375" style="466"/>
    <col min="7163" max="7163" width="4.77734375" style="466" customWidth="1"/>
    <col min="7164" max="7164" width="26.109375" style="466" customWidth="1"/>
    <col min="7165" max="7165" width="11.33203125" style="466" customWidth="1"/>
    <col min="7166" max="7166" width="13.109375" style="466" customWidth="1"/>
    <col min="7167" max="7167" width="12.109375" style="466" customWidth="1"/>
    <col min="7168" max="7168" width="12.44140625" style="466" customWidth="1"/>
    <col min="7169" max="7169" width="9.21875" style="466" customWidth="1"/>
    <col min="7170" max="7170" width="11.33203125" style="466" customWidth="1"/>
    <col min="7171" max="7171" width="25.21875" style="466" customWidth="1"/>
    <col min="7172" max="7172" width="16.6640625" style="466" customWidth="1"/>
    <col min="7173" max="7415" width="8" style="466" bestFit="1" customWidth="1"/>
    <col min="7416" max="7418" width="7.77734375" style="466"/>
    <col min="7419" max="7419" width="4.77734375" style="466" customWidth="1"/>
    <col min="7420" max="7420" width="26.109375" style="466" customWidth="1"/>
    <col min="7421" max="7421" width="11.33203125" style="466" customWidth="1"/>
    <col min="7422" max="7422" width="13.109375" style="466" customWidth="1"/>
    <col min="7423" max="7423" width="12.109375" style="466" customWidth="1"/>
    <col min="7424" max="7424" width="12.44140625" style="466" customWidth="1"/>
    <col min="7425" max="7425" width="9.21875" style="466" customWidth="1"/>
    <col min="7426" max="7426" width="11.33203125" style="466" customWidth="1"/>
    <col min="7427" max="7427" width="25.21875" style="466" customWidth="1"/>
    <col min="7428" max="7428" width="16.6640625" style="466" customWidth="1"/>
    <col min="7429" max="7671" width="8" style="466" bestFit="1" customWidth="1"/>
    <col min="7672" max="7674" width="7.77734375" style="466"/>
    <col min="7675" max="7675" width="4.77734375" style="466" customWidth="1"/>
    <col min="7676" max="7676" width="26.109375" style="466" customWidth="1"/>
    <col min="7677" max="7677" width="11.33203125" style="466" customWidth="1"/>
    <col min="7678" max="7678" width="13.109375" style="466" customWidth="1"/>
    <col min="7679" max="7679" width="12.109375" style="466" customWidth="1"/>
    <col min="7680" max="7680" width="12.44140625" style="466" customWidth="1"/>
    <col min="7681" max="7681" width="9.21875" style="466" customWidth="1"/>
    <col min="7682" max="7682" width="11.33203125" style="466" customWidth="1"/>
    <col min="7683" max="7683" width="25.21875" style="466" customWidth="1"/>
    <col min="7684" max="7684" width="16.6640625" style="466" customWidth="1"/>
    <col min="7685" max="7927" width="8" style="466" bestFit="1" customWidth="1"/>
    <col min="7928" max="7930" width="7.77734375" style="466"/>
    <col min="7931" max="7931" width="4.77734375" style="466" customWidth="1"/>
    <col min="7932" max="7932" width="26.109375" style="466" customWidth="1"/>
    <col min="7933" max="7933" width="11.33203125" style="466" customWidth="1"/>
    <col min="7934" max="7934" width="13.109375" style="466" customWidth="1"/>
    <col min="7935" max="7935" width="12.109375" style="466" customWidth="1"/>
    <col min="7936" max="7936" width="12.44140625" style="466" customWidth="1"/>
    <col min="7937" max="7937" width="9.21875" style="466" customWidth="1"/>
    <col min="7938" max="7938" width="11.33203125" style="466" customWidth="1"/>
    <col min="7939" max="7939" width="25.21875" style="466" customWidth="1"/>
    <col min="7940" max="7940" width="16.6640625" style="466" customWidth="1"/>
    <col min="7941" max="8183" width="8" style="466" bestFit="1" customWidth="1"/>
    <col min="8184" max="8186" width="7.77734375" style="466"/>
    <col min="8187" max="8187" width="4.77734375" style="466" customWidth="1"/>
    <col min="8188" max="8188" width="26.109375" style="466" customWidth="1"/>
    <col min="8189" max="8189" width="11.33203125" style="466" customWidth="1"/>
    <col min="8190" max="8190" width="13.109375" style="466" customWidth="1"/>
    <col min="8191" max="8191" width="12.109375" style="466" customWidth="1"/>
    <col min="8192" max="8192" width="12.44140625" style="466" customWidth="1"/>
    <col min="8193" max="8193" width="9.21875" style="466" customWidth="1"/>
    <col min="8194" max="8194" width="11.33203125" style="466" customWidth="1"/>
    <col min="8195" max="8195" width="25.21875" style="466" customWidth="1"/>
    <col min="8196" max="8196" width="16.6640625" style="466" customWidth="1"/>
    <col min="8197" max="8439" width="8" style="466" bestFit="1" customWidth="1"/>
    <col min="8440" max="8442" width="7.77734375" style="466"/>
    <col min="8443" max="8443" width="4.77734375" style="466" customWidth="1"/>
    <col min="8444" max="8444" width="26.109375" style="466" customWidth="1"/>
    <col min="8445" max="8445" width="11.33203125" style="466" customWidth="1"/>
    <col min="8446" max="8446" width="13.109375" style="466" customWidth="1"/>
    <col min="8447" max="8447" width="12.109375" style="466" customWidth="1"/>
    <col min="8448" max="8448" width="12.44140625" style="466" customWidth="1"/>
    <col min="8449" max="8449" width="9.21875" style="466" customWidth="1"/>
    <col min="8450" max="8450" width="11.33203125" style="466" customWidth="1"/>
    <col min="8451" max="8451" width="25.21875" style="466" customWidth="1"/>
    <col min="8452" max="8452" width="16.6640625" style="466" customWidth="1"/>
    <col min="8453" max="8695" width="8" style="466" bestFit="1" customWidth="1"/>
    <col min="8696" max="8698" width="7.77734375" style="466"/>
    <col min="8699" max="8699" width="4.77734375" style="466" customWidth="1"/>
    <col min="8700" max="8700" width="26.109375" style="466" customWidth="1"/>
    <col min="8701" max="8701" width="11.33203125" style="466" customWidth="1"/>
    <col min="8702" max="8702" width="13.109375" style="466" customWidth="1"/>
    <col min="8703" max="8703" width="12.109375" style="466" customWidth="1"/>
    <col min="8704" max="8704" width="12.44140625" style="466" customWidth="1"/>
    <col min="8705" max="8705" width="9.21875" style="466" customWidth="1"/>
    <col min="8706" max="8706" width="11.33203125" style="466" customWidth="1"/>
    <col min="8707" max="8707" width="25.21875" style="466" customWidth="1"/>
    <col min="8708" max="8708" width="16.6640625" style="466" customWidth="1"/>
    <col min="8709" max="8951" width="8" style="466" bestFit="1" customWidth="1"/>
    <col min="8952" max="8954" width="7.77734375" style="466"/>
    <col min="8955" max="8955" width="4.77734375" style="466" customWidth="1"/>
    <col min="8956" max="8956" width="26.109375" style="466" customWidth="1"/>
    <col min="8957" max="8957" width="11.33203125" style="466" customWidth="1"/>
    <col min="8958" max="8958" width="13.109375" style="466" customWidth="1"/>
    <col min="8959" max="8959" width="12.109375" style="466" customWidth="1"/>
    <col min="8960" max="8960" width="12.44140625" style="466" customWidth="1"/>
    <col min="8961" max="8961" width="9.21875" style="466" customWidth="1"/>
    <col min="8962" max="8962" width="11.33203125" style="466" customWidth="1"/>
    <col min="8963" max="8963" width="25.21875" style="466" customWidth="1"/>
    <col min="8964" max="8964" width="16.6640625" style="466" customWidth="1"/>
    <col min="8965" max="9207" width="8" style="466" bestFit="1" customWidth="1"/>
    <col min="9208" max="9210" width="7.77734375" style="466"/>
    <col min="9211" max="9211" width="4.77734375" style="466" customWidth="1"/>
    <col min="9212" max="9212" width="26.109375" style="466" customWidth="1"/>
    <col min="9213" max="9213" width="11.33203125" style="466" customWidth="1"/>
    <col min="9214" max="9214" width="13.109375" style="466" customWidth="1"/>
    <col min="9215" max="9215" width="12.109375" style="466" customWidth="1"/>
    <col min="9216" max="9216" width="12.44140625" style="466" customWidth="1"/>
    <col min="9217" max="9217" width="9.21875" style="466" customWidth="1"/>
    <col min="9218" max="9218" width="11.33203125" style="466" customWidth="1"/>
    <col min="9219" max="9219" width="25.21875" style="466" customWidth="1"/>
    <col min="9220" max="9220" width="16.6640625" style="466" customWidth="1"/>
    <col min="9221" max="9463" width="8" style="466" bestFit="1" customWidth="1"/>
    <col min="9464" max="9466" width="7.77734375" style="466"/>
    <col min="9467" max="9467" width="4.77734375" style="466" customWidth="1"/>
    <col min="9468" max="9468" width="26.109375" style="466" customWidth="1"/>
    <col min="9469" max="9469" width="11.33203125" style="466" customWidth="1"/>
    <col min="9470" max="9470" width="13.109375" style="466" customWidth="1"/>
    <col min="9471" max="9471" width="12.109375" style="466" customWidth="1"/>
    <col min="9472" max="9472" width="12.44140625" style="466" customWidth="1"/>
    <col min="9473" max="9473" width="9.21875" style="466" customWidth="1"/>
    <col min="9474" max="9474" width="11.33203125" style="466" customWidth="1"/>
    <col min="9475" max="9475" width="25.21875" style="466" customWidth="1"/>
    <col min="9476" max="9476" width="16.6640625" style="466" customWidth="1"/>
    <col min="9477" max="9719" width="8" style="466" bestFit="1" customWidth="1"/>
    <col min="9720" max="9722" width="7.77734375" style="466"/>
    <col min="9723" max="9723" width="4.77734375" style="466" customWidth="1"/>
    <col min="9724" max="9724" width="26.109375" style="466" customWidth="1"/>
    <col min="9725" max="9725" width="11.33203125" style="466" customWidth="1"/>
    <col min="9726" max="9726" width="13.109375" style="466" customWidth="1"/>
    <col min="9727" max="9727" width="12.109375" style="466" customWidth="1"/>
    <col min="9728" max="9728" width="12.44140625" style="466" customWidth="1"/>
    <col min="9729" max="9729" width="9.21875" style="466" customWidth="1"/>
    <col min="9730" max="9730" width="11.33203125" style="466" customWidth="1"/>
    <col min="9731" max="9731" width="25.21875" style="466" customWidth="1"/>
    <col min="9732" max="9732" width="16.6640625" style="466" customWidth="1"/>
    <col min="9733" max="9975" width="8" style="466" bestFit="1" customWidth="1"/>
    <col min="9976" max="9978" width="7.77734375" style="466"/>
    <col min="9979" max="9979" width="4.77734375" style="466" customWidth="1"/>
    <col min="9980" max="9980" width="26.109375" style="466" customWidth="1"/>
    <col min="9981" max="9981" width="11.33203125" style="466" customWidth="1"/>
    <col min="9982" max="9982" width="13.109375" style="466" customWidth="1"/>
    <col min="9983" max="9983" width="12.109375" style="466" customWidth="1"/>
    <col min="9984" max="9984" width="12.44140625" style="466" customWidth="1"/>
    <col min="9985" max="9985" width="9.21875" style="466" customWidth="1"/>
    <col min="9986" max="9986" width="11.33203125" style="466" customWidth="1"/>
    <col min="9987" max="9987" width="25.21875" style="466" customWidth="1"/>
    <col min="9988" max="9988" width="16.6640625" style="466" customWidth="1"/>
    <col min="9989" max="10231" width="8" style="466" bestFit="1" customWidth="1"/>
    <col min="10232" max="10234" width="7.77734375" style="466"/>
    <col min="10235" max="10235" width="4.77734375" style="466" customWidth="1"/>
    <col min="10236" max="10236" width="26.109375" style="466" customWidth="1"/>
    <col min="10237" max="10237" width="11.33203125" style="466" customWidth="1"/>
    <col min="10238" max="10238" width="13.109375" style="466" customWidth="1"/>
    <col min="10239" max="10239" width="12.109375" style="466" customWidth="1"/>
    <col min="10240" max="10240" width="12.44140625" style="466" customWidth="1"/>
    <col min="10241" max="10241" width="9.21875" style="466" customWidth="1"/>
    <col min="10242" max="10242" width="11.33203125" style="466" customWidth="1"/>
    <col min="10243" max="10243" width="25.21875" style="466" customWidth="1"/>
    <col min="10244" max="10244" width="16.6640625" style="466" customWidth="1"/>
    <col min="10245" max="10487" width="8" style="466" bestFit="1" customWidth="1"/>
    <col min="10488" max="10490" width="7.77734375" style="466"/>
    <col min="10491" max="10491" width="4.77734375" style="466" customWidth="1"/>
    <col min="10492" max="10492" width="26.109375" style="466" customWidth="1"/>
    <col min="10493" max="10493" width="11.33203125" style="466" customWidth="1"/>
    <col min="10494" max="10494" width="13.109375" style="466" customWidth="1"/>
    <col min="10495" max="10495" width="12.109375" style="466" customWidth="1"/>
    <col min="10496" max="10496" width="12.44140625" style="466" customWidth="1"/>
    <col min="10497" max="10497" width="9.21875" style="466" customWidth="1"/>
    <col min="10498" max="10498" width="11.33203125" style="466" customWidth="1"/>
    <col min="10499" max="10499" width="25.21875" style="466" customWidth="1"/>
    <col min="10500" max="10500" width="16.6640625" style="466" customWidth="1"/>
    <col min="10501" max="10743" width="8" style="466" bestFit="1" customWidth="1"/>
    <col min="10744" max="10746" width="7.77734375" style="466"/>
    <col min="10747" max="10747" width="4.77734375" style="466" customWidth="1"/>
    <col min="10748" max="10748" width="26.109375" style="466" customWidth="1"/>
    <col min="10749" max="10749" width="11.33203125" style="466" customWidth="1"/>
    <col min="10750" max="10750" width="13.109375" style="466" customWidth="1"/>
    <col min="10751" max="10751" width="12.109375" style="466" customWidth="1"/>
    <col min="10752" max="10752" width="12.44140625" style="466" customWidth="1"/>
    <col min="10753" max="10753" width="9.21875" style="466" customWidth="1"/>
    <col min="10754" max="10754" width="11.33203125" style="466" customWidth="1"/>
    <col min="10755" max="10755" width="25.21875" style="466" customWidth="1"/>
    <col min="10756" max="10756" width="16.6640625" style="466" customWidth="1"/>
    <col min="10757" max="10999" width="8" style="466" bestFit="1" customWidth="1"/>
    <col min="11000" max="11002" width="7.77734375" style="466"/>
    <col min="11003" max="11003" width="4.77734375" style="466" customWidth="1"/>
    <col min="11004" max="11004" width="26.109375" style="466" customWidth="1"/>
    <col min="11005" max="11005" width="11.33203125" style="466" customWidth="1"/>
    <col min="11006" max="11006" width="13.109375" style="466" customWidth="1"/>
    <col min="11007" max="11007" width="12.109375" style="466" customWidth="1"/>
    <col min="11008" max="11008" width="12.44140625" style="466" customWidth="1"/>
    <col min="11009" max="11009" width="9.21875" style="466" customWidth="1"/>
    <col min="11010" max="11010" width="11.33203125" style="466" customWidth="1"/>
    <col min="11011" max="11011" width="25.21875" style="466" customWidth="1"/>
    <col min="11012" max="11012" width="16.6640625" style="466" customWidth="1"/>
    <col min="11013" max="11255" width="8" style="466" bestFit="1" customWidth="1"/>
    <col min="11256" max="11258" width="7.77734375" style="466"/>
    <col min="11259" max="11259" width="4.77734375" style="466" customWidth="1"/>
    <col min="11260" max="11260" width="26.109375" style="466" customWidth="1"/>
    <col min="11261" max="11261" width="11.33203125" style="466" customWidth="1"/>
    <col min="11262" max="11262" width="13.109375" style="466" customWidth="1"/>
    <col min="11263" max="11263" width="12.109375" style="466" customWidth="1"/>
    <col min="11264" max="11264" width="12.44140625" style="466" customWidth="1"/>
    <col min="11265" max="11265" width="9.21875" style="466" customWidth="1"/>
    <col min="11266" max="11266" width="11.33203125" style="466" customWidth="1"/>
    <col min="11267" max="11267" width="25.21875" style="466" customWidth="1"/>
    <col min="11268" max="11268" width="16.6640625" style="466" customWidth="1"/>
    <col min="11269" max="11511" width="8" style="466" bestFit="1" customWidth="1"/>
    <col min="11512" max="11514" width="7.77734375" style="466"/>
    <col min="11515" max="11515" width="4.77734375" style="466" customWidth="1"/>
    <col min="11516" max="11516" width="26.109375" style="466" customWidth="1"/>
    <col min="11517" max="11517" width="11.33203125" style="466" customWidth="1"/>
    <col min="11518" max="11518" width="13.109375" style="466" customWidth="1"/>
    <col min="11519" max="11519" width="12.109375" style="466" customWidth="1"/>
    <col min="11520" max="11520" width="12.44140625" style="466" customWidth="1"/>
    <col min="11521" max="11521" width="9.21875" style="466" customWidth="1"/>
    <col min="11522" max="11522" width="11.33203125" style="466" customWidth="1"/>
    <col min="11523" max="11523" width="25.21875" style="466" customWidth="1"/>
    <col min="11524" max="11524" width="16.6640625" style="466" customWidth="1"/>
    <col min="11525" max="11767" width="8" style="466" bestFit="1" customWidth="1"/>
    <col min="11768" max="11770" width="7.77734375" style="466"/>
    <col min="11771" max="11771" width="4.77734375" style="466" customWidth="1"/>
    <col min="11772" max="11772" width="26.109375" style="466" customWidth="1"/>
    <col min="11773" max="11773" width="11.33203125" style="466" customWidth="1"/>
    <col min="11774" max="11774" width="13.109375" style="466" customWidth="1"/>
    <col min="11775" max="11775" width="12.109375" style="466" customWidth="1"/>
    <col min="11776" max="11776" width="12.44140625" style="466" customWidth="1"/>
    <col min="11777" max="11777" width="9.21875" style="466" customWidth="1"/>
    <col min="11778" max="11778" width="11.33203125" style="466" customWidth="1"/>
    <col min="11779" max="11779" width="25.21875" style="466" customWidth="1"/>
    <col min="11780" max="11780" width="16.6640625" style="466" customWidth="1"/>
    <col min="11781" max="12023" width="8" style="466" bestFit="1" customWidth="1"/>
    <col min="12024" max="12026" width="7.77734375" style="466"/>
    <col min="12027" max="12027" width="4.77734375" style="466" customWidth="1"/>
    <col min="12028" max="12028" width="26.109375" style="466" customWidth="1"/>
    <col min="12029" max="12029" width="11.33203125" style="466" customWidth="1"/>
    <col min="12030" max="12030" width="13.109375" style="466" customWidth="1"/>
    <col min="12031" max="12031" width="12.109375" style="466" customWidth="1"/>
    <col min="12032" max="12032" width="12.44140625" style="466" customWidth="1"/>
    <col min="12033" max="12033" width="9.21875" style="466" customWidth="1"/>
    <col min="12034" max="12034" width="11.33203125" style="466" customWidth="1"/>
    <col min="12035" max="12035" width="25.21875" style="466" customWidth="1"/>
    <col min="12036" max="12036" width="16.6640625" style="466" customWidth="1"/>
    <col min="12037" max="12279" width="8" style="466" bestFit="1" customWidth="1"/>
    <col min="12280" max="12282" width="7.77734375" style="466"/>
    <col min="12283" max="12283" width="4.77734375" style="466" customWidth="1"/>
    <col min="12284" max="12284" width="26.109375" style="466" customWidth="1"/>
    <col min="12285" max="12285" width="11.33203125" style="466" customWidth="1"/>
    <col min="12286" max="12286" width="13.109375" style="466" customWidth="1"/>
    <col min="12287" max="12287" width="12.109375" style="466" customWidth="1"/>
    <col min="12288" max="12288" width="12.44140625" style="466" customWidth="1"/>
    <col min="12289" max="12289" width="9.21875" style="466" customWidth="1"/>
    <col min="12290" max="12290" width="11.33203125" style="466" customWidth="1"/>
    <col min="12291" max="12291" width="25.21875" style="466" customWidth="1"/>
    <col min="12292" max="12292" width="16.6640625" style="466" customWidth="1"/>
    <col min="12293" max="12535" width="8" style="466" bestFit="1" customWidth="1"/>
    <col min="12536" max="12538" width="7.77734375" style="466"/>
    <col min="12539" max="12539" width="4.77734375" style="466" customWidth="1"/>
    <col min="12540" max="12540" width="26.109375" style="466" customWidth="1"/>
    <col min="12541" max="12541" width="11.33203125" style="466" customWidth="1"/>
    <col min="12542" max="12542" width="13.109375" style="466" customWidth="1"/>
    <col min="12543" max="12543" width="12.109375" style="466" customWidth="1"/>
    <col min="12544" max="12544" width="12.44140625" style="466" customWidth="1"/>
    <col min="12545" max="12545" width="9.21875" style="466" customWidth="1"/>
    <col min="12546" max="12546" width="11.33203125" style="466" customWidth="1"/>
    <col min="12547" max="12547" width="25.21875" style="466" customWidth="1"/>
    <col min="12548" max="12548" width="16.6640625" style="466" customWidth="1"/>
    <col min="12549" max="12791" width="8" style="466" bestFit="1" customWidth="1"/>
    <col min="12792" max="12794" width="7.77734375" style="466"/>
    <col min="12795" max="12795" width="4.77734375" style="466" customWidth="1"/>
    <col min="12796" max="12796" width="26.109375" style="466" customWidth="1"/>
    <col min="12797" max="12797" width="11.33203125" style="466" customWidth="1"/>
    <col min="12798" max="12798" width="13.109375" style="466" customWidth="1"/>
    <col min="12799" max="12799" width="12.109375" style="466" customWidth="1"/>
    <col min="12800" max="12800" width="12.44140625" style="466" customWidth="1"/>
    <col min="12801" max="12801" width="9.21875" style="466" customWidth="1"/>
    <col min="12802" max="12802" width="11.33203125" style="466" customWidth="1"/>
    <col min="12803" max="12803" width="25.21875" style="466" customWidth="1"/>
    <col min="12804" max="12804" width="16.6640625" style="466" customWidth="1"/>
    <col min="12805" max="13047" width="8" style="466" bestFit="1" customWidth="1"/>
    <col min="13048" max="13050" width="7.77734375" style="466"/>
    <col min="13051" max="13051" width="4.77734375" style="466" customWidth="1"/>
    <col min="13052" max="13052" width="26.109375" style="466" customWidth="1"/>
    <col min="13053" max="13053" width="11.33203125" style="466" customWidth="1"/>
    <col min="13054" max="13054" width="13.109375" style="466" customWidth="1"/>
    <col min="13055" max="13055" width="12.109375" style="466" customWidth="1"/>
    <col min="13056" max="13056" width="12.44140625" style="466" customWidth="1"/>
    <col min="13057" max="13057" width="9.21875" style="466" customWidth="1"/>
    <col min="13058" max="13058" width="11.33203125" style="466" customWidth="1"/>
    <col min="13059" max="13059" width="25.21875" style="466" customWidth="1"/>
    <col min="13060" max="13060" width="16.6640625" style="466" customWidth="1"/>
    <col min="13061" max="13303" width="8" style="466" bestFit="1" customWidth="1"/>
    <col min="13304" max="13306" width="7.77734375" style="466"/>
    <col min="13307" max="13307" width="4.77734375" style="466" customWidth="1"/>
    <col min="13308" max="13308" width="26.109375" style="466" customWidth="1"/>
    <col min="13309" max="13309" width="11.33203125" style="466" customWidth="1"/>
    <col min="13310" max="13310" width="13.109375" style="466" customWidth="1"/>
    <col min="13311" max="13311" width="12.109375" style="466" customWidth="1"/>
    <col min="13312" max="13312" width="12.44140625" style="466" customWidth="1"/>
    <col min="13313" max="13313" width="9.21875" style="466" customWidth="1"/>
    <col min="13314" max="13314" width="11.33203125" style="466" customWidth="1"/>
    <col min="13315" max="13315" width="25.21875" style="466" customWidth="1"/>
    <col min="13316" max="13316" width="16.6640625" style="466" customWidth="1"/>
    <col min="13317" max="13559" width="8" style="466" bestFit="1" customWidth="1"/>
    <col min="13560" max="13562" width="7.77734375" style="466"/>
    <col min="13563" max="13563" width="4.77734375" style="466" customWidth="1"/>
    <col min="13564" max="13564" width="26.109375" style="466" customWidth="1"/>
    <col min="13565" max="13565" width="11.33203125" style="466" customWidth="1"/>
    <col min="13566" max="13566" width="13.109375" style="466" customWidth="1"/>
    <col min="13567" max="13567" width="12.109375" style="466" customWidth="1"/>
    <col min="13568" max="13568" width="12.44140625" style="466" customWidth="1"/>
    <col min="13569" max="13569" width="9.21875" style="466" customWidth="1"/>
    <col min="13570" max="13570" width="11.33203125" style="466" customWidth="1"/>
    <col min="13571" max="13571" width="25.21875" style="466" customWidth="1"/>
    <col min="13572" max="13572" width="16.6640625" style="466" customWidth="1"/>
    <col min="13573" max="13815" width="8" style="466" bestFit="1" customWidth="1"/>
    <col min="13816" max="13818" width="7.77734375" style="466"/>
    <col min="13819" max="13819" width="4.77734375" style="466" customWidth="1"/>
    <col min="13820" max="13820" width="26.109375" style="466" customWidth="1"/>
    <col min="13821" max="13821" width="11.33203125" style="466" customWidth="1"/>
    <col min="13822" max="13822" width="13.109375" style="466" customWidth="1"/>
    <col min="13823" max="13823" width="12.109375" style="466" customWidth="1"/>
    <col min="13824" max="13824" width="12.44140625" style="466" customWidth="1"/>
    <col min="13825" max="13825" width="9.21875" style="466" customWidth="1"/>
    <col min="13826" max="13826" width="11.33203125" style="466" customWidth="1"/>
    <col min="13827" max="13827" width="25.21875" style="466" customWidth="1"/>
    <col min="13828" max="13828" width="16.6640625" style="466" customWidth="1"/>
    <col min="13829" max="14071" width="8" style="466" bestFit="1" customWidth="1"/>
    <col min="14072" max="14074" width="7.77734375" style="466"/>
    <col min="14075" max="14075" width="4.77734375" style="466" customWidth="1"/>
    <col min="14076" max="14076" width="26.109375" style="466" customWidth="1"/>
    <col min="14077" max="14077" width="11.33203125" style="466" customWidth="1"/>
    <col min="14078" max="14078" width="13.109375" style="466" customWidth="1"/>
    <col min="14079" max="14079" width="12.109375" style="466" customWidth="1"/>
    <col min="14080" max="14080" width="12.44140625" style="466" customWidth="1"/>
    <col min="14081" max="14081" width="9.21875" style="466" customWidth="1"/>
    <col min="14082" max="14082" width="11.33203125" style="466" customWidth="1"/>
    <col min="14083" max="14083" width="25.21875" style="466" customWidth="1"/>
    <col min="14084" max="14084" width="16.6640625" style="466" customWidth="1"/>
    <col min="14085" max="14327" width="8" style="466" bestFit="1" customWidth="1"/>
    <col min="14328" max="14330" width="7.77734375" style="466"/>
    <col min="14331" max="14331" width="4.77734375" style="466" customWidth="1"/>
    <col min="14332" max="14332" width="26.109375" style="466" customWidth="1"/>
    <col min="14333" max="14333" width="11.33203125" style="466" customWidth="1"/>
    <col min="14334" max="14334" width="13.109375" style="466" customWidth="1"/>
    <col min="14335" max="14335" width="12.109375" style="466" customWidth="1"/>
    <col min="14336" max="14336" width="12.44140625" style="466" customWidth="1"/>
    <col min="14337" max="14337" width="9.21875" style="466" customWidth="1"/>
    <col min="14338" max="14338" width="11.33203125" style="466" customWidth="1"/>
    <col min="14339" max="14339" width="25.21875" style="466" customWidth="1"/>
    <col min="14340" max="14340" width="16.6640625" style="466" customWidth="1"/>
    <col min="14341" max="14583" width="8" style="466" bestFit="1" customWidth="1"/>
    <col min="14584" max="14586" width="7.77734375" style="466"/>
    <col min="14587" max="14587" width="4.77734375" style="466" customWidth="1"/>
    <col min="14588" max="14588" width="26.109375" style="466" customWidth="1"/>
    <col min="14589" max="14589" width="11.33203125" style="466" customWidth="1"/>
    <col min="14590" max="14590" width="13.109375" style="466" customWidth="1"/>
    <col min="14591" max="14591" width="12.109375" style="466" customWidth="1"/>
    <col min="14592" max="14592" width="12.44140625" style="466" customWidth="1"/>
    <col min="14593" max="14593" width="9.21875" style="466" customWidth="1"/>
    <col min="14594" max="14594" width="11.33203125" style="466" customWidth="1"/>
    <col min="14595" max="14595" width="25.21875" style="466" customWidth="1"/>
    <col min="14596" max="14596" width="16.6640625" style="466" customWidth="1"/>
    <col min="14597" max="14839" width="8" style="466" bestFit="1" customWidth="1"/>
    <col min="14840" max="14842" width="7.77734375" style="466"/>
    <col min="14843" max="14843" width="4.77734375" style="466" customWidth="1"/>
    <col min="14844" max="14844" width="26.109375" style="466" customWidth="1"/>
    <col min="14845" max="14845" width="11.33203125" style="466" customWidth="1"/>
    <col min="14846" max="14846" width="13.109375" style="466" customWidth="1"/>
    <col min="14847" max="14847" width="12.109375" style="466" customWidth="1"/>
    <col min="14848" max="14848" width="12.44140625" style="466" customWidth="1"/>
    <col min="14849" max="14849" width="9.21875" style="466" customWidth="1"/>
    <col min="14850" max="14850" width="11.33203125" style="466" customWidth="1"/>
    <col min="14851" max="14851" width="25.21875" style="466" customWidth="1"/>
    <col min="14852" max="14852" width="16.6640625" style="466" customWidth="1"/>
    <col min="14853" max="15095" width="8" style="466" bestFit="1" customWidth="1"/>
    <col min="15096" max="15098" width="7.77734375" style="466"/>
    <col min="15099" max="15099" width="4.77734375" style="466" customWidth="1"/>
    <col min="15100" max="15100" width="26.109375" style="466" customWidth="1"/>
    <col min="15101" max="15101" width="11.33203125" style="466" customWidth="1"/>
    <col min="15102" max="15102" width="13.109375" style="466" customWidth="1"/>
    <col min="15103" max="15103" width="12.109375" style="466" customWidth="1"/>
    <col min="15104" max="15104" width="12.44140625" style="466" customWidth="1"/>
    <col min="15105" max="15105" width="9.21875" style="466" customWidth="1"/>
    <col min="15106" max="15106" width="11.33203125" style="466" customWidth="1"/>
    <col min="15107" max="15107" width="25.21875" style="466" customWidth="1"/>
    <col min="15108" max="15108" width="16.6640625" style="466" customWidth="1"/>
    <col min="15109" max="15351" width="8" style="466" bestFit="1" customWidth="1"/>
    <col min="15352" max="15354" width="7.77734375" style="466"/>
    <col min="15355" max="15355" width="4.77734375" style="466" customWidth="1"/>
    <col min="15356" max="15356" width="26.109375" style="466" customWidth="1"/>
    <col min="15357" max="15357" width="11.33203125" style="466" customWidth="1"/>
    <col min="15358" max="15358" width="13.109375" style="466" customWidth="1"/>
    <col min="15359" max="15359" width="12.109375" style="466" customWidth="1"/>
    <col min="15360" max="15360" width="12.44140625" style="466" customWidth="1"/>
    <col min="15361" max="15361" width="9.21875" style="466" customWidth="1"/>
    <col min="15362" max="15362" width="11.33203125" style="466" customWidth="1"/>
    <col min="15363" max="15363" width="25.21875" style="466" customWidth="1"/>
    <col min="15364" max="15364" width="16.6640625" style="466" customWidth="1"/>
    <col min="15365" max="15607" width="8" style="466" bestFit="1" customWidth="1"/>
    <col min="15608" max="15610" width="7.77734375" style="466"/>
    <col min="15611" max="15611" width="4.77734375" style="466" customWidth="1"/>
    <col min="15612" max="15612" width="26.109375" style="466" customWidth="1"/>
    <col min="15613" max="15613" width="11.33203125" style="466" customWidth="1"/>
    <col min="15614" max="15614" width="13.109375" style="466" customWidth="1"/>
    <col min="15615" max="15615" width="12.109375" style="466" customWidth="1"/>
    <col min="15616" max="15616" width="12.44140625" style="466" customWidth="1"/>
    <col min="15617" max="15617" width="9.21875" style="466" customWidth="1"/>
    <col min="15618" max="15618" width="11.33203125" style="466" customWidth="1"/>
    <col min="15619" max="15619" width="25.21875" style="466" customWidth="1"/>
    <col min="15620" max="15620" width="16.6640625" style="466" customWidth="1"/>
    <col min="15621" max="15863" width="8" style="466" bestFit="1" customWidth="1"/>
    <col min="15864" max="15866" width="7.77734375" style="466"/>
    <col min="15867" max="15867" width="4.77734375" style="466" customWidth="1"/>
    <col min="15868" max="15868" width="26.109375" style="466" customWidth="1"/>
    <col min="15869" max="15869" width="11.33203125" style="466" customWidth="1"/>
    <col min="15870" max="15870" width="13.109375" style="466" customWidth="1"/>
    <col min="15871" max="15871" width="12.109375" style="466" customWidth="1"/>
    <col min="15872" max="15872" width="12.44140625" style="466" customWidth="1"/>
    <col min="15873" max="15873" width="9.21875" style="466" customWidth="1"/>
    <col min="15874" max="15874" width="11.33203125" style="466" customWidth="1"/>
    <col min="15875" max="15875" width="25.21875" style="466" customWidth="1"/>
    <col min="15876" max="15876" width="16.6640625" style="466" customWidth="1"/>
    <col min="15877" max="16119" width="8" style="466" bestFit="1" customWidth="1"/>
    <col min="16120" max="16122" width="7.77734375" style="466"/>
    <col min="16123" max="16123" width="4.77734375" style="466" customWidth="1"/>
    <col min="16124" max="16124" width="26.109375" style="466" customWidth="1"/>
    <col min="16125" max="16125" width="11.33203125" style="466" customWidth="1"/>
    <col min="16126" max="16126" width="13.109375" style="466" customWidth="1"/>
    <col min="16127" max="16127" width="12.109375" style="466" customWidth="1"/>
    <col min="16128" max="16128" width="12.44140625" style="466" customWidth="1"/>
    <col min="16129" max="16129" width="9.21875" style="466" customWidth="1"/>
    <col min="16130" max="16130" width="11.33203125" style="466" customWidth="1"/>
    <col min="16131" max="16131" width="25.21875" style="466" customWidth="1"/>
    <col min="16132" max="16132" width="16.6640625" style="466" customWidth="1"/>
    <col min="16133" max="16375" width="8" style="466" bestFit="1" customWidth="1"/>
    <col min="16376" max="16384" width="8" style="466" customWidth="1"/>
  </cols>
  <sheetData>
    <row r="1" spans="1:6" ht="15.6">
      <c r="F1" s="467" t="s">
        <v>859</v>
      </c>
    </row>
    <row r="2" spans="1:6" ht="22.5" customHeight="1">
      <c r="A2" s="525" t="s">
        <v>861</v>
      </c>
      <c r="B2" s="577"/>
      <c r="C2" s="577"/>
      <c r="D2" s="577"/>
      <c r="E2" s="577"/>
      <c r="F2" s="577"/>
    </row>
    <row r="3" spans="1:6" ht="18.75" customHeight="1">
      <c r="A3" s="569" t="str">
        <f>+'01-Cân đôi'!A3:D3</f>
        <v>(Kèm theo Nghị quyết số         /NQ-HĐND ngày     tháng 9 năm 2025 của HĐND xã Quang Sơn)</v>
      </c>
      <c r="B3" s="569"/>
      <c r="C3" s="569"/>
      <c r="D3" s="569"/>
      <c r="E3" s="569"/>
      <c r="F3" s="569"/>
    </row>
    <row r="4" spans="1:6" ht="14.25" customHeight="1">
      <c r="A4" s="468"/>
      <c r="B4" s="468"/>
      <c r="C4" s="468"/>
      <c r="D4" s="468"/>
      <c r="E4" s="468"/>
      <c r="F4" s="469" t="s">
        <v>912</v>
      </c>
    </row>
    <row r="5" spans="1:6" ht="13.5" customHeight="1">
      <c r="A5" s="576" t="s">
        <v>137</v>
      </c>
      <c r="B5" s="576" t="s">
        <v>862</v>
      </c>
      <c r="C5" s="576" t="s">
        <v>322</v>
      </c>
      <c r="D5" s="570" t="s">
        <v>111</v>
      </c>
      <c r="E5" s="571"/>
      <c r="F5" s="572" t="s">
        <v>6</v>
      </c>
    </row>
    <row r="6" spans="1:6" ht="31.5" customHeight="1">
      <c r="A6" s="576"/>
      <c r="B6" s="576"/>
      <c r="C6" s="576"/>
      <c r="D6" s="470" t="s">
        <v>863</v>
      </c>
      <c r="E6" s="470" t="s">
        <v>864</v>
      </c>
      <c r="F6" s="573"/>
    </row>
    <row r="7" spans="1:6" s="473" customFormat="1" ht="17.25" customHeight="1">
      <c r="A7" s="471"/>
      <c r="B7" s="471" t="s">
        <v>155</v>
      </c>
      <c r="C7" s="472">
        <f>+D7+E7</f>
        <v>4867652963</v>
      </c>
      <c r="D7" s="472">
        <f>+D8+D10</f>
        <v>4491660585</v>
      </c>
      <c r="E7" s="472">
        <f>+E8+E10</f>
        <v>375992378</v>
      </c>
      <c r="F7" s="472"/>
    </row>
    <row r="8" spans="1:6" s="473" customFormat="1" ht="18" customHeight="1">
      <c r="A8" s="474" t="s">
        <v>9</v>
      </c>
      <c r="B8" s="475" t="s">
        <v>865</v>
      </c>
      <c r="C8" s="476">
        <f>SUM(C9:C9)</f>
        <v>364000000</v>
      </c>
      <c r="D8" s="476">
        <f>SUM(D9:D9)</f>
        <v>364000000</v>
      </c>
      <c r="E8" s="476">
        <f>SUM(E9:E9)</f>
        <v>0</v>
      </c>
      <c r="F8" s="476"/>
    </row>
    <row r="9" spans="1:6" ht="29.25" customHeight="1">
      <c r="A9" s="477">
        <v>1</v>
      </c>
      <c r="B9" s="478" t="s">
        <v>209</v>
      </c>
      <c r="C9" s="479">
        <f>SUM(D9:E9)</f>
        <v>364000000</v>
      </c>
      <c r="D9" s="479">
        <v>364000000</v>
      </c>
      <c r="E9" s="479">
        <v>0</v>
      </c>
      <c r="F9" s="480"/>
    </row>
    <row r="10" spans="1:6" s="473" customFormat="1" ht="17.25" customHeight="1">
      <c r="A10" s="474" t="s">
        <v>14</v>
      </c>
      <c r="B10" s="481" t="s">
        <v>866</v>
      </c>
      <c r="C10" s="476">
        <f>SUM(C11:C16)</f>
        <v>4503652963</v>
      </c>
      <c r="D10" s="476">
        <f>SUM(D11:D16)</f>
        <v>4127660585</v>
      </c>
      <c r="E10" s="476">
        <f>SUM(E11:E16)</f>
        <v>375992378</v>
      </c>
      <c r="F10" s="476"/>
    </row>
    <row r="11" spans="1:6" ht="17.25" customHeight="1">
      <c r="A11" s="477">
        <v>1</v>
      </c>
      <c r="B11" s="478" t="s">
        <v>868</v>
      </c>
      <c r="C11" s="479">
        <f>SUM(D11:E11)</f>
        <v>196368799</v>
      </c>
      <c r="D11" s="479">
        <v>0</v>
      </c>
      <c r="E11" s="479">
        <v>196368799</v>
      </c>
      <c r="F11" s="480"/>
    </row>
    <row r="12" spans="1:6" ht="17.25" customHeight="1">
      <c r="A12" s="477">
        <v>2</v>
      </c>
      <c r="B12" s="478" t="s">
        <v>869</v>
      </c>
      <c r="C12" s="479">
        <f>SUM(D12:E12)</f>
        <v>179623579</v>
      </c>
      <c r="D12" s="482">
        <v>0</v>
      </c>
      <c r="E12" s="479">
        <v>179623579</v>
      </c>
      <c r="F12" s="480"/>
    </row>
    <row r="13" spans="1:6" ht="17.25" customHeight="1">
      <c r="A13" s="477">
        <v>3</v>
      </c>
      <c r="B13" s="483" t="s">
        <v>870</v>
      </c>
      <c r="C13" s="479">
        <f t="shared" ref="C13:C15" si="0">SUM(D13:E13)</f>
        <v>223500000</v>
      </c>
      <c r="D13" s="484">
        <v>223500000</v>
      </c>
      <c r="E13" s="485"/>
      <c r="F13" s="486"/>
    </row>
    <row r="14" spans="1:6" ht="26.4">
      <c r="A14" s="477">
        <v>4</v>
      </c>
      <c r="B14" s="483" t="s">
        <v>867</v>
      </c>
      <c r="C14" s="479">
        <f t="shared" si="0"/>
        <v>2034160585</v>
      </c>
      <c r="D14" s="484">
        <v>2034160585</v>
      </c>
      <c r="E14" s="485">
        <v>0</v>
      </c>
      <c r="F14" s="486"/>
    </row>
    <row r="15" spans="1:6">
      <c r="A15" s="477">
        <v>5</v>
      </c>
      <c r="B15" s="483" t="s">
        <v>396</v>
      </c>
      <c r="C15" s="479">
        <f t="shared" si="0"/>
        <v>1870000000</v>
      </c>
      <c r="D15" s="484">
        <v>1870000000</v>
      </c>
      <c r="E15" s="485">
        <v>0</v>
      </c>
      <c r="F15" s="486"/>
    </row>
    <row r="16" spans="1:6">
      <c r="A16" s="491"/>
      <c r="B16" s="487"/>
      <c r="C16" s="488"/>
      <c r="D16" s="489"/>
      <c r="E16" s="488"/>
      <c r="F16" s="490"/>
    </row>
  </sheetData>
  <mergeCells count="7">
    <mergeCell ref="A2:F2"/>
    <mergeCell ref="A3:F3"/>
    <mergeCell ref="A5:A6"/>
    <mergeCell ref="B5:B6"/>
    <mergeCell ref="C5:C6"/>
    <mergeCell ref="D5:E5"/>
    <mergeCell ref="F5:F6"/>
  </mergeCells>
  <pageMargins left="0.51181102362204722" right="0.19685039370078741" top="0.74803149606299213" bottom="0.74803149606299213" header="0.31496062992125984" footer="0.31496062992125984"/>
  <pageSetup paperSize="9" scale="95"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9ADE4-EB50-4F69-8E55-5B5DDA0F6367}">
  <dimension ref="A1:E8"/>
  <sheetViews>
    <sheetView workbookViewId="0">
      <selection activeCell="H7" sqref="H7"/>
    </sheetView>
  </sheetViews>
  <sheetFormatPr defaultColWidth="7.77734375" defaultRowHeight="13.2"/>
  <cols>
    <col min="1" max="1" width="4.77734375" style="466" customWidth="1"/>
    <col min="2" max="2" width="54.6640625" style="466" customWidth="1"/>
    <col min="3" max="3" width="3.33203125" style="466" hidden="1" customWidth="1"/>
    <col min="4" max="4" width="10.77734375" style="466" customWidth="1"/>
    <col min="5" max="5" width="11.33203125" style="466" customWidth="1"/>
    <col min="6" max="246" width="8" style="466" bestFit="1" customWidth="1"/>
    <col min="247" max="249" width="7.77734375" style="466"/>
    <col min="250" max="250" width="4.77734375" style="466" customWidth="1"/>
    <col min="251" max="251" width="26.109375" style="466" customWidth="1"/>
    <col min="252" max="252" width="11.33203125" style="466" customWidth="1"/>
    <col min="253" max="253" width="13.109375" style="466" customWidth="1"/>
    <col min="254" max="254" width="12.109375" style="466" customWidth="1"/>
    <col min="255" max="255" width="12.44140625" style="466" customWidth="1"/>
    <col min="256" max="256" width="9.21875" style="466" customWidth="1"/>
    <col min="257" max="257" width="11.33203125" style="466" customWidth="1"/>
    <col min="258" max="258" width="25.21875" style="466" customWidth="1"/>
    <col min="259" max="259" width="16.6640625" style="466" customWidth="1"/>
    <col min="260" max="502" width="8" style="466" bestFit="1" customWidth="1"/>
    <col min="503" max="505" width="7.77734375" style="466"/>
    <col min="506" max="506" width="4.77734375" style="466" customWidth="1"/>
    <col min="507" max="507" width="26.109375" style="466" customWidth="1"/>
    <col min="508" max="508" width="11.33203125" style="466" customWidth="1"/>
    <col min="509" max="509" width="13.109375" style="466" customWidth="1"/>
    <col min="510" max="510" width="12.109375" style="466" customWidth="1"/>
    <col min="511" max="511" width="12.44140625" style="466" customWidth="1"/>
    <col min="512" max="512" width="9.21875" style="466" customWidth="1"/>
    <col min="513" max="513" width="11.33203125" style="466" customWidth="1"/>
    <col min="514" max="514" width="25.21875" style="466" customWidth="1"/>
    <col min="515" max="515" width="16.6640625" style="466" customWidth="1"/>
    <col min="516" max="758" width="8" style="466" bestFit="1" customWidth="1"/>
    <col min="759" max="761" width="7.77734375" style="466"/>
    <col min="762" max="762" width="4.77734375" style="466" customWidth="1"/>
    <col min="763" max="763" width="26.109375" style="466" customWidth="1"/>
    <col min="764" max="764" width="11.33203125" style="466" customWidth="1"/>
    <col min="765" max="765" width="13.109375" style="466" customWidth="1"/>
    <col min="766" max="766" width="12.109375" style="466" customWidth="1"/>
    <col min="767" max="767" width="12.44140625" style="466" customWidth="1"/>
    <col min="768" max="768" width="9.21875" style="466" customWidth="1"/>
    <col min="769" max="769" width="11.33203125" style="466" customWidth="1"/>
    <col min="770" max="770" width="25.21875" style="466" customWidth="1"/>
    <col min="771" max="771" width="16.6640625" style="466" customWidth="1"/>
    <col min="772" max="1014" width="8" style="466" bestFit="1" customWidth="1"/>
    <col min="1015" max="1017" width="7.77734375" style="466"/>
    <col min="1018" max="1018" width="4.77734375" style="466" customWidth="1"/>
    <col min="1019" max="1019" width="26.109375" style="466" customWidth="1"/>
    <col min="1020" max="1020" width="11.33203125" style="466" customWidth="1"/>
    <col min="1021" max="1021" width="13.109375" style="466" customWidth="1"/>
    <col min="1022" max="1022" width="12.109375" style="466" customWidth="1"/>
    <col min="1023" max="1023" width="12.44140625" style="466" customWidth="1"/>
    <col min="1024" max="1024" width="9.21875" style="466" customWidth="1"/>
    <col min="1025" max="1025" width="11.33203125" style="466" customWidth="1"/>
    <col min="1026" max="1026" width="25.21875" style="466" customWidth="1"/>
    <col min="1027" max="1027" width="16.6640625" style="466" customWidth="1"/>
    <col min="1028" max="1270" width="8" style="466" bestFit="1" customWidth="1"/>
    <col min="1271" max="1273" width="7.77734375" style="466"/>
    <col min="1274" max="1274" width="4.77734375" style="466" customWidth="1"/>
    <col min="1275" max="1275" width="26.109375" style="466" customWidth="1"/>
    <col min="1276" max="1276" width="11.33203125" style="466" customWidth="1"/>
    <col min="1277" max="1277" width="13.109375" style="466" customWidth="1"/>
    <col min="1278" max="1278" width="12.109375" style="466" customWidth="1"/>
    <col min="1279" max="1279" width="12.44140625" style="466" customWidth="1"/>
    <col min="1280" max="1280" width="9.21875" style="466" customWidth="1"/>
    <col min="1281" max="1281" width="11.33203125" style="466" customWidth="1"/>
    <col min="1282" max="1282" width="25.21875" style="466" customWidth="1"/>
    <col min="1283" max="1283" width="16.6640625" style="466" customWidth="1"/>
    <col min="1284" max="1526" width="8" style="466" bestFit="1" customWidth="1"/>
    <col min="1527" max="1529" width="7.77734375" style="466"/>
    <col min="1530" max="1530" width="4.77734375" style="466" customWidth="1"/>
    <col min="1531" max="1531" width="26.109375" style="466" customWidth="1"/>
    <col min="1532" max="1532" width="11.33203125" style="466" customWidth="1"/>
    <col min="1533" max="1533" width="13.109375" style="466" customWidth="1"/>
    <col min="1534" max="1534" width="12.109375" style="466" customWidth="1"/>
    <col min="1535" max="1535" width="12.44140625" style="466" customWidth="1"/>
    <col min="1536" max="1536" width="9.21875" style="466" customWidth="1"/>
    <col min="1537" max="1537" width="11.33203125" style="466" customWidth="1"/>
    <col min="1538" max="1538" width="25.21875" style="466" customWidth="1"/>
    <col min="1539" max="1539" width="16.6640625" style="466" customWidth="1"/>
    <col min="1540" max="1782" width="8" style="466" bestFit="1" customWidth="1"/>
    <col min="1783" max="1785" width="7.77734375" style="466"/>
    <col min="1786" max="1786" width="4.77734375" style="466" customWidth="1"/>
    <col min="1787" max="1787" width="26.109375" style="466" customWidth="1"/>
    <col min="1788" max="1788" width="11.33203125" style="466" customWidth="1"/>
    <col min="1789" max="1789" width="13.109375" style="466" customWidth="1"/>
    <col min="1790" max="1790" width="12.109375" style="466" customWidth="1"/>
    <col min="1791" max="1791" width="12.44140625" style="466" customWidth="1"/>
    <col min="1792" max="1792" width="9.21875" style="466" customWidth="1"/>
    <col min="1793" max="1793" width="11.33203125" style="466" customWidth="1"/>
    <col min="1794" max="1794" width="25.21875" style="466" customWidth="1"/>
    <col min="1795" max="1795" width="16.6640625" style="466" customWidth="1"/>
    <col min="1796" max="2038" width="8" style="466" bestFit="1" customWidth="1"/>
    <col min="2039" max="2041" width="7.77734375" style="466"/>
    <col min="2042" max="2042" width="4.77734375" style="466" customWidth="1"/>
    <col min="2043" max="2043" width="26.109375" style="466" customWidth="1"/>
    <col min="2044" max="2044" width="11.33203125" style="466" customWidth="1"/>
    <col min="2045" max="2045" width="13.109375" style="466" customWidth="1"/>
    <col min="2046" max="2046" width="12.109375" style="466" customWidth="1"/>
    <col min="2047" max="2047" width="12.44140625" style="466" customWidth="1"/>
    <col min="2048" max="2048" width="9.21875" style="466" customWidth="1"/>
    <col min="2049" max="2049" width="11.33203125" style="466" customWidth="1"/>
    <col min="2050" max="2050" width="25.21875" style="466" customWidth="1"/>
    <col min="2051" max="2051" width="16.6640625" style="466" customWidth="1"/>
    <col min="2052" max="2294" width="8" style="466" bestFit="1" customWidth="1"/>
    <col min="2295" max="2297" width="7.77734375" style="466"/>
    <col min="2298" max="2298" width="4.77734375" style="466" customWidth="1"/>
    <col min="2299" max="2299" width="26.109375" style="466" customWidth="1"/>
    <col min="2300" max="2300" width="11.33203125" style="466" customWidth="1"/>
    <col min="2301" max="2301" width="13.109375" style="466" customWidth="1"/>
    <col min="2302" max="2302" width="12.109375" style="466" customWidth="1"/>
    <col min="2303" max="2303" width="12.44140625" style="466" customWidth="1"/>
    <col min="2304" max="2304" width="9.21875" style="466" customWidth="1"/>
    <col min="2305" max="2305" width="11.33203125" style="466" customWidth="1"/>
    <col min="2306" max="2306" width="25.21875" style="466" customWidth="1"/>
    <col min="2307" max="2307" width="16.6640625" style="466" customWidth="1"/>
    <col min="2308" max="2550" width="8" style="466" bestFit="1" customWidth="1"/>
    <col min="2551" max="2553" width="7.77734375" style="466"/>
    <col min="2554" max="2554" width="4.77734375" style="466" customWidth="1"/>
    <col min="2555" max="2555" width="26.109375" style="466" customWidth="1"/>
    <col min="2556" max="2556" width="11.33203125" style="466" customWidth="1"/>
    <col min="2557" max="2557" width="13.109375" style="466" customWidth="1"/>
    <col min="2558" max="2558" width="12.109375" style="466" customWidth="1"/>
    <col min="2559" max="2559" width="12.44140625" style="466" customWidth="1"/>
    <col min="2560" max="2560" width="9.21875" style="466" customWidth="1"/>
    <col min="2561" max="2561" width="11.33203125" style="466" customWidth="1"/>
    <col min="2562" max="2562" width="25.21875" style="466" customWidth="1"/>
    <col min="2563" max="2563" width="16.6640625" style="466" customWidth="1"/>
    <col min="2564" max="2806" width="8" style="466" bestFit="1" customWidth="1"/>
    <col min="2807" max="2809" width="7.77734375" style="466"/>
    <col min="2810" max="2810" width="4.77734375" style="466" customWidth="1"/>
    <col min="2811" max="2811" width="26.109375" style="466" customWidth="1"/>
    <col min="2812" max="2812" width="11.33203125" style="466" customWidth="1"/>
    <col min="2813" max="2813" width="13.109375" style="466" customWidth="1"/>
    <col min="2814" max="2814" width="12.109375" style="466" customWidth="1"/>
    <col min="2815" max="2815" width="12.44140625" style="466" customWidth="1"/>
    <col min="2816" max="2816" width="9.21875" style="466" customWidth="1"/>
    <col min="2817" max="2817" width="11.33203125" style="466" customWidth="1"/>
    <col min="2818" max="2818" width="25.21875" style="466" customWidth="1"/>
    <col min="2819" max="2819" width="16.6640625" style="466" customWidth="1"/>
    <col min="2820" max="3062" width="8" style="466" bestFit="1" customWidth="1"/>
    <col min="3063" max="3065" width="7.77734375" style="466"/>
    <col min="3066" max="3066" width="4.77734375" style="466" customWidth="1"/>
    <col min="3067" max="3067" width="26.109375" style="466" customWidth="1"/>
    <col min="3068" max="3068" width="11.33203125" style="466" customWidth="1"/>
    <col min="3069" max="3069" width="13.109375" style="466" customWidth="1"/>
    <col min="3070" max="3070" width="12.109375" style="466" customWidth="1"/>
    <col min="3071" max="3071" width="12.44140625" style="466" customWidth="1"/>
    <col min="3072" max="3072" width="9.21875" style="466" customWidth="1"/>
    <col min="3073" max="3073" width="11.33203125" style="466" customWidth="1"/>
    <col min="3074" max="3074" width="25.21875" style="466" customWidth="1"/>
    <col min="3075" max="3075" width="16.6640625" style="466" customWidth="1"/>
    <col min="3076" max="3318" width="8" style="466" bestFit="1" customWidth="1"/>
    <col min="3319" max="3321" width="7.77734375" style="466"/>
    <col min="3322" max="3322" width="4.77734375" style="466" customWidth="1"/>
    <col min="3323" max="3323" width="26.109375" style="466" customWidth="1"/>
    <col min="3324" max="3324" width="11.33203125" style="466" customWidth="1"/>
    <col min="3325" max="3325" width="13.109375" style="466" customWidth="1"/>
    <col min="3326" max="3326" width="12.109375" style="466" customWidth="1"/>
    <col min="3327" max="3327" width="12.44140625" style="466" customWidth="1"/>
    <col min="3328" max="3328" width="9.21875" style="466" customWidth="1"/>
    <col min="3329" max="3329" width="11.33203125" style="466" customWidth="1"/>
    <col min="3330" max="3330" width="25.21875" style="466" customWidth="1"/>
    <col min="3331" max="3331" width="16.6640625" style="466" customWidth="1"/>
    <col min="3332" max="3574" width="8" style="466" bestFit="1" customWidth="1"/>
    <col min="3575" max="3577" width="7.77734375" style="466"/>
    <col min="3578" max="3578" width="4.77734375" style="466" customWidth="1"/>
    <col min="3579" max="3579" width="26.109375" style="466" customWidth="1"/>
    <col min="3580" max="3580" width="11.33203125" style="466" customWidth="1"/>
    <col min="3581" max="3581" width="13.109375" style="466" customWidth="1"/>
    <col min="3582" max="3582" width="12.109375" style="466" customWidth="1"/>
    <col min="3583" max="3583" width="12.44140625" style="466" customWidth="1"/>
    <col min="3584" max="3584" width="9.21875" style="466" customWidth="1"/>
    <col min="3585" max="3585" width="11.33203125" style="466" customWidth="1"/>
    <col min="3586" max="3586" width="25.21875" style="466" customWidth="1"/>
    <col min="3587" max="3587" width="16.6640625" style="466" customWidth="1"/>
    <col min="3588" max="3830" width="8" style="466" bestFit="1" customWidth="1"/>
    <col min="3831" max="3833" width="7.77734375" style="466"/>
    <col min="3834" max="3834" width="4.77734375" style="466" customWidth="1"/>
    <col min="3835" max="3835" width="26.109375" style="466" customWidth="1"/>
    <col min="3836" max="3836" width="11.33203125" style="466" customWidth="1"/>
    <col min="3837" max="3837" width="13.109375" style="466" customWidth="1"/>
    <col min="3838" max="3838" width="12.109375" style="466" customWidth="1"/>
    <col min="3839" max="3839" width="12.44140625" style="466" customWidth="1"/>
    <col min="3840" max="3840" width="9.21875" style="466" customWidth="1"/>
    <col min="3841" max="3841" width="11.33203125" style="466" customWidth="1"/>
    <col min="3842" max="3842" width="25.21875" style="466" customWidth="1"/>
    <col min="3843" max="3843" width="16.6640625" style="466" customWidth="1"/>
    <col min="3844" max="4086" width="8" style="466" bestFit="1" customWidth="1"/>
    <col min="4087" max="4089" width="7.77734375" style="466"/>
    <col min="4090" max="4090" width="4.77734375" style="466" customWidth="1"/>
    <col min="4091" max="4091" width="26.109375" style="466" customWidth="1"/>
    <col min="4092" max="4092" width="11.33203125" style="466" customWidth="1"/>
    <col min="4093" max="4093" width="13.109375" style="466" customWidth="1"/>
    <col min="4094" max="4094" width="12.109375" style="466" customWidth="1"/>
    <col min="4095" max="4095" width="12.44140625" style="466" customWidth="1"/>
    <col min="4096" max="4096" width="9.21875" style="466" customWidth="1"/>
    <col min="4097" max="4097" width="11.33203125" style="466" customWidth="1"/>
    <col min="4098" max="4098" width="25.21875" style="466" customWidth="1"/>
    <col min="4099" max="4099" width="16.6640625" style="466" customWidth="1"/>
    <col min="4100" max="4342" width="8" style="466" bestFit="1" customWidth="1"/>
    <col min="4343" max="4345" width="7.77734375" style="466"/>
    <col min="4346" max="4346" width="4.77734375" style="466" customWidth="1"/>
    <col min="4347" max="4347" width="26.109375" style="466" customWidth="1"/>
    <col min="4348" max="4348" width="11.33203125" style="466" customWidth="1"/>
    <col min="4349" max="4349" width="13.109375" style="466" customWidth="1"/>
    <col min="4350" max="4350" width="12.109375" style="466" customWidth="1"/>
    <col min="4351" max="4351" width="12.44140625" style="466" customWidth="1"/>
    <col min="4352" max="4352" width="9.21875" style="466" customWidth="1"/>
    <col min="4353" max="4353" width="11.33203125" style="466" customWidth="1"/>
    <col min="4354" max="4354" width="25.21875" style="466" customWidth="1"/>
    <col min="4355" max="4355" width="16.6640625" style="466" customWidth="1"/>
    <col min="4356" max="4598" width="8" style="466" bestFit="1" customWidth="1"/>
    <col min="4599" max="4601" width="7.77734375" style="466"/>
    <col min="4602" max="4602" width="4.77734375" style="466" customWidth="1"/>
    <col min="4603" max="4603" width="26.109375" style="466" customWidth="1"/>
    <col min="4604" max="4604" width="11.33203125" style="466" customWidth="1"/>
    <col min="4605" max="4605" width="13.109375" style="466" customWidth="1"/>
    <col min="4606" max="4606" width="12.109375" style="466" customWidth="1"/>
    <col min="4607" max="4607" width="12.44140625" style="466" customWidth="1"/>
    <col min="4608" max="4608" width="9.21875" style="466" customWidth="1"/>
    <col min="4609" max="4609" width="11.33203125" style="466" customWidth="1"/>
    <col min="4610" max="4610" width="25.21875" style="466" customWidth="1"/>
    <col min="4611" max="4611" width="16.6640625" style="466" customWidth="1"/>
    <col min="4612" max="4854" width="8" style="466" bestFit="1" customWidth="1"/>
    <col min="4855" max="4857" width="7.77734375" style="466"/>
    <col min="4858" max="4858" width="4.77734375" style="466" customWidth="1"/>
    <col min="4859" max="4859" width="26.109375" style="466" customWidth="1"/>
    <col min="4860" max="4860" width="11.33203125" style="466" customWidth="1"/>
    <col min="4861" max="4861" width="13.109375" style="466" customWidth="1"/>
    <col min="4862" max="4862" width="12.109375" style="466" customWidth="1"/>
    <col min="4863" max="4863" width="12.44140625" style="466" customWidth="1"/>
    <col min="4864" max="4864" width="9.21875" style="466" customWidth="1"/>
    <col min="4865" max="4865" width="11.33203125" style="466" customWidth="1"/>
    <col min="4866" max="4866" width="25.21875" style="466" customWidth="1"/>
    <col min="4867" max="4867" width="16.6640625" style="466" customWidth="1"/>
    <col min="4868" max="5110" width="8" style="466" bestFit="1" customWidth="1"/>
    <col min="5111" max="5113" width="7.77734375" style="466"/>
    <col min="5114" max="5114" width="4.77734375" style="466" customWidth="1"/>
    <col min="5115" max="5115" width="26.109375" style="466" customWidth="1"/>
    <col min="5116" max="5116" width="11.33203125" style="466" customWidth="1"/>
    <col min="5117" max="5117" width="13.109375" style="466" customWidth="1"/>
    <col min="5118" max="5118" width="12.109375" style="466" customWidth="1"/>
    <col min="5119" max="5119" width="12.44140625" style="466" customWidth="1"/>
    <col min="5120" max="5120" width="9.21875" style="466" customWidth="1"/>
    <col min="5121" max="5121" width="11.33203125" style="466" customWidth="1"/>
    <col min="5122" max="5122" width="25.21875" style="466" customWidth="1"/>
    <col min="5123" max="5123" width="16.6640625" style="466" customWidth="1"/>
    <col min="5124" max="5366" width="8" style="466" bestFit="1" customWidth="1"/>
    <col min="5367" max="5369" width="7.77734375" style="466"/>
    <col min="5370" max="5370" width="4.77734375" style="466" customWidth="1"/>
    <col min="5371" max="5371" width="26.109375" style="466" customWidth="1"/>
    <col min="5372" max="5372" width="11.33203125" style="466" customWidth="1"/>
    <col min="5373" max="5373" width="13.109375" style="466" customWidth="1"/>
    <col min="5374" max="5374" width="12.109375" style="466" customWidth="1"/>
    <col min="5375" max="5375" width="12.44140625" style="466" customWidth="1"/>
    <col min="5376" max="5376" width="9.21875" style="466" customWidth="1"/>
    <col min="5377" max="5377" width="11.33203125" style="466" customWidth="1"/>
    <col min="5378" max="5378" width="25.21875" style="466" customWidth="1"/>
    <col min="5379" max="5379" width="16.6640625" style="466" customWidth="1"/>
    <col min="5380" max="5622" width="8" style="466" bestFit="1" customWidth="1"/>
    <col min="5623" max="5625" width="7.77734375" style="466"/>
    <col min="5626" max="5626" width="4.77734375" style="466" customWidth="1"/>
    <col min="5627" max="5627" width="26.109375" style="466" customWidth="1"/>
    <col min="5628" max="5628" width="11.33203125" style="466" customWidth="1"/>
    <col min="5629" max="5629" width="13.109375" style="466" customWidth="1"/>
    <col min="5630" max="5630" width="12.109375" style="466" customWidth="1"/>
    <col min="5631" max="5631" width="12.44140625" style="466" customWidth="1"/>
    <col min="5632" max="5632" width="9.21875" style="466" customWidth="1"/>
    <col min="5633" max="5633" width="11.33203125" style="466" customWidth="1"/>
    <col min="5634" max="5634" width="25.21875" style="466" customWidth="1"/>
    <col min="5635" max="5635" width="16.6640625" style="466" customWidth="1"/>
    <col min="5636" max="5878" width="8" style="466" bestFit="1" customWidth="1"/>
    <col min="5879" max="5881" width="7.77734375" style="466"/>
    <col min="5882" max="5882" width="4.77734375" style="466" customWidth="1"/>
    <col min="5883" max="5883" width="26.109375" style="466" customWidth="1"/>
    <col min="5884" max="5884" width="11.33203125" style="466" customWidth="1"/>
    <col min="5885" max="5885" width="13.109375" style="466" customWidth="1"/>
    <col min="5886" max="5886" width="12.109375" style="466" customWidth="1"/>
    <col min="5887" max="5887" width="12.44140625" style="466" customWidth="1"/>
    <col min="5888" max="5888" width="9.21875" style="466" customWidth="1"/>
    <col min="5889" max="5889" width="11.33203125" style="466" customWidth="1"/>
    <col min="5890" max="5890" width="25.21875" style="466" customWidth="1"/>
    <col min="5891" max="5891" width="16.6640625" style="466" customWidth="1"/>
    <col min="5892" max="6134" width="8" style="466" bestFit="1" customWidth="1"/>
    <col min="6135" max="6137" width="7.77734375" style="466"/>
    <col min="6138" max="6138" width="4.77734375" style="466" customWidth="1"/>
    <col min="6139" max="6139" width="26.109375" style="466" customWidth="1"/>
    <col min="6140" max="6140" width="11.33203125" style="466" customWidth="1"/>
    <col min="6141" max="6141" width="13.109375" style="466" customWidth="1"/>
    <col min="6142" max="6142" width="12.109375" style="466" customWidth="1"/>
    <col min="6143" max="6143" width="12.44140625" style="466" customWidth="1"/>
    <col min="6144" max="6144" width="9.21875" style="466" customWidth="1"/>
    <col min="6145" max="6145" width="11.33203125" style="466" customWidth="1"/>
    <col min="6146" max="6146" width="25.21875" style="466" customWidth="1"/>
    <col min="6147" max="6147" width="16.6640625" style="466" customWidth="1"/>
    <col min="6148" max="6390" width="8" style="466" bestFit="1" customWidth="1"/>
    <col min="6391" max="6393" width="7.77734375" style="466"/>
    <col min="6394" max="6394" width="4.77734375" style="466" customWidth="1"/>
    <col min="6395" max="6395" width="26.109375" style="466" customWidth="1"/>
    <col min="6396" max="6396" width="11.33203125" style="466" customWidth="1"/>
    <col min="6397" max="6397" width="13.109375" style="466" customWidth="1"/>
    <col min="6398" max="6398" width="12.109375" style="466" customWidth="1"/>
    <col min="6399" max="6399" width="12.44140625" style="466" customWidth="1"/>
    <col min="6400" max="6400" width="9.21875" style="466" customWidth="1"/>
    <col min="6401" max="6401" width="11.33203125" style="466" customWidth="1"/>
    <col min="6402" max="6402" width="25.21875" style="466" customWidth="1"/>
    <col min="6403" max="6403" width="16.6640625" style="466" customWidth="1"/>
    <col min="6404" max="6646" width="8" style="466" bestFit="1" customWidth="1"/>
    <col min="6647" max="6649" width="7.77734375" style="466"/>
    <col min="6650" max="6650" width="4.77734375" style="466" customWidth="1"/>
    <col min="6651" max="6651" width="26.109375" style="466" customWidth="1"/>
    <col min="6652" max="6652" width="11.33203125" style="466" customWidth="1"/>
    <col min="6653" max="6653" width="13.109375" style="466" customWidth="1"/>
    <col min="6654" max="6654" width="12.109375" style="466" customWidth="1"/>
    <col min="6655" max="6655" width="12.44140625" style="466" customWidth="1"/>
    <col min="6656" max="6656" width="9.21875" style="466" customWidth="1"/>
    <col min="6657" max="6657" width="11.33203125" style="466" customWidth="1"/>
    <col min="6658" max="6658" width="25.21875" style="466" customWidth="1"/>
    <col min="6659" max="6659" width="16.6640625" style="466" customWidth="1"/>
    <col min="6660" max="6902" width="8" style="466" bestFit="1" customWidth="1"/>
    <col min="6903" max="6905" width="7.77734375" style="466"/>
    <col min="6906" max="6906" width="4.77734375" style="466" customWidth="1"/>
    <col min="6907" max="6907" width="26.109375" style="466" customWidth="1"/>
    <col min="6908" max="6908" width="11.33203125" style="466" customWidth="1"/>
    <col min="6909" max="6909" width="13.109375" style="466" customWidth="1"/>
    <col min="6910" max="6910" width="12.109375" style="466" customWidth="1"/>
    <col min="6911" max="6911" width="12.44140625" style="466" customWidth="1"/>
    <col min="6912" max="6912" width="9.21875" style="466" customWidth="1"/>
    <col min="6913" max="6913" width="11.33203125" style="466" customWidth="1"/>
    <col min="6914" max="6914" width="25.21875" style="466" customWidth="1"/>
    <col min="6915" max="6915" width="16.6640625" style="466" customWidth="1"/>
    <col min="6916" max="7158" width="8" style="466" bestFit="1" customWidth="1"/>
    <col min="7159" max="7161" width="7.77734375" style="466"/>
    <col min="7162" max="7162" width="4.77734375" style="466" customWidth="1"/>
    <col min="7163" max="7163" width="26.109375" style="466" customWidth="1"/>
    <col min="7164" max="7164" width="11.33203125" style="466" customWidth="1"/>
    <col min="7165" max="7165" width="13.109375" style="466" customWidth="1"/>
    <col min="7166" max="7166" width="12.109375" style="466" customWidth="1"/>
    <col min="7167" max="7167" width="12.44140625" style="466" customWidth="1"/>
    <col min="7168" max="7168" width="9.21875" style="466" customWidth="1"/>
    <col min="7169" max="7169" width="11.33203125" style="466" customWidth="1"/>
    <col min="7170" max="7170" width="25.21875" style="466" customWidth="1"/>
    <col min="7171" max="7171" width="16.6640625" style="466" customWidth="1"/>
    <col min="7172" max="7414" width="8" style="466" bestFit="1" customWidth="1"/>
    <col min="7415" max="7417" width="7.77734375" style="466"/>
    <col min="7418" max="7418" width="4.77734375" style="466" customWidth="1"/>
    <col min="7419" max="7419" width="26.109375" style="466" customWidth="1"/>
    <col min="7420" max="7420" width="11.33203125" style="466" customWidth="1"/>
    <col min="7421" max="7421" width="13.109375" style="466" customWidth="1"/>
    <col min="7422" max="7422" width="12.109375" style="466" customWidth="1"/>
    <col min="7423" max="7423" width="12.44140625" style="466" customWidth="1"/>
    <col min="7424" max="7424" width="9.21875" style="466" customWidth="1"/>
    <col min="7425" max="7425" width="11.33203125" style="466" customWidth="1"/>
    <col min="7426" max="7426" width="25.21875" style="466" customWidth="1"/>
    <col min="7427" max="7427" width="16.6640625" style="466" customWidth="1"/>
    <col min="7428" max="7670" width="8" style="466" bestFit="1" customWidth="1"/>
    <col min="7671" max="7673" width="7.77734375" style="466"/>
    <col min="7674" max="7674" width="4.77734375" style="466" customWidth="1"/>
    <col min="7675" max="7675" width="26.109375" style="466" customWidth="1"/>
    <col min="7676" max="7676" width="11.33203125" style="466" customWidth="1"/>
    <col min="7677" max="7677" width="13.109375" style="466" customWidth="1"/>
    <col min="7678" max="7678" width="12.109375" style="466" customWidth="1"/>
    <col min="7679" max="7679" width="12.44140625" style="466" customWidth="1"/>
    <col min="7680" max="7680" width="9.21875" style="466" customWidth="1"/>
    <col min="7681" max="7681" width="11.33203125" style="466" customWidth="1"/>
    <col min="7682" max="7682" width="25.21875" style="466" customWidth="1"/>
    <col min="7683" max="7683" width="16.6640625" style="466" customWidth="1"/>
    <col min="7684" max="7926" width="8" style="466" bestFit="1" customWidth="1"/>
    <col min="7927" max="7929" width="7.77734375" style="466"/>
    <col min="7930" max="7930" width="4.77734375" style="466" customWidth="1"/>
    <col min="7931" max="7931" width="26.109375" style="466" customWidth="1"/>
    <col min="7932" max="7932" width="11.33203125" style="466" customWidth="1"/>
    <col min="7933" max="7933" width="13.109375" style="466" customWidth="1"/>
    <col min="7934" max="7934" width="12.109375" style="466" customWidth="1"/>
    <col min="7935" max="7935" width="12.44140625" style="466" customWidth="1"/>
    <col min="7936" max="7936" width="9.21875" style="466" customWidth="1"/>
    <col min="7937" max="7937" width="11.33203125" style="466" customWidth="1"/>
    <col min="7938" max="7938" width="25.21875" style="466" customWidth="1"/>
    <col min="7939" max="7939" width="16.6640625" style="466" customWidth="1"/>
    <col min="7940" max="8182" width="8" style="466" bestFit="1" customWidth="1"/>
    <col min="8183" max="8185" width="7.77734375" style="466"/>
    <col min="8186" max="8186" width="4.77734375" style="466" customWidth="1"/>
    <col min="8187" max="8187" width="26.109375" style="466" customWidth="1"/>
    <col min="8188" max="8188" width="11.33203125" style="466" customWidth="1"/>
    <col min="8189" max="8189" width="13.109375" style="466" customWidth="1"/>
    <col min="8190" max="8190" width="12.109375" style="466" customWidth="1"/>
    <col min="8191" max="8191" width="12.44140625" style="466" customWidth="1"/>
    <col min="8192" max="8192" width="9.21875" style="466" customWidth="1"/>
    <col min="8193" max="8193" width="11.33203125" style="466" customWidth="1"/>
    <col min="8194" max="8194" width="25.21875" style="466" customWidth="1"/>
    <col min="8195" max="8195" width="16.6640625" style="466" customWidth="1"/>
    <col min="8196" max="8438" width="8" style="466" bestFit="1" customWidth="1"/>
    <col min="8439" max="8441" width="7.77734375" style="466"/>
    <col min="8442" max="8442" width="4.77734375" style="466" customWidth="1"/>
    <col min="8443" max="8443" width="26.109375" style="466" customWidth="1"/>
    <col min="8444" max="8444" width="11.33203125" style="466" customWidth="1"/>
    <col min="8445" max="8445" width="13.109375" style="466" customWidth="1"/>
    <col min="8446" max="8446" width="12.109375" style="466" customWidth="1"/>
    <col min="8447" max="8447" width="12.44140625" style="466" customWidth="1"/>
    <col min="8448" max="8448" width="9.21875" style="466" customWidth="1"/>
    <col min="8449" max="8449" width="11.33203125" style="466" customWidth="1"/>
    <col min="8450" max="8450" width="25.21875" style="466" customWidth="1"/>
    <col min="8451" max="8451" width="16.6640625" style="466" customWidth="1"/>
    <col min="8452" max="8694" width="8" style="466" bestFit="1" customWidth="1"/>
    <col min="8695" max="8697" width="7.77734375" style="466"/>
    <col min="8698" max="8698" width="4.77734375" style="466" customWidth="1"/>
    <col min="8699" max="8699" width="26.109375" style="466" customWidth="1"/>
    <col min="8700" max="8700" width="11.33203125" style="466" customWidth="1"/>
    <col min="8701" max="8701" width="13.109375" style="466" customWidth="1"/>
    <col min="8702" max="8702" width="12.109375" style="466" customWidth="1"/>
    <col min="8703" max="8703" width="12.44140625" style="466" customWidth="1"/>
    <col min="8704" max="8704" width="9.21875" style="466" customWidth="1"/>
    <col min="8705" max="8705" width="11.33203125" style="466" customWidth="1"/>
    <col min="8706" max="8706" width="25.21875" style="466" customWidth="1"/>
    <col min="8707" max="8707" width="16.6640625" style="466" customWidth="1"/>
    <col min="8708" max="8950" width="8" style="466" bestFit="1" customWidth="1"/>
    <col min="8951" max="8953" width="7.77734375" style="466"/>
    <col min="8954" max="8954" width="4.77734375" style="466" customWidth="1"/>
    <col min="8955" max="8955" width="26.109375" style="466" customWidth="1"/>
    <col min="8956" max="8956" width="11.33203125" style="466" customWidth="1"/>
    <col min="8957" max="8957" width="13.109375" style="466" customWidth="1"/>
    <col min="8958" max="8958" width="12.109375" style="466" customWidth="1"/>
    <col min="8959" max="8959" width="12.44140625" style="466" customWidth="1"/>
    <col min="8960" max="8960" width="9.21875" style="466" customWidth="1"/>
    <col min="8961" max="8961" width="11.33203125" style="466" customWidth="1"/>
    <col min="8962" max="8962" width="25.21875" style="466" customWidth="1"/>
    <col min="8963" max="8963" width="16.6640625" style="466" customWidth="1"/>
    <col min="8964" max="9206" width="8" style="466" bestFit="1" customWidth="1"/>
    <col min="9207" max="9209" width="7.77734375" style="466"/>
    <col min="9210" max="9210" width="4.77734375" style="466" customWidth="1"/>
    <col min="9211" max="9211" width="26.109375" style="466" customWidth="1"/>
    <col min="9212" max="9212" width="11.33203125" style="466" customWidth="1"/>
    <col min="9213" max="9213" width="13.109375" style="466" customWidth="1"/>
    <col min="9214" max="9214" width="12.109375" style="466" customWidth="1"/>
    <col min="9215" max="9215" width="12.44140625" style="466" customWidth="1"/>
    <col min="9216" max="9216" width="9.21875" style="466" customWidth="1"/>
    <col min="9217" max="9217" width="11.33203125" style="466" customWidth="1"/>
    <col min="9218" max="9218" width="25.21875" style="466" customWidth="1"/>
    <col min="9219" max="9219" width="16.6640625" style="466" customWidth="1"/>
    <col min="9220" max="9462" width="8" style="466" bestFit="1" customWidth="1"/>
    <col min="9463" max="9465" width="7.77734375" style="466"/>
    <col min="9466" max="9466" width="4.77734375" style="466" customWidth="1"/>
    <col min="9467" max="9467" width="26.109375" style="466" customWidth="1"/>
    <col min="9468" max="9468" width="11.33203125" style="466" customWidth="1"/>
    <col min="9469" max="9469" width="13.109375" style="466" customWidth="1"/>
    <col min="9470" max="9470" width="12.109375" style="466" customWidth="1"/>
    <col min="9471" max="9471" width="12.44140625" style="466" customWidth="1"/>
    <col min="9472" max="9472" width="9.21875" style="466" customWidth="1"/>
    <col min="9473" max="9473" width="11.33203125" style="466" customWidth="1"/>
    <col min="9474" max="9474" width="25.21875" style="466" customWidth="1"/>
    <col min="9475" max="9475" width="16.6640625" style="466" customWidth="1"/>
    <col min="9476" max="9718" width="8" style="466" bestFit="1" customWidth="1"/>
    <col min="9719" max="9721" width="7.77734375" style="466"/>
    <col min="9722" max="9722" width="4.77734375" style="466" customWidth="1"/>
    <col min="9723" max="9723" width="26.109375" style="466" customWidth="1"/>
    <col min="9724" max="9724" width="11.33203125" style="466" customWidth="1"/>
    <col min="9725" max="9725" width="13.109375" style="466" customWidth="1"/>
    <col min="9726" max="9726" width="12.109375" style="466" customWidth="1"/>
    <col min="9727" max="9727" width="12.44140625" style="466" customWidth="1"/>
    <col min="9728" max="9728" width="9.21875" style="466" customWidth="1"/>
    <col min="9729" max="9729" width="11.33203125" style="466" customWidth="1"/>
    <col min="9730" max="9730" width="25.21875" style="466" customWidth="1"/>
    <col min="9731" max="9731" width="16.6640625" style="466" customWidth="1"/>
    <col min="9732" max="9974" width="8" style="466" bestFit="1" customWidth="1"/>
    <col min="9975" max="9977" width="7.77734375" style="466"/>
    <col min="9978" max="9978" width="4.77734375" style="466" customWidth="1"/>
    <col min="9979" max="9979" width="26.109375" style="466" customWidth="1"/>
    <col min="9980" max="9980" width="11.33203125" style="466" customWidth="1"/>
    <col min="9981" max="9981" width="13.109375" style="466" customWidth="1"/>
    <col min="9982" max="9982" width="12.109375" style="466" customWidth="1"/>
    <col min="9983" max="9983" width="12.44140625" style="466" customWidth="1"/>
    <col min="9984" max="9984" width="9.21875" style="466" customWidth="1"/>
    <col min="9985" max="9985" width="11.33203125" style="466" customWidth="1"/>
    <col min="9986" max="9986" width="25.21875" style="466" customWidth="1"/>
    <col min="9987" max="9987" width="16.6640625" style="466" customWidth="1"/>
    <col min="9988" max="10230" width="8" style="466" bestFit="1" customWidth="1"/>
    <col min="10231" max="10233" width="7.77734375" style="466"/>
    <col min="10234" max="10234" width="4.77734375" style="466" customWidth="1"/>
    <col min="10235" max="10235" width="26.109375" style="466" customWidth="1"/>
    <col min="10236" max="10236" width="11.33203125" style="466" customWidth="1"/>
    <col min="10237" max="10237" width="13.109375" style="466" customWidth="1"/>
    <col min="10238" max="10238" width="12.109375" style="466" customWidth="1"/>
    <col min="10239" max="10239" width="12.44140625" style="466" customWidth="1"/>
    <col min="10240" max="10240" width="9.21875" style="466" customWidth="1"/>
    <col min="10241" max="10241" width="11.33203125" style="466" customWidth="1"/>
    <col min="10242" max="10242" width="25.21875" style="466" customWidth="1"/>
    <col min="10243" max="10243" width="16.6640625" style="466" customWidth="1"/>
    <col min="10244" max="10486" width="8" style="466" bestFit="1" customWidth="1"/>
    <col min="10487" max="10489" width="7.77734375" style="466"/>
    <col min="10490" max="10490" width="4.77734375" style="466" customWidth="1"/>
    <col min="10491" max="10491" width="26.109375" style="466" customWidth="1"/>
    <col min="10492" max="10492" width="11.33203125" style="466" customWidth="1"/>
    <col min="10493" max="10493" width="13.109375" style="466" customWidth="1"/>
    <col min="10494" max="10494" width="12.109375" style="466" customWidth="1"/>
    <col min="10495" max="10495" width="12.44140625" style="466" customWidth="1"/>
    <col min="10496" max="10496" width="9.21875" style="466" customWidth="1"/>
    <col min="10497" max="10497" width="11.33203125" style="466" customWidth="1"/>
    <col min="10498" max="10498" width="25.21875" style="466" customWidth="1"/>
    <col min="10499" max="10499" width="16.6640625" style="466" customWidth="1"/>
    <col min="10500" max="10742" width="8" style="466" bestFit="1" customWidth="1"/>
    <col min="10743" max="10745" width="7.77734375" style="466"/>
    <col min="10746" max="10746" width="4.77734375" style="466" customWidth="1"/>
    <col min="10747" max="10747" width="26.109375" style="466" customWidth="1"/>
    <col min="10748" max="10748" width="11.33203125" style="466" customWidth="1"/>
    <col min="10749" max="10749" width="13.109375" style="466" customWidth="1"/>
    <col min="10750" max="10750" width="12.109375" style="466" customWidth="1"/>
    <col min="10751" max="10751" width="12.44140625" style="466" customWidth="1"/>
    <col min="10752" max="10752" width="9.21875" style="466" customWidth="1"/>
    <col min="10753" max="10753" width="11.33203125" style="466" customWidth="1"/>
    <col min="10754" max="10754" width="25.21875" style="466" customWidth="1"/>
    <col min="10755" max="10755" width="16.6640625" style="466" customWidth="1"/>
    <col min="10756" max="10998" width="8" style="466" bestFit="1" customWidth="1"/>
    <col min="10999" max="11001" width="7.77734375" style="466"/>
    <col min="11002" max="11002" width="4.77734375" style="466" customWidth="1"/>
    <col min="11003" max="11003" width="26.109375" style="466" customWidth="1"/>
    <col min="11004" max="11004" width="11.33203125" style="466" customWidth="1"/>
    <col min="11005" max="11005" width="13.109375" style="466" customWidth="1"/>
    <col min="11006" max="11006" width="12.109375" style="466" customWidth="1"/>
    <col min="11007" max="11007" width="12.44140625" style="466" customWidth="1"/>
    <col min="11008" max="11008" width="9.21875" style="466" customWidth="1"/>
    <col min="11009" max="11009" width="11.33203125" style="466" customWidth="1"/>
    <col min="11010" max="11010" width="25.21875" style="466" customWidth="1"/>
    <col min="11011" max="11011" width="16.6640625" style="466" customWidth="1"/>
    <col min="11012" max="11254" width="8" style="466" bestFit="1" customWidth="1"/>
    <col min="11255" max="11257" width="7.77734375" style="466"/>
    <col min="11258" max="11258" width="4.77734375" style="466" customWidth="1"/>
    <col min="11259" max="11259" width="26.109375" style="466" customWidth="1"/>
    <col min="11260" max="11260" width="11.33203125" style="466" customWidth="1"/>
    <col min="11261" max="11261" width="13.109375" style="466" customWidth="1"/>
    <col min="11262" max="11262" width="12.109375" style="466" customWidth="1"/>
    <col min="11263" max="11263" width="12.44140625" style="466" customWidth="1"/>
    <col min="11264" max="11264" width="9.21875" style="466" customWidth="1"/>
    <col min="11265" max="11265" width="11.33203125" style="466" customWidth="1"/>
    <col min="11266" max="11266" width="25.21875" style="466" customWidth="1"/>
    <col min="11267" max="11267" width="16.6640625" style="466" customWidth="1"/>
    <col min="11268" max="11510" width="8" style="466" bestFit="1" customWidth="1"/>
    <col min="11511" max="11513" width="7.77734375" style="466"/>
    <col min="11514" max="11514" width="4.77734375" style="466" customWidth="1"/>
    <col min="11515" max="11515" width="26.109375" style="466" customWidth="1"/>
    <col min="11516" max="11516" width="11.33203125" style="466" customWidth="1"/>
    <col min="11517" max="11517" width="13.109375" style="466" customWidth="1"/>
    <col min="11518" max="11518" width="12.109375" style="466" customWidth="1"/>
    <col min="11519" max="11519" width="12.44140625" style="466" customWidth="1"/>
    <col min="11520" max="11520" width="9.21875" style="466" customWidth="1"/>
    <col min="11521" max="11521" width="11.33203125" style="466" customWidth="1"/>
    <col min="11522" max="11522" width="25.21875" style="466" customWidth="1"/>
    <col min="11523" max="11523" width="16.6640625" style="466" customWidth="1"/>
    <col min="11524" max="11766" width="8" style="466" bestFit="1" customWidth="1"/>
    <col min="11767" max="11769" width="7.77734375" style="466"/>
    <col min="11770" max="11770" width="4.77734375" style="466" customWidth="1"/>
    <col min="11771" max="11771" width="26.109375" style="466" customWidth="1"/>
    <col min="11772" max="11772" width="11.33203125" style="466" customWidth="1"/>
    <col min="11773" max="11773" width="13.109375" style="466" customWidth="1"/>
    <col min="11774" max="11774" width="12.109375" style="466" customWidth="1"/>
    <col min="11775" max="11775" width="12.44140625" style="466" customWidth="1"/>
    <col min="11776" max="11776" width="9.21875" style="466" customWidth="1"/>
    <col min="11777" max="11777" width="11.33203125" style="466" customWidth="1"/>
    <col min="11778" max="11778" width="25.21875" style="466" customWidth="1"/>
    <col min="11779" max="11779" width="16.6640625" style="466" customWidth="1"/>
    <col min="11780" max="12022" width="8" style="466" bestFit="1" customWidth="1"/>
    <col min="12023" max="12025" width="7.77734375" style="466"/>
    <col min="12026" max="12026" width="4.77734375" style="466" customWidth="1"/>
    <col min="12027" max="12027" width="26.109375" style="466" customWidth="1"/>
    <col min="12028" max="12028" width="11.33203125" style="466" customWidth="1"/>
    <col min="12029" max="12029" width="13.109375" style="466" customWidth="1"/>
    <col min="12030" max="12030" width="12.109375" style="466" customWidth="1"/>
    <col min="12031" max="12031" width="12.44140625" style="466" customWidth="1"/>
    <col min="12032" max="12032" width="9.21875" style="466" customWidth="1"/>
    <col min="12033" max="12033" width="11.33203125" style="466" customWidth="1"/>
    <col min="12034" max="12034" width="25.21875" style="466" customWidth="1"/>
    <col min="12035" max="12035" width="16.6640625" style="466" customWidth="1"/>
    <col min="12036" max="12278" width="8" style="466" bestFit="1" customWidth="1"/>
    <col min="12279" max="12281" width="7.77734375" style="466"/>
    <col min="12282" max="12282" width="4.77734375" style="466" customWidth="1"/>
    <col min="12283" max="12283" width="26.109375" style="466" customWidth="1"/>
    <col min="12284" max="12284" width="11.33203125" style="466" customWidth="1"/>
    <col min="12285" max="12285" width="13.109375" style="466" customWidth="1"/>
    <col min="12286" max="12286" width="12.109375" style="466" customWidth="1"/>
    <col min="12287" max="12287" width="12.44140625" style="466" customWidth="1"/>
    <col min="12288" max="12288" width="9.21875" style="466" customWidth="1"/>
    <col min="12289" max="12289" width="11.33203125" style="466" customWidth="1"/>
    <col min="12290" max="12290" width="25.21875" style="466" customWidth="1"/>
    <col min="12291" max="12291" width="16.6640625" style="466" customWidth="1"/>
    <col min="12292" max="12534" width="8" style="466" bestFit="1" customWidth="1"/>
    <col min="12535" max="12537" width="7.77734375" style="466"/>
    <col min="12538" max="12538" width="4.77734375" style="466" customWidth="1"/>
    <col min="12539" max="12539" width="26.109375" style="466" customWidth="1"/>
    <col min="12540" max="12540" width="11.33203125" style="466" customWidth="1"/>
    <col min="12541" max="12541" width="13.109375" style="466" customWidth="1"/>
    <col min="12542" max="12542" width="12.109375" style="466" customWidth="1"/>
    <col min="12543" max="12543" width="12.44140625" style="466" customWidth="1"/>
    <col min="12544" max="12544" width="9.21875" style="466" customWidth="1"/>
    <col min="12545" max="12545" width="11.33203125" style="466" customWidth="1"/>
    <col min="12546" max="12546" width="25.21875" style="466" customWidth="1"/>
    <col min="12547" max="12547" width="16.6640625" style="466" customWidth="1"/>
    <col min="12548" max="12790" width="8" style="466" bestFit="1" customWidth="1"/>
    <col min="12791" max="12793" width="7.77734375" style="466"/>
    <col min="12794" max="12794" width="4.77734375" style="466" customWidth="1"/>
    <col min="12795" max="12795" width="26.109375" style="466" customWidth="1"/>
    <col min="12796" max="12796" width="11.33203125" style="466" customWidth="1"/>
    <col min="12797" max="12797" width="13.109375" style="466" customWidth="1"/>
    <col min="12798" max="12798" width="12.109375" style="466" customWidth="1"/>
    <col min="12799" max="12799" width="12.44140625" style="466" customWidth="1"/>
    <col min="12800" max="12800" width="9.21875" style="466" customWidth="1"/>
    <col min="12801" max="12801" width="11.33203125" style="466" customWidth="1"/>
    <col min="12802" max="12802" width="25.21875" style="466" customWidth="1"/>
    <col min="12803" max="12803" width="16.6640625" style="466" customWidth="1"/>
    <col min="12804" max="13046" width="8" style="466" bestFit="1" customWidth="1"/>
    <col min="13047" max="13049" width="7.77734375" style="466"/>
    <col min="13050" max="13050" width="4.77734375" style="466" customWidth="1"/>
    <col min="13051" max="13051" width="26.109375" style="466" customWidth="1"/>
    <col min="13052" max="13052" width="11.33203125" style="466" customWidth="1"/>
    <col min="13053" max="13053" width="13.109375" style="466" customWidth="1"/>
    <col min="13054" max="13054" width="12.109375" style="466" customWidth="1"/>
    <col min="13055" max="13055" width="12.44140625" style="466" customWidth="1"/>
    <col min="13056" max="13056" width="9.21875" style="466" customWidth="1"/>
    <col min="13057" max="13057" width="11.33203125" style="466" customWidth="1"/>
    <col min="13058" max="13058" width="25.21875" style="466" customWidth="1"/>
    <col min="13059" max="13059" width="16.6640625" style="466" customWidth="1"/>
    <col min="13060" max="13302" width="8" style="466" bestFit="1" customWidth="1"/>
    <col min="13303" max="13305" width="7.77734375" style="466"/>
    <col min="13306" max="13306" width="4.77734375" style="466" customWidth="1"/>
    <col min="13307" max="13307" width="26.109375" style="466" customWidth="1"/>
    <col min="13308" max="13308" width="11.33203125" style="466" customWidth="1"/>
    <col min="13309" max="13309" width="13.109375" style="466" customWidth="1"/>
    <col min="13310" max="13310" width="12.109375" style="466" customWidth="1"/>
    <col min="13311" max="13311" width="12.44140625" style="466" customWidth="1"/>
    <col min="13312" max="13312" width="9.21875" style="466" customWidth="1"/>
    <col min="13313" max="13313" width="11.33203125" style="466" customWidth="1"/>
    <col min="13314" max="13314" width="25.21875" style="466" customWidth="1"/>
    <col min="13315" max="13315" width="16.6640625" style="466" customWidth="1"/>
    <col min="13316" max="13558" width="8" style="466" bestFit="1" customWidth="1"/>
    <col min="13559" max="13561" width="7.77734375" style="466"/>
    <col min="13562" max="13562" width="4.77734375" style="466" customWidth="1"/>
    <col min="13563" max="13563" width="26.109375" style="466" customWidth="1"/>
    <col min="13564" max="13564" width="11.33203125" style="466" customWidth="1"/>
    <col min="13565" max="13565" width="13.109375" style="466" customWidth="1"/>
    <col min="13566" max="13566" width="12.109375" style="466" customWidth="1"/>
    <col min="13567" max="13567" width="12.44140625" style="466" customWidth="1"/>
    <col min="13568" max="13568" width="9.21875" style="466" customWidth="1"/>
    <col min="13569" max="13569" width="11.33203125" style="466" customWidth="1"/>
    <col min="13570" max="13570" width="25.21875" style="466" customWidth="1"/>
    <col min="13571" max="13571" width="16.6640625" style="466" customWidth="1"/>
    <col min="13572" max="13814" width="8" style="466" bestFit="1" customWidth="1"/>
    <col min="13815" max="13817" width="7.77734375" style="466"/>
    <col min="13818" max="13818" width="4.77734375" style="466" customWidth="1"/>
    <col min="13819" max="13819" width="26.109375" style="466" customWidth="1"/>
    <col min="13820" max="13820" width="11.33203125" style="466" customWidth="1"/>
    <col min="13821" max="13821" width="13.109375" style="466" customWidth="1"/>
    <col min="13822" max="13822" width="12.109375" style="466" customWidth="1"/>
    <col min="13823" max="13823" width="12.44140625" style="466" customWidth="1"/>
    <col min="13824" max="13824" width="9.21875" style="466" customWidth="1"/>
    <col min="13825" max="13825" width="11.33203125" style="466" customWidth="1"/>
    <col min="13826" max="13826" width="25.21875" style="466" customWidth="1"/>
    <col min="13827" max="13827" width="16.6640625" style="466" customWidth="1"/>
    <col min="13828" max="14070" width="8" style="466" bestFit="1" customWidth="1"/>
    <col min="14071" max="14073" width="7.77734375" style="466"/>
    <col min="14074" max="14074" width="4.77734375" style="466" customWidth="1"/>
    <col min="14075" max="14075" width="26.109375" style="466" customWidth="1"/>
    <col min="14076" max="14076" width="11.33203125" style="466" customWidth="1"/>
    <col min="14077" max="14077" width="13.109375" style="466" customWidth="1"/>
    <col min="14078" max="14078" width="12.109375" style="466" customWidth="1"/>
    <col min="14079" max="14079" width="12.44140625" style="466" customWidth="1"/>
    <col min="14080" max="14080" width="9.21875" style="466" customWidth="1"/>
    <col min="14081" max="14081" width="11.33203125" style="466" customWidth="1"/>
    <col min="14082" max="14082" width="25.21875" style="466" customWidth="1"/>
    <col min="14083" max="14083" width="16.6640625" style="466" customWidth="1"/>
    <col min="14084" max="14326" width="8" style="466" bestFit="1" customWidth="1"/>
    <col min="14327" max="14329" width="7.77734375" style="466"/>
    <col min="14330" max="14330" width="4.77734375" style="466" customWidth="1"/>
    <col min="14331" max="14331" width="26.109375" style="466" customWidth="1"/>
    <col min="14332" max="14332" width="11.33203125" style="466" customWidth="1"/>
    <col min="14333" max="14333" width="13.109375" style="466" customWidth="1"/>
    <col min="14334" max="14334" width="12.109375" style="466" customWidth="1"/>
    <col min="14335" max="14335" width="12.44140625" style="466" customWidth="1"/>
    <col min="14336" max="14336" width="9.21875" style="466" customWidth="1"/>
    <col min="14337" max="14337" width="11.33203125" style="466" customWidth="1"/>
    <col min="14338" max="14338" width="25.21875" style="466" customWidth="1"/>
    <col min="14339" max="14339" width="16.6640625" style="466" customWidth="1"/>
    <col min="14340" max="14582" width="8" style="466" bestFit="1" customWidth="1"/>
    <col min="14583" max="14585" width="7.77734375" style="466"/>
    <col min="14586" max="14586" width="4.77734375" style="466" customWidth="1"/>
    <col min="14587" max="14587" width="26.109375" style="466" customWidth="1"/>
    <col min="14588" max="14588" width="11.33203125" style="466" customWidth="1"/>
    <col min="14589" max="14589" width="13.109375" style="466" customWidth="1"/>
    <col min="14590" max="14590" width="12.109375" style="466" customWidth="1"/>
    <col min="14591" max="14591" width="12.44140625" style="466" customWidth="1"/>
    <col min="14592" max="14592" width="9.21875" style="466" customWidth="1"/>
    <col min="14593" max="14593" width="11.33203125" style="466" customWidth="1"/>
    <col min="14594" max="14594" width="25.21875" style="466" customWidth="1"/>
    <col min="14595" max="14595" width="16.6640625" style="466" customWidth="1"/>
    <col min="14596" max="14838" width="8" style="466" bestFit="1" customWidth="1"/>
    <col min="14839" max="14841" width="7.77734375" style="466"/>
    <col min="14842" max="14842" width="4.77734375" style="466" customWidth="1"/>
    <col min="14843" max="14843" width="26.109375" style="466" customWidth="1"/>
    <col min="14844" max="14844" width="11.33203125" style="466" customWidth="1"/>
    <col min="14845" max="14845" width="13.109375" style="466" customWidth="1"/>
    <col min="14846" max="14846" width="12.109375" style="466" customWidth="1"/>
    <col min="14847" max="14847" width="12.44140625" style="466" customWidth="1"/>
    <col min="14848" max="14848" width="9.21875" style="466" customWidth="1"/>
    <col min="14849" max="14849" width="11.33203125" style="466" customWidth="1"/>
    <col min="14850" max="14850" width="25.21875" style="466" customWidth="1"/>
    <col min="14851" max="14851" width="16.6640625" style="466" customWidth="1"/>
    <col min="14852" max="15094" width="8" style="466" bestFit="1" customWidth="1"/>
    <col min="15095" max="15097" width="7.77734375" style="466"/>
    <col min="15098" max="15098" width="4.77734375" style="466" customWidth="1"/>
    <col min="15099" max="15099" width="26.109375" style="466" customWidth="1"/>
    <col min="15100" max="15100" width="11.33203125" style="466" customWidth="1"/>
    <col min="15101" max="15101" width="13.109375" style="466" customWidth="1"/>
    <col min="15102" max="15102" width="12.109375" style="466" customWidth="1"/>
    <col min="15103" max="15103" width="12.44140625" style="466" customWidth="1"/>
    <col min="15104" max="15104" width="9.21875" style="466" customWidth="1"/>
    <col min="15105" max="15105" width="11.33203125" style="466" customWidth="1"/>
    <col min="15106" max="15106" width="25.21875" style="466" customWidth="1"/>
    <col min="15107" max="15107" width="16.6640625" style="466" customWidth="1"/>
    <col min="15108" max="15350" width="8" style="466" bestFit="1" customWidth="1"/>
    <col min="15351" max="15353" width="7.77734375" style="466"/>
    <col min="15354" max="15354" width="4.77734375" style="466" customWidth="1"/>
    <col min="15355" max="15355" width="26.109375" style="466" customWidth="1"/>
    <col min="15356" max="15356" width="11.33203125" style="466" customWidth="1"/>
    <col min="15357" max="15357" width="13.109375" style="466" customWidth="1"/>
    <col min="15358" max="15358" width="12.109375" style="466" customWidth="1"/>
    <col min="15359" max="15359" width="12.44140625" style="466" customWidth="1"/>
    <col min="15360" max="15360" width="9.21875" style="466" customWidth="1"/>
    <col min="15361" max="15361" width="11.33203125" style="466" customWidth="1"/>
    <col min="15362" max="15362" width="25.21875" style="466" customWidth="1"/>
    <col min="15363" max="15363" width="16.6640625" style="466" customWidth="1"/>
    <col min="15364" max="15606" width="8" style="466" bestFit="1" customWidth="1"/>
    <col min="15607" max="15609" width="7.77734375" style="466"/>
    <col min="15610" max="15610" width="4.77734375" style="466" customWidth="1"/>
    <col min="15611" max="15611" width="26.109375" style="466" customWidth="1"/>
    <col min="15612" max="15612" width="11.33203125" style="466" customWidth="1"/>
    <col min="15613" max="15613" width="13.109375" style="466" customWidth="1"/>
    <col min="15614" max="15614" width="12.109375" style="466" customWidth="1"/>
    <col min="15615" max="15615" width="12.44140625" style="466" customWidth="1"/>
    <col min="15616" max="15616" width="9.21875" style="466" customWidth="1"/>
    <col min="15617" max="15617" width="11.33203125" style="466" customWidth="1"/>
    <col min="15618" max="15618" width="25.21875" style="466" customWidth="1"/>
    <col min="15619" max="15619" width="16.6640625" style="466" customWidth="1"/>
    <col min="15620" max="15862" width="8" style="466" bestFit="1" customWidth="1"/>
    <col min="15863" max="15865" width="7.77734375" style="466"/>
    <col min="15866" max="15866" width="4.77734375" style="466" customWidth="1"/>
    <col min="15867" max="15867" width="26.109375" style="466" customWidth="1"/>
    <col min="15868" max="15868" width="11.33203125" style="466" customWidth="1"/>
    <col min="15869" max="15869" width="13.109375" style="466" customWidth="1"/>
    <col min="15870" max="15870" width="12.109375" style="466" customWidth="1"/>
    <col min="15871" max="15871" width="12.44140625" style="466" customWidth="1"/>
    <col min="15872" max="15872" width="9.21875" style="466" customWidth="1"/>
    <col min="15873" max="15873" width="11.33203125" style="466" customWidth="1"/>
    <col min="15874" max="15874" width="25.21875" style="466" customWidth="1"/>
    <col min="15875" max="15875" width="16.6640625" style="466" customWidth="1"/>
    <col min="15876" max="16118" width="8" style="466" bestFit="1" customWidth="1"/>
    <col min="16119" max="16121" width="7.77734375" style="466"/>
    <col min="16122" max="16122" width="4.77734375" style="466" customWidth="1"/>
    <col min="16123" max="16123" width="26.109375" style="466" customWidth="1"/>
    <col min="16124" max="16124" width="11.33203125" style="466" customWidth="1"/>
    <col min="16125" max="16125" width="13.109375" style="466" customWidth="1"/>
    <col min="16126" max="16126" width="12.109375" style="466" customWidth="1"/>
    <col min="16127" max="16127" width="12.44140625" style="466" customWidth="1"/>
    <col min="16128" max="16128" width="9.21875" style="466" customWidth="1"/>
    <col min="16129" max="16129" width="11.33203125" style="466" customWidth="1"/>
    <col min="16130" max="16130" width="25.21875" style="466" customWidth="1"/>
    <col min="16131" max="16131" width="16.6640625" style="466" customWidth="1"/>
    <col min="16132" max="16374" width="8" style="466" bestFit="1" customWidth="1"/>
    <col min="16375" max="16384" width="8" style="466" customWidth="1"/>
  </cols>
  <sheetData>
    <row r="1" spans="1:5" ht="15.6">
      <c r="E1" s="467" t="s">
        <v>860</v>
      </c>
    </row>
    <row r="2" spans="1:5" ht="39.75" customHeight="1">
      <c r="A2" s="525" t="s">
        <v>909</v>
      </c>
      <c r="B2" s="577"/>
      <c r="C2" s="577"/>
      <c r="D2" s="577"/>
      <c r="E2" s="577"/>
    </row>
    <row r="3" spans="1:5" ht="18.75" customHeight="1">
      <c r="A3" s="569" t="str">
        <f>+'01-Cân đôi'!A3:D3</f>
        <v>(Kèm theo Nghị quyết số         /NQ-HĐND ngày     tháng 9 năm 2025 của HĐND xã Quang Sơn)</v>
      </c>
      <c r="B3" s="569"/>
      <c r="C3" s="569"/>
      <c r="D3" s="569"/>
      <c r="E3" s="569"/>
    </row>
    <row r="4" spans="1:5" ht="14.25" customHeight="1">
      <c r="A4" s="468"/>
      <c r="B4" s="468"/>
      <c r="C4" s="468"/>
      <c r="D4" s="468"/>
      <c r="E4" s="469" t="s">
        <v>908</v>
      </c>
    </row>
    <row r="5" spans="1:5">
      <c r="A5" s="578" t="s">
        <v>137</v>
      </c>
      <c r="B5" s="578" t="s">
        <v>862</v>
      </c>
      <c r="C5" s="579" t="s">
        <v>338</v>
      </c>
      <c r="D5" s="578" t="s">
        <v>322</v>
      </c>
      <c r="E5" s="579" t="s">
        <v>6</v>
      </c>
    </row>
    <row r="6" spans="1:5" ht="27.75" customHeight="1">
      <c r="A6" s="578"/>
      <c r="B6" s="578"/>
      <c r="C6" s="580"/>
      <c r="D6" s="578"/>
      <c r="E6" s="580"/>
    </row>
    <row r="7" spans="1:5" s="473" customFormat="1" ht="93" customHeight="1">
      <c r="A7" s="515">
        <v>1</v>
      </c>
      <c r="B7" s="516" t="s">
        <v>345</v>
      </c>
      <c r="C7" s="515" t="s">
        <v>343</v>
      </c>
      <c r="D7" s="517">
        <v>3122</v>
      </c>
      <c r="E7" s="518"/>
    </row>
    <row r="8" spans="1:5">
      <c r="A8" s="491"/>
      <c r="B8" s="487"/>
      <c r="C8" s="487"/>
      <c r="D8" s="488"/>
      <c r="E8" s="490"/>
    </row>
  </sheetData>
  <mergeCells count="7">
    <mergeCell ref="A2:E2"/>
    <mergeCell ref="A3:E3"/>
    <mergeCell ref="A5:A6"/>
    <mergeCell ref="B5:B6"/>
    <mergeCell ref="D5:D6"/>
    <mergeCell ref="E5:E6"/>
    <mergeCell ref="C5:C6"/>
  </mergeCells>
  <pageMargins left="0.62" right="0.27" top="0.67"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21"/>
  <sheetViews>
    <sheetView topLeftCell="H7" workbookViewId="0">
      <selection activeCell="K7" sqref="K7"/>
    </sheetView>
  </sheetViews>
  <sheetFormatPr defaultColWidth="9" defaultRowHeight="14.4"/>
  <cols>
    <col min="1" max="1" width="4.6640625" customWidth="1"/>
    <col min="2" max="2" width="13.6640625" customWidth="1"/>
    <col min="3" max="3" width="9.88671875" customWidth="1"/>
    <col min="4" max="4" width="9" customWidth="1"/>
    <col min="6" max="6" width="9.77734375" customWidth="1"/>
    <col min="7" max="7" width="10" customWidth="1"/>
    <col min="8" max="8" width="9.21875" customWidth="1"/>
    <col min="9" max="9" width="9.44140625" customWidth="1"/>
    <col min="10" max="10" width="9.77734375" customWidth="1"/>
    <col min="11" max="13" width="9.6640625" customWidth="1"/>
    <col min="14" max="14" width="8.88671875" customWidth="1"/>
    <col min="15" max="21" width="9.6640625" customWidth="1"/>
    <col min="23" max="23" width="17.88671875" customWidth="1"/>
  </cols>
  <sheetData>
    <row r="1" spans="1:23" ht="18">
      <c r="A1" s="158"/>
      <c r="B1" s="159"/>
      <c r="C1" s="159"/>
      <c r="D1" s="160"/>
      <c r="E1" s="160"/>
      <c r="F1" s="161"/>
      <c r="G1" s="161"/>
      <c r="H1" s="161"/>
      <c r="I1" s="161"/>
      <c r="J1" s="161"/>
      <c r="K1" s="161"/>
      <c r="L1" s="161"/>
      <c r="M1" s="161"/>
      <c r="N1" s="161"/>
      <c r="O1" s="161"/>
      <c r="P1" s="161"/>
      <c r="Q1" s="161"/>
      <c r="R1" s="161"/>
      <c r="S1" s="161"/>
      <c r="T1" s="193"/>
      <c r="U1" s="591" t="s">
        <v>353</v>
      </c>
      <c r="V1" s="591"/>
    </row>
    <row r="2" spans="1:23" ht="17.399999999999999">
      <c r="A2" s="525" t="s">
        <v>354</v>
      </c>
      <c r="B2" s="525"/>
      <c r="C2" s="525"/>
      <c r="D2" s="525"/>
      <c r="E2" s="525"/>
      <c r="F2" s="525"/>
      <c r="G2" s="525"/>
      <c r="H2" s="525"/>
      <c r="I2" s="525"/>
      <c r="J2" s="525"/>
      <c r="K2" s="525"/>
      <c r="L2" s="525"/>
      <c r="M2" s="525"/>
      <c r="N2" s="525"/>
      <c r="O2" s="525"/>
      <c r="P2" s="525"/>
      <c r="Q2" s="525"/>
      <c r="R2" s="525"/>
      <c r="S2" s="525"/>
      <c r="T2" s="525"/>
      <c r="U2" s="525"/>
      <c r="V2" s="525"/>
    </row>
    <row r="3" spans="1:23" s="157" customFormat="1" ht="18">
      <c r="A3" s="592" t="str">
        <f>+'01-Cân đôi'!A3:D3</f>
        <v>(Kèm theo Nghị quyết số         /NQ-HĐND ngày     tháng 9 năm 2025 của HĐND xã Quang Sơn)</v>
      </c>
      <c r="B3" s="592"/>
      <c r="C3" s="592"/>
      <c r="D3" s="592"/>
      <c r="E3" s="592"/>
      <c r="F3" s="592"/>
      <c r="G3" s="592"/>
      <c r="H3" s="592"/>
      <c r="I3" s="592"/>
      <c r="J3" s="592"/>
      <c r="K3" s="592"/>
      <c r="L3" s="592"/>
      <c r="M3" s="592"/>
      <c r="N3" s="592"/>
      <c r="O3" s="592"/>
      <c r="P3" s="592"/>
      <c r="Q3" s="592"/>
      <c r="R3" s="592"/>
      <c r="S3" s="592"/>
      <c r="T3" s="592"/>
      <c r="U3" s="592"/>
      <c r="V3" s="592"/>
    </row>
    <row r="4" spans="1:23">
      <c r="A4" s="162"/>
      <c r="B4" s="162"/>
      <c r="C4" s="162"/>
      <c r="D4" s="163"/>
      <c r="E4" s="164"/>
      <c r="F4" s="165"/>
      <c r="G4" s="165"/>
      <c r="H4" s="165"/>
      <c r="I4" s="165"/>
      <c r="J4" s="165"/>
      <c r="K4" s="165"/>
      <c r="L4" s="165"/>
      <c r="M4" s="165"/>
      <c r="N4" s="165"/>
      <c r="O4" s="165"/>
      <c r="P4" s="165"/>
      <c r="Q4" s="165"/>
      <c r="R4" s="165"/>
      <c r="S4" s="194"/>
      <c r="T4" s="165"/>
      <c r="U4" s="188"/>
      <c r="V4" s="188" t="s">
        <v>913</v>
      </c>
    </row>
    <row r="5" spans="1:23" ht="21" customHeight="1">
      <c r="A5" s="584" t="s">
        <v>137</v>
      </c>
      <c r="B5" s="584" t="s">
        <v>321</v>
      </c>
      <c r="C5" s="593" t="s">
        <v>355</v>
      </c>
      <c r="D5" s="594"/>
      <c r="E5" s="593" t="s">
        <v>356</v>
      </c>
      <c r="F5" s="595"/>
      <c r="G5" s="595"/>
      <c r="H5" s="595"/>
      <c r="I5" s="595"/>
      <c r="J5" s="595"/>
      <c r="K5" s="595"/>
      <c r="L5" s="595"/>
      <c r="M5" s="595"/>
      <c r="N5" s="595"/>
      <c r="O5" s="595"/>
      <c r="P5" s="595"/>
      <c r="Q5" s="595"/>
      <c r="R5" s="595"/>
      <c r="S5" s="595"/>
      <c r="T5" s="595"/>
      <c r="U5" s="595"/>
      <c r="V5" s="594"/>
    </row>
    <row r="6" spans="1:23" ht="26.25" customHeight="1">
      <c r="A6" s="585"/>
      <c r="B6" s="585"/>
      <c r="C6" s="587" t="s">
        <v>357</v>
      </c>
      <c r="D6" s="587" t="s">
        <v>358</v>
      </c>
      <c r="E6" s="587" t="s">
        <v>359</v>
      </c>
      <c r="F6" s="589" t="s">
        <v>360</v>
      </c>
      <c r="G6" s="581" t="s">
        <v>361</v>
      </c>
      <c r="H6" s="582"/>
      <c r="I6" s="581" t="s">
        <v>362</v>
      </c>
      <c r="J6" s="583"/>
      <c r="K6" s="583"/>
      <c r="L6" s="583"/>
      <c r="M6" s="583"/>
      <c r="N6" s="583"/>
      <c r="O6" s="583"/>
      <c r="P6" s="583"/>
      <c r="Q6" s="583"/>
      <c r="R6" s="583"/>
      <c r="S6" s="583"/>
      <c r="T6" s="583"/>
      <c r="U6" s="583"/>
      <c r="V6" s="582"/>
    </row>
    <row r="7" spans="1:23" ht="123" customHeight="1">
      <c r="A7" s="586"/>
      <c r="B7" s="586"/>
      <c r="C7" s="588"/>
      <c r="D7" s="588"/>
      <c r="E7" s="588"/>
      <c r="F7" s="590"/>
      <c r="G7" s="166" t="s">
        <v>363</v>
      </c>
      <c r="H7" s="166" t="s">
        <v>364</v>
      </c>
      <c r="I7" s="166" t="s">
        <v>365</v>
      </c>
      <c r="J7" s="166" t="s">
        <v>366</v>
      </c>
      <c r="K7" s="166" t="s">
        <v>367</v>
      </c>
      <c r="L7" s="166" t="s">
        <v>368</v>
      </c>
      <c r="M7" s="166" t="s">
        <v>369</v>
      </c>
      <c r="N7" s="166" t="s">
        <v>370</v>
      </c>
      <c r="O7" s="166" t="s">
        <v>371</v>
      </c>
      <c r="P7" s="166" t="s">
        <v>372</v>
      </c>
      <c r="Q7" s="166" t="s">
        <v>373</v>
      </c>
      <c r="R7" s="166" t="s">
        <v>374</v>
      </c>
      <c r="S7" s="195" t="s">
        <v>375</v>
      </c>
      <c r="T7" s="195" t="s">
        <v>376</v>
      </c>
      <c r="U7" s="195" t="s">
        <v>377</v>
      </c>
      <c r="V7" s="195" t="s">
        <v>378</v>
      </c>
    </row>
    <row r="8" spans="1:23" ht="15.75" customHeight="1">
      <c r="A8" s="167" t="s">
        <v>7</v>
      </c>
      <c r="B8" s="167" t="s">
        <v>22</v>
      </c>
      <c r="C8" s="167">
        <v>1</v>
      </c>
      <c r="D8" s="168">
        <v>2</v>
      </c>
      <c r="E8" s="167">
        <v>3</v>
      </c>
      <c r="F8" s="168">
        <v>4</v>
      </c>
      <c r="G8" s="167">
        <v>5</v>
      </c>
      <c r="H8" s="168">
        <v>6</v>
      </c>
      <c r="I8" s="167">
        <v>7</v>
      </c>
      <c r="J8" s="168">
        <v>8</v>
      </c>
      <c r="K8" s="167">
        <v>9</v>
      </c>
      <c r="L8" s="168">
        <v>10</v>
      </c>
      <c r="M8" s="167">
        <v>11</v>
      </c>
      <c r="N8" s="168">
        <v>12</v>
      </c>
      <c r="O8" s="167">
        <v>13</v>
      </c>
      <c r="P8" s="168">
        <v>14</v>
      </c>
      <c r="Q8" s="167">
        <v>15</v>
      </c>
      <c r="R8" s="168">
        <v>16</v>
      </c>
      <c r="S8" s="167">
        <v>17</v>
      </c>
      <c r="T8" s="168">
        <v>18</v>
      </c>
      <c r="U8" s="167">
        <v>19</v>
      </c>
      <c r="V8" s="168">
        <v>20</v>
      </c>
    </row>
    <row r="9" spans="1:23" ht="21.75" customHeight="1">
      <c r="A9" s="169"/>
      <c r="B9" s="170" t="s">
        <v>155</v>
      </c>
      <c r="C9" s="171">
        <f>C10+C13+C17</f>
        <v>81200000</v>
      </c>
      <c r="D9" s="171">
        <f>D10+D13+D17</f>
        <v>225450000</v>
      </c>
      <c r="E9" s="171">
        <f t="shared" ref="E9:V9" si="0">E10+E13+E17</f>
        <v>718500000</v>
      </c>
      <c r="F9" s="171">
        <f t="shared" si="0"/>
        <v>100100000</v>
      </c>
      <c r="G9" s="171">
        <f t="shared" si="0"/>
        <v>891195000</v>
      </c>
      <c r="H9" s="171">
        <f t="shared" si="0"/>
        <v>891195000</v>
      </c>
      <c r="I9" s="171">
        <f t="shared" si="0"/>
        <v>963784000</v>
      </c>
      <c r="J9" s="171">
        <f t="shared" si="0"/>
        <v>273551850</v>
      </c>
      <c r="K9" s="171">
        <f t="shared" si="0"/>
        <v>14072000</v>
      </c>
      <c r="L9" s="171">
        <f t="shared" si="0"/>
        <v>2700000</v>
      </c>
      <c r="M9" s="171">
        <f t="shared" si="0"/>
        <v>4320000</v>
      </c>
      <c r="N9" s="171">
        <f t="shared" si="0"/>
        <v>82080000</v>
      </c>
      <c r="O9" s="171">
        <f t="shared" si="0"/>
        <v>460920000</v>
      </c>
      <c r="P9" s="171">
        <f t="shared" si="0"/>
        <v>48600000</v>
      </c>
      <c r="Q9" s="171">
        <f t="shared" si="0"/>
        <v>203792000</v>
      </c>
      <c r="R9" s="171">
        <f t="shared" si="0"/>
        <v>23400000</v>
      </c>
      <c r="S9" s="171">
        <f t="shared" si="0"/>
        <v>292734000</v>
      </c>
      <c r="T9" s="171">
        <f t="shared" si="0"/>
        <v>744756006</v>
      </c>
      <c r="U9" s="171">
        <f t="shared" si="0"/>
        <v>41767500</v>
      </c>
      <c r="V9" s="171">
        <f t="shared" si="0"/>
        <v>80000000</v>
      </c>
      <c r="W9" s="196">
        <f>+SUM(C9:V9)</f>
        <v>6144117356</v>
      </c>
    </row>
    <row r="10" spans="1:23" ht="31.5" customHeight="1">
      <c r="A10" s="170" t="s">
        <v>9</v>
      </c>
      <c r="B10" s="172" t="s">
        <v>379</v>
      </c>
      <c r="C10" s="173">
        <f>C11+C12</f>
        <v>0</v>
      </c>
      <c r="D10" s="174">
        <f>D11+D12</f>
        <v>75460000</v>
      </c>
      <c r="E10" s="174">
        <f>E11+E12</f>
        <v>231300000</v>
      </c>
      <c r="F10" s="174">
        <f t="shared" ref="F10:V10" si="1">F11+F12</f>
        <v>28600000</v>
      </c>
      <c r="G10" s="174">
        <f t="shared" si="1"/>
        <v>276068000</v>
      </c>
      <c r="H10" s="175">
        <f t="shared" si="1"/>
        <v>276068000</v>
      </c>
      <c r="I10" s="173">
        <f t="shared" si="1"/>
        <v>0</v>
      </c>
      <c r="J10" s="174">
        <f t="shared" si="1"/>
        <v>64168650</v>
      </c>
      <c r="K10" s="174">
        <f t="shared" ref="K10:S10" si="2">K11+K12</f>
        <v>14072000</v>
      </c>
      <c r="L10" s="174">
        <f t="shared" si="2"/>
        <v>2700000</v>
      </c>
      <c r="M10" s="174">
        <f t="shared" si="2"/>
        <v>4320000</v>
      </c>
      <c r="N10" s="174">
        <f t="shared" si="2"/>
        <v>82080000</v>
      </c>
      <c r="O10" s="174">
        <f t="shared" si="2"/>
        <v>460920000</v>
      </c>
      <c r="P10" s="174">
        <f t="shared" si="2"/>
        <v>48600000</v>
      </c>
      <c r="Q10" s="173">
        <f t="shared" si="2"/>
        <v>0</v>
      </c>
      <c r="R10" s="173">
        <f t="shared" si="2"/>
        <v>0</v>
      </c>
      <c r="S10" s="173">
        <f t="shared" si="2"/>
        <v>0</v>
      </c>
      <c r="T10" s="174">
        <f t="shared" si="1"/>
        <v>80728156</v>
      </c>
      <c r="U10" s="174">
        <f t="shared" si="1"/>
        <v>41767500</v>
      </c>
      <c r="V10" s="173">
        <f t="shared" si="1"/>
        <v>0</v>
      </c>
      <c r="W10">
        <v>6144117356</v>
      </c>
    </row>
    <row r="11" spans="1:23" ht="21" customHeight="1">
      <c r="A11" s="169">
        <v>1</v>
      </c>
      <c r="B11" s="176" t="s">
        <v>380</v>
      </c>
      <c r="C11" s="177"/>
      <c r="D11" s="178">
        <v>46490000</v>
      </c>
      <c r="E11" s="179">
        <v>72900000</v>
      </c>
      <c r="F11" s="178">
        <v>14300000</v>
      </c>
      <c r="G11" s="178">
        <v>176356000</v>
      </c>
      <c r="H11" s="178">
        <v>176356000</v>
      </c>
      <c r="I11" s="191"/>
      <c r="J11" s="178">
        <v>64168650</v>
      </c>
      <c r="K11" s="178"/>
      <c r="L11" s="178"/>
      <c r="M11" s="178">
        <v>1800000</v>
      </c>
      <c r="N11" s="178">
        <v>67680000</v>
      </c>
      <c r="O11" s="178">
        <v>403200000</v>
      </c>
      <c r="P11" s="178">
        <v>44550000</v>
      </c>
      <c r="Q11" s="191"/>
      <c r="R11" s="191"/>
      <c r="S11" s="197"/>
      <c r="T11" s="198">
        <v>56271516</v>
      </c>
      <c r="U11" s="198">
        <v>19662500</v>
      </c>
      <c r="V11" s="197"/>
      <c r="W11" s="196">
        <f>+W10-W9</f>
        <v>0</v>
      </c>
    </row>
    <row r="12" spans="1:23" ht="21" customHeight="1">
      <c r="A12" s="169">
        <v>2</v>
      </c>
      <c r="B12" s="176" t="s">
        <v>381</v>
      </c>
      <c r="C12" s="177"/>
      <c r="D12" s="178">
        <v>28970000</v>
      </c>
      <c r="E12" s="179">
        <v>158400000</v>
      </c>
      <c r="F12" s="178">
        <v>14300000</v>
      </c>
      <c r="G12" s="178">
        <v>99712000</v>
      </c>
      <c r="H12" s="178">
        <v>99712000</v>
      </c>
      <c r="I12" s="191"/>
      <c r="J12" s="178"/>
      <c r="K12" s="178">
        <v>14072000</v>
      </c>
      <c r="L12" s="178">
        <v>2700000</v>
      </c>
      <c r="M12" s="178">
        <v>2520000</v>
      </c>
      <c r="N12" s="178">
        <v>14400000</v>
      </c>
      <c r="O12" s="178">
        <v>57720000</v>
      </c>
      <c r="P12" s="178">
        <v>4050000</v>
      </c>
      <c r="Q12" s="191"/>
      <c r="R12" s="191"/>
      <c r="S12" s="197"/>
      <c r="T12" s="198">
        <v>24456640</v>
      </c>
      <c r="U12" s="198">
        <v>22105000</v>
      </c>
      <c r="V12" s="197"/>
    </row>
    <row r="13" spans="1:23" ht="26.25" customHeight="1">
      <c r="A13" s="170" t="s">
        <v>14</v>
      </c>
      <c r="B13" s="172" t="s">
        <v>382</v>
      </c>
      <c r="C13" s="173">
        <f>C14+C15+C16</f>
        <v>0</v>
      </c>
      <c r="D13" s="174">
        <f t="shared" ref="D13:V13" si="3">D14+D15+D16</f>
        <v>92750000</v>
      </c>
      <c r="E13" s="174">
        <f t="shared" si="3"/>
        <v>487200000</v>
      </c>
      <c r="F13" s="174">
        <f t="shared" si="3"/>
        <v>42900000</v>
      </c>
      <c r="G13" s="175">
        <f t="shared" si="3"/>
        <v>381042500</v>
      </c>
      <c r="H13" s="175">
        <f t="shared" si="3"/>
        <v>381042500</v>
      </c>
      <c r="I13" s="173">
        <f t="shared" ref="I13:J13" si="4">I14+I15+I16</f>
        <v>0</v>
      </c>
      <c r="J13" s="174">
        <f t="shared" si="4"/>
        <v>70200000</v>
      </c>
      <c r="K13" s="173">
        <f t="shared" si="3"/>
        <v>0</v>
      </c>
      <c r="L13" s="173">
        <f t="shared" si="3"/>
        <v>0</v>
      </c>
      <c r="M13" s="173">
        <f t="shared" si="3"/>
        <v>0</v>
      </c>
      <c r="N13" s="173">
        <f t="shared" si="3"/>
        <v>0</v>
      </c>
      <c r="O13" s="173">
        <f t="shared" si="3"/>
        <v>0</v>
      </c>
      <c r="P13" s="173">
        <f t="shared" si="3"/>
        <v>0</v>
      </c>
      <c r="Q13" s="174">
        <f t="shared" si="3"/>
        <v>157248000</v>
      </c>
      <c r="R13" s="173">
        <f t="shared" si="3"/>
        <v>0</v>
      </c>
      <c r="S13" s="174">
        <f t="shared" si="3"/>
        <v>47970000</v>
      </c>
      <c r="T13" s="174">
        <f t="shared" si="3"/>
        <v>351546228</v>
      </c>
      <c r="U13" s="173">
        <f t="shared" si="3"/>
        <v>0</v>
      </c>
      <c r="V13" s="173">
        <f t="shared" si="3"/>
        <v>0</v>
      </c>
    </row>
    <row r="14" spans="1:23" ht="19.5" customHeight="1">
      <c r="A14" s="169">
        <v>1</v>
      </c>
      <c r="B14" s="180" t="s">
        <v>383</v>
      </c>
      <c r="C14" s="177"/>
      <c r="D14" s="181">
        <v>30370000</v>
      </c>
      <c r="E14" s="179">
        <v>243600000</v>
      </c>
      <c r="F14" s="178">
        <v>14300000</v>
      </c>
      <c r="G14" s="178">
        <v>118820500</v>
      </c>
      <c r="H14" s="178">
        <v>118820500</v>
      </c>
      <c r="I14" s="191"/>
      <c r="J14" s="178"/>
      <c r="K14" s="191"/>
      <c r="L14" s="191"/>
      <c r="M14" s="191"/>
      <c r="N14" s="191"/>
      <c r="O14" s="191"/>
      <c r="P14" s="191"/>
      <c r="Q14" s="178">
        <v>50544000</v>
      </c>
      <c r="R14" s="178"/>
      <c r="S14" s="199">
        <v>11700000</v>
      </c>
      <c r="T14" s="199">
        <v>163701854</v>
      </c>
      <c r="U14" s="177"/>
      <c r="V14" s="177"/>
    </row>
    <row r="15" spans="1:23" ht="19.5" customHeight="1">
      <c r="A15" s="169">
        <v>2</v>
      </c>
      <c r="B15" s="176" t="s">
        <v>384</v>
      </c>
      <c r="C15" s="177"/>
      <c r="D15" s="178">
        <v>28970000</v>
      </c>
      <c r="E15" s="179">
        <v>81200000</v>
      </c>
      <c r="F15" s="178">
        <v>14300000</v>
      </c>
      <c r="G15" s="178">
        <v>126876500</v>
      </c>
      <c r="H15" s="178">
        <v>126876500</v>
      </c>
      <c r="I15" s="191"/>
      <c r="J15" s="178">
        <v>23400000</v>
      </c>
      <c r="K15" s="191"/>
      <c r="L15" s="191"/>
      <c r="M15" s="191"/>
      <c r="N15" s="191"/>
      <c r="O15" s="191"/>
      <c r="P15" s="191"/>
      <c r="Q15" s="178">
        <v>16848000</v>
      </c>
      <c r="R15" s="178"/>
      <c r="S15" s="199"/>
      <c r="T15" s="198">
        <v>45475627</v>
      </c>
      <c r="U15" s="177"/>
      <c r="V15" s="177"/>
    </row>
    <row r="16" spans="1:23" ht="19.5" customHeight="1">
      <c r="A16" s="169">
        <v>3</v>
      </c>
      <c r="B16" s="176" t="s">
        <v>385</v>
      </c>
      <c r="C16" s="177"/>
      <c r="D16" s="178">
        <v>33410000</v>
      </c>
      <c r="E16" s="179">
        <v>162400000</v>
      </c>
      <c r="F16" s="178">
        <v>14300000</v>
      </c>
      <c r="G16" s="178">
        <v>135345500</v>
      </c>
      <c r="H16" s="178">
        <v>135345500</v>
      </c>
      <c r="I16" s="191"/>
      <c r="J16" s="178">
        <v>46800000</v>
      </c>
      <c r="K16" s="191"/>
      <c r="L16" s="191"/>
      <c r="M16" s="191"/>
      <c r="N16" s="191"/>
      <c r="O16" s="191"/>
      <c r="P16" s="191"/>
      <c r="Q16" s="178">
        <v>89856000</v>
      </c>
      <c r="R16" s="178"/>
      <c r="S16" s="198">
        <v>36270000</v>
      </c>
      <c r="T16" s="199">
        <v>142368747</v>
      </c>
      <c r="U16" s="177"/>
      <c r="V16" s="177"/>
    </row>
    <row r="17" spans="1:22" ht="29.25" customHeight="1">
      <c r="A17" s="170" t="s">
        <v>18</v>
      </c>
      <c r="B17" s="182" t="s">
        <v>386</v>
      </c>
      <c r="C17" s="183">
        <f>C18+C19</f>
        <v>81200000</v>
      </c>
      <c r="D17" s="183">
        <f t="shared" ref="D17:V17" si="5">D18+D19</f>
        <v>57240000</v>
      </c>
      <c r="E17" s="183">
        <f t="shared" si="5"/>
        <v>0</v>
      </c>
      <c r="F17" s="183">
        <f t="shared" si="5"/>
        <v>28600000</v>
      </c>
      <c r="G17" s="183">
        <f t="shared" si="5"/>
        <v>234084500</v>
      </c>
      <c r="H17" s="184">
        <f t="shared" si="5"/>
        <v>234084500</v>
      </c>
      <c r="I17" s="184">
        <f t="shared" si="5"/>
        <v>963784000</v>
      </c>
      <c r="J17" s="183">
        <f t="shared" si="5"/>
        <v>139183200</v>
      </c>
      <c r="K17" s="192">
        <f t="shared" si="5"/>
        <v>0</v>
      </c>
      <c r="L17" s="192">
        <f t="shared" si="5"/>
        <v>0</v>
      </c>
      <c r="M17" s="192">
        <f t="shared" si="5"/>
        <v>0</v>
      </c>
      <c r="N17" s="192">
        <f t="shared" si="5"/>
        <v>0</v>
      </c>
      <c r="O17" s="192">
        <f t="shared" si="5"/>
        <v>0</v>
      </c>
      <c r="P17" s="192">
        <f t="shared" si="5"/>
        <v>0</v>
      </c>
      <c r="Q17" s="183">
        <f t="shared" si="5"/>
        <v>46544000</v>
      </c>
      <c r="R17" s="183">
        <f t="shared" si="5"/>
        <v>23400000</v>
      </c>
      <c r="S17" s="183">
        <f t="shared" si="5"/>
        <v>244764000</v>
      </c>
      <c r="T17" s="183">
        <f t="shared" si="5"/>
        <v>312481622</v>
      </c>
      <c r="U17" s="192">
        <f t="shared" si="5"/>
        <v>0</v>
      </c>
      <c r="V17" s="183">
        <f t="shared" si="5"/>
        <v>80000000</v>
      </c>
    </row>
    <row r="18" spans="1:22" ht="16.5" customHeight="1">
      <c r="A18" s="169">
        <v>1</v>
      </c>
      <c r="B18" s="176" t="s">
        <v>387</v>
      </c>
      <c r="C18" s="185">
        <v>81200000</v>
      </c>
      <c r="D18" s="178">
        <v>33410000</v>
      </c>
      <c r="E18" s="186"/>
      <c r="F18" s="178">
        <v>14300000</v>
      </c>
      <c r="G18" s="178">
        <v>135047500</v>
      </c>
      <c r="H18" s="178">
        <v>135047500</v>
      </c>
      <c r="I18" s="178">
        <v>963784000</v>
      </c>
      <c r="J18" s="178">
        <v>139183200</v>
      </c>
      <c r="K18" s="178"/>
      <c r="L18" s="178"/>
      <c r="M18" s="178"/>
      <c r="N18" s="178"/>
      <c r="O18" s="178"/>
      <c r="P18" s="178"/>
      <c r="Q18" s="178">
        <v>29696000</v>
      </c>
      <c r="R18" s="178">
        <v>23400000</v>
      </c>
      <c r="S18" s="199">
        <v>244764000</v>
      </c>
      <c r="T18" s="199">
        <v>209864582</v>
      </c>
      <c r="U18" s="200"/>
      <c r="V18" s="200">
        <v>30000000</v>
      </c>
    </row>
    <row r="19" spans="1:22" ht="16.5" customHeight="1">
      <c r="A19" s="169">
        <v>2</v>
      </c>
      <c r="B19" s="176" t="s">
        <v>388</v>
      </c>
      <c r="C19" s="178"/>
      <c r="D19" s="178">
        <v>23830000</v>
      </c>
      <c r="E19" s="171"/>
      <c r="F19" s="178">
        <v>14300000</v>
      </c>
      <c r="G19" s="178">
        <v>99037000</v>
      </c>
      <c r="H19" s="178">
        <v>99037000</v>
      </c>
      <c r="I19" s="178"/>
      <c r="J19" s="178"/>
      <c r="K19" s="178"/>
      <c r="L19" s="178"/>
      <c r="M19" s="178"/>
      <c r="N19" s="178"/>
      <c r="O19" s="178"/>
      <c r="P19" s="178"/>
      <c r="Q19" s="178">
        <v>16848000</v>
      </c>
      <c r="R19" s="178"/>
      <c r="S19" s="198"/>
      <c r="T19" s="199">
        <v>102617040</v>
      </c>
      <c r="U19" s="200"/>
      <c r="V19" s="200">
        <v>50000000</v>
      </c>
    </row>
    <row r="20" spans="1:22">
      <c r="A20" s="187"/>
      <c r="B20" s="188"/>
      <c r="C20" s="188"/>
      <c r="D20" s="189"/>
      <c r="E20" s="189"/>
      <c r="F20" s="189"/>
      <c r="G20" s="189"/>
      <c r="H20" s="189"/>
      <c r="I20" s="189"/>
      <c r="J20" s="189"/>
      <c r="K20" s="189"/>
      <c r="L20" s="189"/>
      <c r="M20" s="189"/>
      <c r="N20" s="189"/>
      <c r="O20" s="189"/>
      <c r="P20" s="189"/>
      <c r="Q20" s="189"/>
      <c r="R20" s="189"/>
      <c r="S20" s="194"/>
      <c r="T20" s="194"/>
      <c r="U20" s="201"/>
      <c r="V20" s="201"/>
    </row>
    <row r="21" spans="1:22">
      <c r="A21" s="187"/>
      <c r="B21" s="188"/>
      <c r="C21" s="188"/>
      <c r="D21" s="190"/>
      <c r="E21" s="190"/>
      <c r="F21" s="190"/>
      <c r="G21" s="190"/>
      <c r="H21" s="190"/>
      <c r="I21" s="190"/>
      <c r="J21" s="190"/>
      <c r="K21" s="190"/>
      <c r="L21" s="190"/>
      <c r="M21" s="190"/>
      <c r="N21" s="190"/>
      <c r="O21" s="190"/>
      <c r="P21" s="190"/>
      <c r="Q21" s="190"/>
      <c r="R21" s="190"/>
      <c r="S21" s="194"/>
      <c r="T21" s="194"/>
      <c r="U21" s="188"/>
      <c r="V21" s="188"/>
    </row>
  </sheetData>
  <mergeCells count="13">
    <mergeCell ref="U1:V1"/>
    <mergeCell ref="A2:V2"/>
    <mergeCell ref="A3:V3"/>
    <mergeCell ref="C5:D5"/>
    <mergeCell ref="E5:V5"/>
    <mergeCell ref="G6:H6"/>
    <mergeCell ref="I6:V6"/>
    <mergeCell ref="A5:A7"/>
    <mergeCell ref="B5:B7"/>
    <mergeCell ref="C6:C7"/>
    <mergeCell ref="D6:D7"/>
    <mergeCell ref="E6:E7"/>
    <mergeCell ref="F6:F7"/>
  </mergeCells>
  <pageMargins left="0.24" right="0.15748031496063" top="0.53" bottom="0.74803149606299202" header="0.31496062992126" footer="0.31496062992126"/>
  <pageSetup paperSize="9" scale="6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75"/>
  <sheetViews>
    <sheetView topLeftCell="A4" workbookViewId="0">
      <pane xSplit="2" ySplit="5" topLeftCell="C24" activePane="bottomRight" state="frozen"/>
      <selection pane="topRight"/>
      <selection pane="bottomLeft"/>
      <selection pane="bottomRight" activeCell="E26" sqref="E26"/>
    </sheetView>
  </sheetViews>
  <sheetFormatPr defaultColWidth="11.77734375" defaultRowHeight="15.6"/>
  <cols>
    <col min="1" max="1" width="4.77734375" style="1" customWidth="1"/>
    <col min="2" max="2" width="24.77734375" style="1" customWidth="1"/>
    <col min="3" max="3" width="10" style="26" customWidth="1"/>
    <col min="4" max="4" width="10.33203125" style="26" customWidth="1"/>
    <col min="5" max="5" width="9.77734375" style="1" customWidth="1"/>
    <col min="6" max="8" width="10.109375" style="1" customWidth="1"/>
    <col min="9" max="9" width="9" style="1" customWidth="1"/>
    <col min="10" max="10" width="11.33203125" style="1" customWidth="1"/>
    <col min="11" max="11" width="6.88671875" style="1" customWidth="1"/>
    <col min="12" max="12" width="9.88671875" style="1" customWidth="1"/>
    <col min="13" max="13" width="8" style="1" customWidth="1"/>
    <col min="14" max="14" width="8.77734375" style="1" customWidth="1"/>
    <col min="15" max="16384" width="11.77734375" style="1"/>
  </cols>
  <sheetData>
    <row r="1" spans="1:15" s="26" customFormat="1" ht="21.75" customHeight="1">
      <c r="A1" s="602" t="s">
        <v>389</v>
      </c>
      <c r="B1" s="602"/>
      <c r="C1" s="602"/>
      <c r="D1" s="602"/>
      <c r="E1" s="602"/>
      <c r="F1" s="602"/>
      <c r="G1" s="602"/>
      <c r="H1" s="602"/>
      <c r="I1" s="602"/>
      <c r="J1" s="602"/>
      <c r="K1" s="602"/>
      <c r="L1" s="602"/>
      <c r="M1" s="602"/>
      <c r="N1" s="602"/>
      <c r="O1" s="116"/>
    </row>
    <row r="2" spans="1:15" ht="23.25" customHeight="1">
      <c r="A2" s="603" t="s">
        <v>390</v>
      </c>
      <c r="B2" s="603"/>
      <c r="C2" s="603"/>
      <c r="D2" s="603"/>
      <c r="E2" s="603"/>
      <c r="F2" s="603"/>
      <c r="G2" s="603"/>
      <c r="H2" s="603"/>
      <c r="I2" s="603"/>
      <c r="J2" s="603"/>
      <c r="K2" s="603"/>
      <c r="L2" s="603"/>
      <c r="M2" s="603"/>
      <c r="N2" s="603"/>
    </row>
    <row r="3" spans="1:15" s="38" customFormat="1" ht="16.2">
      <c r="A3" s="113"/>
      <c r="B3" s="114"/>
      <c r="C3" s="115"/>
      <c r="D3" s="116"/>
      <c r="E3" s="113"/>
      <c r="F3" s="113"/>
      <c r="G3" s="113"/>
      <c r="H3" s="113"/>
      <c r="I3" s="113"/>
      <c r="J3" s="113"/>
      <c r="K3" s="113"/>
      <c r="L3" s="113"/>
      <c r="M3" s="113"/>
      <c r="N3" s="113"/>
    </row>
    <row r="4" spans="1:15" s="110" customFormat="1" ht="36.75" customHeight="1">
      <c r="A4" s="597" t="s">
        <v>3</v>
      </c>
      <c r="B4" s="597" t="s">
        <v>391</v>
      </c>
      <c r="C4" s="598" t="s">
        <v>392</v>
      </c>
      <c r="D4" s="604" t="s">
        <v>8</v>
      </c>
      <c r="E4" s="605"/>
      <c r="F4" s="605"/>
      <c r="G4" s="605"/>
      <c r="H4" s="605"/>
      <c r="I4" s="606"/>
      <c r="J4" s="598" t="s">
        <v>393</v>
      </c>
      <c r="K4" s="599" t="s">
        <v>111</v>
      </c>
      <c r="L4" s="599"/>
      <c r="M4" s="599"/>
      <c r="N4" s="599"/>
    </row>
    <row r="5" spans="1:15" s="110" customFormat="1" ht="36.75" customHeight="1">
      <c r="A5" s="597"/>
      <c r="B5" s="597"/>
      <c r="C5" s="598"/>
      <c r="D5" s="599" t="s">
        <v>394</v>
      </c>
      <c r="E5" s="599" t="s">
        <v>111</v>
      </c>
      <c r="F5" s="599"/>
      <c r="G5" s="599"/>
      <c r="H5" s="599"/>
      <c r="I5" s="599"/>
      <c r="J5" s="598"/>
      <c r="K5" s="607" t="s">
        <v>395</v>
      </c>
      <c r="L5" s="607" t="s">
        <v>396</v>
      </c>
      <c r="M5" s="607" t="s">
        <v>34</v>
      </c>
      <c r="N5" s="607" t="s">
        <v>397</v>
      </c>
    </row>
    <row r="6" spans="1:15" s="110" customFormat="1" ht="36.75" customHeight="1">
      <c r="A6" s="597"/>
      <c r="B6" s="597"/>
      <c r="C6" s="598"/>
      <c r="D6" s="599"/>
      <c r="E6" s="600" t="s">
        <v>398</v>
      </c>
      <c r="F6" s="604" t="s">
        <v>399</v>
      </c>
      <c r="G6" s="605"/>
      <c r="H6" s="606"/>
      <c r="I6" s="600" t="s">
        <v>400</v>
      </c>
      <c r="J6" s="598"/>
      <c r="K6" s="607"/>
      <c r="L6" s="607"/>
      <c r="M6" s="607"/>
      <c r="N6" s="607"/>
    </row>
    <row r="7" spans="1:15" s="110" customFormat="1" ht="71.25" customHeight="1">
      <c r="A7" s="597"/>
      <c r="B7" s="597"/>
      <c r="C7" s="598"/>
      <c r="D7" s="599"/>
      <c r="E7" s="601"/>
      <c r="F7" s="142" t="s">
        <v>401</v>
      </c>
      <c r="G7" s="119" t="s">
        <v>402</v>
      </c>
      <c r="H7" s="119" t="s">
        <v>403</v>
      </c>
      <c r="I7" s="608"/>
      <c r="J7" s="598"/>
      <c r="K7" s="607"/>
      <c r="L7" s="607" t="s">
        <v>396</v>
      </c>
      <c r="M7" s="607"/>
      <c r="N7" s="607" t="s">
        <v>34</v>
      </c>
    </row>
    <row r="8" spans="1:15" s="111" customFormat="1" ht="21.9" customHeight="1">
      <c r="A8" s="143"/>
      <c r="B8" s="144" t="s">
        <v>322</v>
      </c>
      <c r="C8" s="145" t="e">
        <f t="shared" ref="C8:N8" si="0">SUM(C9:C63)</f>
        <v>#REF!</v>
      </c>
      <c r="D8" s="145">
        <f t="shared" si="0"/>
        <v>5829057.2459999993</v>
      </c>
      <c r="E8" s="145">
        <f t="shared" si="0"/>
        <v>137306.35799999998</v>
      </c>
      <c r="F8" s="145">
        <f t="shared" si="0"/>
        <v>5633547.7919999994</v>
      </c>
      <c r="G8" s="145">
        <f t="shared" si="0"/>
        <v>1126383.8870000001</v>
      </c>
      <c r="H8" s="145">
        <f t="shared" si="0"/>
        <v>4507163.9049999993</v>
      </c>
      <c r="I8" s="145">
        <f t="shared" si="0"/>
        <v>58203.096000000005</v>
      </c>
      <c r="J8" s="145">
        <f t="shared" si="0"/>
        <v>5829056.987999999</v>
      </c>
      <c r="K8" s="145">
        <f t="shared" si="0"/>
        <v>6932</v>
      </c>
      <c r="L8" s="145">
        <f t="shared" si="0"/>
        <v>4237931.2450000001</v>
      </c>
      <c r="M8" s="145">
        <f t="shared" si="0"/>
        <v>25560.254999999997</v>
      </c>
      <c r="N8" s="145">
        <f t="shared" si="0"/>
        <v>25231.064000000002</v>
      </c>
    </row>
    <row r="9" spans="1:15" ht="21.9" customHeight="1">
      <c r="A9" s="146">
        <v>1</v>
      </c>
      <c r="B9" s="147" t="s">
        <v>404</v>
      </c>
      <c r="C9" s="148" t="e">
        <f>#REF!</f>
        <v>#REF!</v>
      </c>
      <c r="D9" s="148">
        <f>E9+F9+I9</f>
        <v>362109.50300000003</v>
      </c>
      <c r="E9" s="148">
        <f>'[2]Tổng '!D8</f>
        <v>16799.655999999999</v>
      </c>
      <c r="F9" s="148">
        <f>SUM(G9:H9)</f>
        <v>332634.94099999999</v>
      </c>
      <c r="G9" s="148">
        <f>'[2]Tổng '!F8</f>
        <v>48168.925000000003</v>
      </c>
      <c r="H9" s="148">
        <f>'[2]Tổng '!G8</f>
        <v>284466.016</v>
      </c>
      <c r="I9" s="155">
        <f>'[2]Tổng '!J8</f>
        <v>12674.906000000001</v>
      </c>
      <c r="J9" s="148">
        <f>'[2]Tổng '!K8</f>
        <v>362109.50300000003</v>
      </c>
      <c r="K9" s="148">
        <f>'[2]Tổng '!R8</f>
        <v>0</v>
      </c>
      <c r="L9" s="148">
        <f>'[2]Tổng '!N8</f>
        <v>284466.016</v>
      </c>
      <c r="M9" s="148">
        <f>'[2]Tổng '!S8</f>
        <v>1476.585</v>
      </c>
      <c r="N9" s="148">
        <f>'[2]Tổng '!T8</f>
        <v>3164.223</v>
      </c>
    </row>
    <row r="10" spans="1:15" ht="21.9" customHeight="1">
      <c r="A10" s="146">
        <v>2</v>
      </c>
      <c r="B10" s="147" t="s">
        <v>405</v>
      </c>
      <c r="C10" s="148" t="e">
        <f>#REF!</f>
        <v>#REF!</v>
      </c>
      <c r="D10" s="148">
        <f t="shared" ref="D10:D63" si="1">E10+F10+I10</f>
        <v>173243.08100000001</v>
      </c>
      <c r="E10" s="148">
        <f>'[2]Tổng '!D9</f>
        <v>15823.05</v>
      </c>
      <c r="F10" s="148">
        <f t="shared" ref="F10:F63" si="2">SUM(G10:H10)</f>
        <v>155807.67800000001</v>
      </c>
      <c r="G10" s="148">
        <f>'[2]Tổng '!F9</f>
        <v>30555.393</v>
      </c>
      <c r="H10" s="148">
        <f>'[2]Tổng '!G9</f>
        <v>125252.285</v>
      </c>
      <c r="I10" s="155">
        <f>'[2]Tổng '!J9</f>
        <v>1612.3530000000001</v>
      </c>
      <c r="J10" s="148">
        <f>'[2]Tổng '!K9</f>
        <v>173241.87100000001</v>
      </c>
      <c r="K10" s="148">
        <f>'[2]Tổng '!R9</f>
        <v>0</v>
      </c>
      <c r="L10" s="148">
        <f>'[2]Tổng '!N9</f>
        <v>125252.285</v>
      </c>
      <c r="M10" s="148">
        <f>'[2]Tổng '!S9</f>
        <v>950.40800000000002</v>
      </c>
      <c r="N10" s="148">
        <f>'[2]Tổng '!T9</f>
        <v>0</v>
      </c>
    </row>
    <row r="11" spans="1:15" ht="21.9" customHeight="1">
      <c r="A11" s="146">
        <v>3</v>
      </c>
      <c r="B11" s="147" t="s">
        <v>406</v>
      </c>
      <c r="C11" s="148" t="e">
        <f>#REF!</f>
        <v>#REF!</v>
      </c>
      <c r="D11" s="148">
        <f t="shared" si="1"/>
        <v>196644.30600000001</v>
      </c>
      <c r="E11" s="148">
        <f>'[2]Tổng '!D10</f>
        <v>8485.5519999999997</v>
      </c>
      <c r="F11" s="148">
        <f t="shared" si="2"/>
        <v>184345.83500000002</v>
      </c>
      <c r="G11" s="148">
        <f>'[2]Tổng '!F10</f>
        <v>35843.044999999998</v>
      </c>
      <c r="H11" s="148">
        <f>'[2]Tổng '!G10</f>
        <v>148502.79</v>
      </c>
      <c r="I11" s="155">
        <f>'[2]Tổng '!J10</f>
        <v>3812.9189999999999</v>
      </c>
      <c r="J11" s="148">
        <f>'[2]Tổng '!K10</f>
        <v>196644.30600000001</v>
      </c>
      <c r="K11" s="148">
        <f>'[2]Tổng '!R10</f>
        <v>0</v>
      </c>
      <c r="L11" s="148">
        <f>'[2]Tổng '!N10</f>
        <v>148502.79</v>
      </c>
      <c r="M11" s="148">
        <f>'[2]Tổng '!S10</f>
        <v>954.23599999999999</v>
      </c>
      <c r="N11" s="148">
        <f>'[2]Tổng '!T10</f>
        <v>0</v>
      </c>
    </row>
    <row r="12" spans="1:15" ht="21.9" customHeight="1">
      <c r="A12" s="146">
        <v>4</v>
      </c>
      <c r="B12" s="147" t="s">
        <v>407</v>
      </c>
      <c r="C12" s="148" t="e">
        <f>#REF!</f>
        <v>#REF!</v>
      </c>
      <c r="D12" s="148">
        <f t="shared" si="1"/>
        <v>134097.31</v>
      </c>
      <c r="E12" s="148">
        <f>'[2]Tổng '!D11</f>
        <v>6262.5039999999999</v>
      </c>
      <c r="F12" s="148">
        <f t="shared" si="2"/>
        <v>127746.352</v>
      </c>
      <c r="G12" s="148">
        <f>'[2]Tổng '!F11</f>
        <v>33361.671000000002</v>
      </c>
      <c r="H12" s="148">
        <f>'[2]Tổng '!G11</f>
        <v>94384.680999999997</v>
      </c>
      <c r="I12" s="155">
        <f>'[2]Tổng '!J11</f>
        <v>88.453999999999994</v>
      </c>
      <c r="J12" s="148">
        <f>'[2]Tổng '!K11</f>
        <v>134096.92600000001</v>
      </c>
      <c r="K12" s="148">
        <f>'[2]Tổng '!R11</f>
        <v>0</v>
      </c>
      <c r="L12" s="148">
        <f>'[2]Tổng '!N11</f>
        <v>94384.680999999997</v>
      </c>
      <c r="M12" s="148">
        <f>'[2]Tổng '!S11</f>
        <v>786.66499999999996</v>
      </c>
      <c r="N12" s="148">
        <f>'[2]Tổng '!T11</f>
        <v>0</v>
      </c>
    </row>
    <row r="13" spans="1:15" ht="21.9" customHeight="1">
      <c r="A13" s="146">
        <v>5</v>
      </c>
      <c r="B13" s="147" t="s">
        <v>408</v>
      </c>
      <c r="C13" s="148" t="e">
        <f>#REF!</f>
        <v>#REF!</v>
      </c>
      <c r="D13" s="148">
        <f t="shared" si="1"/>
        <v>96246.388000000006</v>
      </c>
      <c r="E13" s="148">
        <f>'[2]Tổng '!D12</f>
        <v>4524.46</v>
      </c>
      <c r="F13" s="148">
        <f t="shared" si="2"/>
        <v>73149.225000000006</v>
      </c>
      <c r="G13" s="148">
        <f>'[2]Tổng '!F12</f>
        <v>14899.018</v>
      </c>
      <c r="H13" s="148">
        <f>'[2]Tổng '!G12</f>
        <v>58250.207000000002</v>
      </c>
      <c r="I13" s="155">
        <f>'[2]Tổng '!J12</f>
        <v>18572.703000000001</v>
      </c>
      <c r="J13" s="148">
        <f>'[2]Tổng '!K12</f>
        <v>96246.388000000006</v>
      </c>
      <c r="K13" s="148">
        <f>'[2]Tổng '!R12</f>
        <v>0</v>
      </c>
      <c r="L13" s="148">
        <f>'[2]Tổng '!N12</f>
        <v>58250.207000000002</v>
      </c>
      <c r="M13" s="148">
        <f>'[2]Tổng '!S12</f>
        <v>517.23900000000003</v>
      </c>
      <c r="N13" s="148">
        <f>'[2]Tổng '!T12</f>
        <v>11923.982</v>
      </c>
    </row>
    <row r="14" spans="1:15" ht="21.9" customHeight="1">
      <c r="A14" s="146">
        <v>6</v>
      </c>
      <c r="B14" s="147" t="s">
        <v>409</v>
      </c>
      <c r="C14" s="148" t="e">
        <f>#REF!</f>
        <v>#REF!</v>
      </c>
      <c r="D14" s="148">
        <f t="shared" si="1"/>
        <v>140699.10999999999</v>
      </c>
      <c r="E14" s="148">
        <f>'[2]Tổng '!D13</f>
        <v>8533.9959999999992</v>
      </c>
      <c r="F14" s="148">
        <f t="shared" si="2"/>
        <v>128841.65399999999</v>
      </c>
      <c r="G14" s="148">
        <f>'[2]Tổng '!F13</f>
        <v>25823.682000000001</v>
      </c>
      <c r="H14" s="148">
        <f>'[2]Tổng '!G13</f>
        <v>103017.97199999999</v>
      </c>
      <c r="I14" s="155">
        <f>'[2]Tổng '!J13</f>
        <v>3323.46</v>
      </c>
      <c r="J14" s="148">
        <f>'[2]Tổng '!K13</f>
        <v>140699.10999999999</v>
      </c>
      <c r="K14" s="148">
        <f>'[2]Tổng '!R13</f>
        <v>0</v>
      </c>
      <c r="L14" s="148">
        <f>'[2]Tổng '!N13</f>
        <v>103017.97199999999</v>
      </c>
      <c r="M14" s="148">
        <f>'[2]Tổng '!S13</f>
        <v>746.74699999999996</v>
      </c>
      <c r="N14" s="148">
        <f>'[2]Tổng '!T13</f>
        <v>0</v>
      </c>
    </row>
    <row r="15" spans="1:15" ht="21.9" customHeight="1">
      <c r="A15" s="146">
        <v>7</v>
      </c>
      <c r="B15" s="147" t="s">
        <v>410</v>
      </c>
      <c r="C15" s="148" t="e">
        <f>#REF!</f>
        <v>#REF!</v>
      </c>
      <c r="D15" s="148">
        <f t="shared" si="1"/>
        <v>88286.51400000001</v>
      </c>
      <c r="E15" s="148">
        <f>'[2]Tổng '!D14</f>
        <v>5091.5519999999997</v>
      </c>
      <c r="F15" s="148">
        <f t="shared" si="2"/>
        <v>79767.741000000009</v>
      </c>
      <c r="G15" s="148">
        <f>'[2]Tổng '!F14</f>
        <v>20457</v>
      </c>
      <c r="H15" s="148">
        <f>'[2]Tổng '!G14</f>
        <v>59310.741000000002</v>
      </c>
      <c r="I15" s="155">
        <f>'[2]Tổng '!J14</f>
        <v>3427.221</v>
      </c>
      <c r="J15" s="148">
        <f>'[2]Tổng '!K14</f>
        <v>88287.513999999996</v>
      </c>
      <c r="K15" s="148">
        <f>'[2]Tổng '!R14</f>
        <v>0</v>
      </c>
      <c r="L15" s="148">
        <f>'[2]Tổng '!N14</f>
        <v>59310.741000000002</v>
      </c>
      <c r="M15" s="148">
        <f>'[2]Tổng '!S14</f>
        <v>574.13699999999994</v>
      </c>
      <c r="N15" s="148">
        <f>'[2]Tổng '!T14</f>
        <v>0</v>
      </c>
    </row>
    <row r="16" spans="1:15" ht="21.9" customHeight="1">
      <c r="A16" s="146">
        <v>8</v>
      </c>
      <c r="B16" s="147" t="s">
        <v>411</v>
      </c>
      <c r="C16" s="148" t="e">
        <f>#REF!</f>
        <v>#REF!</v>
      </c>
      <c r="D16" s="148">
        <f t="shared" si="1"/>
        <v>182952.766</v>
      </c>
      <c r="E16" s="148">
        <f>'[2]Tổng '!D15</f>
        <v>10764.008</v>
      </c>
      <c r="F16" s="148">
        <f t="shared" si="2"/>
        <v>167619.372</v>
      </c>
      <c r="G16" s="148">
        <f>'[2]Tổng '!F15</f>
        <v>23095.536</v>
      </c>
      <c r="H16" s="148">
        <f>'[2]Tổng '!G15</f>
        <v>144523.83600000001</v>
      </c>
      <c r="I16" s="155">
        <f>'[2]Tổng '!J15</f>
        <v>4569.3860000000004</v>
      </c>
      <c r="J16" s="148">
        <f>'[2]Tổng '!K15</f>
        <v>182952.766</v>
      </c>
      <c r="K16" s="148">
        <f>'[2]Tổng '!R15</f>
        <v>0</v>
      </c>
      <c r="L16" s="148">
        <f>'[2]Tổng '!N15</f>
        <v>138869.83600000001</v>
      </c>
      <c r="M16" s="148">
        <f>'[2]Tổng '!S15</f>
        <v>755.51499999999999</v>
      </c>
      <c r="N16" s="148">
        <f>'[2]Tổng '!T15</f>
        <v>20.609000000000002</v>
      </c>
    </row>
    <row r="17" spans="1:14" ht="21.9" customHeight="1">
      <c r="A17" s="146">
        <v>9</v>
      </c>
      <c r="B17" s="147" t="s">
        <v>412</v>
      </c>
      <c r="C17" s="148" t="e">
        <f>#REF!</f>
        <v>#REF!</v>
      </c>
      <c r="D17" s="148">
        <f t="shared" si="1"/>
        <v>107914.5</v>
      </c>
      <c r="E17" s="148">
        <f>'[2]Tổng '!D16</f>
        <v>891</v>
      </c>
      <c r="F17" s="148">
        <f t="shared" si="2"/>
        <v>107023.5</v>
      </c>
      <c r="G17" s="148">
        <f>'[2]Tổng '!F16</f>
        <v>22609</v>
      </c>
      <c r="H17" s="148">
        <f>'[2]Tổng '!G16</f>
        <v>84414.5</v>
      </c>
      <c r="I17" s="155">
        <f>'[2]Tổng '!J16</f>
        <v>0</v>
      </c>
      <c r="J17" s="148">
        <f>'[2]Tổng '!K16</f>
        <v>107914.5</v>
      </c>
      <c r="K17" s="148">
        <f>'[2]Tổng '!R16</f>
        <v>0</v>
      </c>
      <c r="L17" s="148">
        <f>'[2]Tổng '!N16</f>
        <v>70493.5</v>
      </c>
      <c r="M17" s="148">
        <f>'[2]Tổng '!S16</f>
        <v>507</v>
      </c>
      <c r="N17" s="148">
        <f>'[2]Tổng '!T16</f>
        <v>0</v>
      </c>
    </row>
    <row r="18" spans="1:14" ht="21.9" customHeight="1">
      <c r="A18" s="146">
        <v>10</v>
      </c>
      <c r="B18" s="147" t="s">
        <v>413</v>
      </c>
      <c r="C18" s="148" t="e">
        <f>#REF!</f>
        <v>#REF!</v>
      </c>
      <c r="D18" s="148">
        <f t="shared" si="1"/>
        <v>59716.3</v>
      </c>
      <c r="E18" s="148">
        <f>'[2]Tổng '!D17</f>
        <v>272</v>
      </c>
      <c r="F18" s="148">
        <f t="shared" si="2"/>
        <v>59444.3</v>
      </c>
      <c r="G18" s="148">
        <f>'[2]Tổng '!F17</f>
        <v>14332</v>
      </c>
      <c r="H18" s="148">
        <f>'[2]Tổng '!G17</f>
        <v>45112.3</v>
      </c>
      <c r="I18" s="155">
        <f>'[2]Tổng '!J17</f>
        <v>0</v>
      </c>
      <c r="J18" s="148">
        <f>'[2]Tổng '!K17</f>
        <v>59716.3</v>
      </c>
      <c r="K18" s="148">
        <f>'[2]Tổng '!R17</f>
        <v>0</v>
      </c>
      <c r="L18" s="148">
        <f>'[2]Tổng '!N17</f>
        <v>36303.300000000003</v>
      </c>
      <c r="M18" s="148">
        <f>'[2]Tổng '!S17</f>
        <v>320</v>
      </c>
      <c r="N18" s="148">
        <f>'[2]Tổng '!T17</f>
        <v>0</v>
      </c>
    </row>
    <row r="19" spans="1:14" ht="21.9" customHeight="1">
      <c r="A19" s="146">
        <v>11</v>
      </c>
      <c r="B19" s="147" t="s">
        <v>414</v>
      </c>
      <c r="C19" s="148" t="e">
        <f>#REF!</f>
        <v>#REF!</v>
      </c>
      <c r="D19" s="148">
        <f t="shared" si="1"/>
        <v>82372.800000000003</v>
      </c>
      <c r="E19" s="148">
        <f>'[2]Tổng '!D18</f>
        <v>737</v>
      </c>
      <c r="F19" s="148">
        <f t="shared" si="2"/>
        <v>81635.8</v>
      </c>
      <c r="G19" s="148">
        <f>'[2]Tổng '!F18</f>
        <v>16481</v>
      </c>
      <c r="H19" s="148">
        <f>'[2]Tổng '!G18</f>
        <v>65154.8</v>
      </c>
      <c r="I19" s="155">
        <f>'[2]Tổng '!J18</f>
        <v>0</v>
      </c>
      <c r="J19" s="148">
        <f>'[2]Tổng '!K18</f>
        <v>82372.800000000003</v>
      </c>
      <c r="K19" s="148">
        <f>'[2]Tổng '!R18</f>
        <v>0</v>
      </c>
      <c r="L19" s="148">
        <f>'[2]Tổng '!N18</f>
        <v>54629.8</v>
      </c>
      <c r="M19" s="148">
        <f>'[2]Tổng '!S18</f>
        <v>379</v>
      </c>
      <c r="N19" s="148">
        <f>'[2]Tổng '!T18</f>
        <v>0</v>
      </c>
    </row>
    <row r="20" spans="1:14" ht="21.9" customHeight="1">
      <c r="A20" s="146">
        <v>12</v>
      </c>
      <c r="B20" s="147" t="s">
        <v>415</v>
      </c>
      <c r="C20" s="148" t="e">
        <f>#REF!</f>
        <v>#REF!</v>
      </c>
      <c r="D20" s="148">
        <f t="shared" si="1"/>
        <v>78203</v>
      </c>
      <c r="E20" s="148">
        <f>'[2]Tổng '!D19</f>
        <v>1588</v>
      </c>
      <c r="F20" s="148">
        <f t="shared" si="2"/>
        <v>76615</v>
      </c>
      <c r="G20" s="148">
        <f>'[2]Tổng '!F19</f>
        <v>14700</v>
      </c>
      <c r="H20" s="148">
        <f>'[2]Tổng '!G19</f>
        <v>61915</v>
      </c>
      <c r="I20" s="155">
        <f>'[2]Tổng '!J19</f>
        <v>0</v>
      </c>
      <c r="J20" s="148">
        <f>'[2]Tổng '!K19</f>
        <v>78203</v>
      </c>
      <c r="K20" s="148">
        <f>'[2]Tổng '!R19</f>
        <v>0</v>
      </c>
      <c r="L20" s="148">
        <f>'[2]Tổng '!N19</f>
        <v>52223</v>
      </c>
      <c r="M20" s="148">
        <f>'[2]Tổng '!S19</f>
        <v>363</v>
      </c>
      <c r="N20" s="148">
        <f>'[2]Tổng '!T19</f>
        <v>0</v>
      </c>
    </row>
    <row r="21" spans="1:14" ht="21.9" customHeight="1">
      <c r="A21" s="146">
        <v>13</v>
      </c>
      <c r="B21" s="147" t="s">
        <v>416</v>
      </c>
      <c r="C21" s="148" t="e">
        <f>#REF!</f>
        <v>#REF!</v>
      </c>
      <c r="D21" s="148">
        <f t="shared" si="1"/>
        <v>85116.800000000003</v>
      </c>
      <c r="E21" s="148">
        <f>'[2]Tổng '!D20</f>
        <v>658</v>
      </c>
      <c r="F21" s="148">
        <f t="shared" si="2"/>
        <v>84458.8</v>
      </c>
      <c r="G21" s="148">
        <f>'[2]Tổng '!F20</f>
        <v>17233</v>
      </c>
      <c r="H21" s="148">
        <f>'[2]Tổng '!G20</f>
        <v>67225.8</v>
      </c>
      <c r="I21" s="155">
        <f>'[2]Tổng '!J20</f>
        <v>0</v>
      </c>
      <c r="J21" s="148">
        <f>'[2]Tổng '!K20</f>
        <v>85116.800000000003</v>
      </c>
      <c r="K21" s="148">
        <f>'[2]Tổng '!R20</f>
        <v>0</v>
      </c>
      <c r="L21" s="148">
        <f>'[2]Tổng '!N20</f>
        <v>56294.8</v>
      </c>
      <c r="M21" s="148">
        <f>'[2]Tổng '!S20</f>
        <v>397</v>
      </c>
      <c r="N21" s="148">
        <f>'[2]Tổng '!T20</f>
        <v>0</v>
      </c>
    </row>
    <row r="22" spans="1:14" ht="21.9" customHeight="1">
      <c r="A22" s="146">
        <v>14</v>
      </c>
      <c r="B22" s="147" t="s">
        <v>417</v>
      </c>
      <c r="C22" s="148" t="e">
        <f>#REF!</f>
        <v>#REF!</v>
      </c>
      <c r="D22" s="148">
        <f t="shared" si="1"/>
        <v>83414.8</v>
      </c>
      <c r="E22" s="148">
        <f>'[2]Tổng '!D21</f>
        <v>1056</v>
      </c>
      <c r="F22" s="148">
        <f t="shared" si="2"/>
        <v>82358.8</v>
      </c>
      <c r="G22" s="148">
        <f>'[2]Tổng '!F21</f>
        <v>15790</v>
      </c>
      <c r="H22" s="148">
        <f>'[2]Tổng '!G21</f>
        <v>66568.800000000003</v>
      </c>
      <c r="I22" s="155">
        <f>'[2]Tổng '!J21</f>
        <v>0</v>
      </c>
      <c r="J22" s="148">
        <f>'[2]Tổng '!K21</f>
        <v>83414.8</v>
      </c>
      <c r="K22" s="148">
        <f>'[2]Tổng '!R21</f>
        <v>0</v>
      </c>
      <c r="L22" s="148">
        <f>'[2]Tổng '!N21</f>
        <v>54942.8</v>
      </c>
      <c r="M22" s="148">
        <f>'[2]Tổng '!S21</f>
        <v>388</v>
      </c>
      <c r="N22" s="148">
        <f>'[2]Tổng '!T21</f>
        <v>0</v>
      </c>
    </row>
    <row r="23" spans="1:14" ht="21.9" customHeight="1">
      <c r="A23" s="146">
        <v>15</v>
      </c>
      <c r="B23" s="147" t="s">
        <v>418</v>
      </c>
      <c r="C23" s="148" t="e">
        <f>#REF!</f>
        <v>#REF!</v>
      </c>
      <c r="D23" s="148">
        <f t="shared" si="1"/>
        <v>57198.8</v>
      </c>
      <c r="E23" s="148">
        <f>'[2]Tổng '!D22</f>
        <v>1004</v>
      </c>
      <c r="F23" s="148">
        <f t="shared" si="2"/>
        <v>56194.8</v>
      </c>
      <c r="G23" s="148">
        <f>'[2]Tổng '!F22</f>
        <v>11987</v>
      </c>
      <c r="H23" s="148">
        <f>'[2]Tổng '!G22</f>
        <v>44207.8</v>
      </c>
      <c r="I23" s="155">
        <f>'[2]Tổng '!J22</f>
        <v>0</v>
      </c>
      <c r="J23" s="148">
        <f>'[2]Tổng '!K22</f>
        <v>57198.8</v>
      </c>
      <c r="K23" s="148">
        <f>'[2]Tổng '!R22</f>
        <v>0</v>
      </c>
      <c r="L23" s="148">
        <f>'[2]Tổng '!N22</f>
        <v>37198.800000000003</v>
      </c>
      <c r="M23" s="148">
        <f>'[2]Tổng '!S22</f>
        <v>274</v>
      </c>
      <c r="N23" s="148">
        <f>'[2]Tổng '!T22</f>
        <v>0</v>
      </c>
    </row>
    <row r="24" spans="1:14" ht="21.9" customHeight="1">
      <c r="A24" s="146">
        <v>16</v>
      </c>
      <c r="B24" s="147" t="s">
        <v>419</v>
      </c>
      <c r="C24" s="148" t="e">
        <f>#REF!</f>
        <v>#REF!</v>
      </c>
      <c r="D24" s="148">
        <f t="shared" si="1"/>
        <v>75685.3</v>
      </c>
      <c r="E24" s="148">
        <f>'[2]Tổng '!D23</f>
        <v>1937</v>
      </c>
      <c r="F24" s="148">
        <f t="shared" si="2"/>
        <v>73748.3</v>
      </c>
      <c r="G24" s="148">
        <f>'[2]Tổng '!F23</f>
        <v>15708</v>
      </c>
      <c r="H24" s="148">
        <f>'[2]Tổng '!G23</f>
        <v>58040.3</v>
      </c>
      <c r="I24" s="155">
        <f>'[2]Tổng '!J23</f>
        <v>0</v>
      </c>
      <c r="J24" s="148">
        <f>'[2]Tổng '!K23</f>
        <v>75686.3</v>
      </c>
      <c r="K24" s="148">
        <f>'[2]Tổng '!R23</f>
        <v>0</v>
      </c>
      <c r="L24" s="148">
        <f>'[2]Tổng '!N23</f>
        <v>51869.3</v>
      </c>
      <c r="M24" s="148">
        <f>'[2]Tổng '!S23</f>
        <v>322</v>
      </c>
      <c r="N24" s="148">
        <f>'[2]Tổng '!T23</f>
        <v>0</v>
      </c>
    </row>
    <row r="25" spans="1:14" ht="21.9" customHeight="1">
      <c r="A25" s="146">
        <v>17</v>
      </c>
      <c r="B25" s="147" t="s">
        <v>420</v>
      </c>
      <c r="C25" s="148" t="e">
        <f>#REF!</f>
        <v>#REF!</v>
      </c>
      <c r="D25" s="148">
        <f t="shared" si="1"/>
        <v>79227.600000000006</v>
      </c>
      <c r="E25" s="148">
        <f>'[2]Tổng '!D24</f>
        <v>1250</v>
      </c>
      <c r="F25" s="148">
        <f t="shared" si="2"/>
        <v>77977.600000000006</v>
      </c>
      <c r="G25" s="148">
        <f>'[2]Tổng '!F24</f>
        <v>14072</v>
      </c>
      <c r="H25" s="148">
        <f>'[2]Tổng '!G24</f>
        <v>63905.599999999999</v>
      </c>
      <c r="I25" s="155">
        <f>'[2]Tổng '!J24</f>
        <v>0</v>
      </c>
      <c r="J25" s="148">
        <f>'[2]Tổng '!K24</f>
        <v>79227.600000000006</v>
      </c>
      <c r="K25" s="148">
        <f>'[2]Tổng '!R24</f>
        <v>0</v>
      </c>
      <c r="L25" s="148">
        <f>'[2]Tổng '!N24</f>
        <v>55108.6</v>
      </c>
      <c r="M25" s="148">
        <f>'[2]Tổng '!S24</f>
        <v>335</v>
      </c>
      <c r="N25" s="148">
        <f>'[2]Tổng '!T24</f>
        <v>0</v>
      </c>
    </row>
    <row r="26" spans="1:14" ht="21.9" customHeight="1">
      <c r="A26" s="146">
        <v>18</v>
      </c>
      <c r="B26" s="147" t="s">
        <v>421</v>
      </c>
      <c r="C26" s="148" t="e">
        <f>#REF!</f>
        <v>#REF!</v>
      </c>
      <c r="D26" s="148">
        <f t="shared" si="1"/>
        <v>143090.49100000001</v>
      </c>
      <c r="E26" s="148">
        <f>'[2]Tổng '!D25</f>
        <v>3443.76</v>
      </c>
      <c r="F26" s="148">
        <f t="shared" si="2"/>
        <v>135887.70000000001</v>
      </c>
      <c r="G26" s="148">
        <f>'[2]Tổng '!F25</f>
        <v>29221.759999999998</v>
      </c>
      <c r="H26" s="148">
        <f>'[2]Tổng '!G25</f>
        <v>106665.94</v>
      </c>
      <c r="I26" s="155">
        <f>'[2]Tổng '!J25</f>
        <v>3759.0309999999999</v>
      </c>
      <c r="J26" s="148">
        <f>'[2]Tổng '!K25</f>
        <v>143090.49100000001</v>
      </c>
      <c r="K26" s="148">
        <f>'[2]Tổng '!R25</f>
        <v>0</v>
      </c>
      <c r="L26" s="148">
        <f>'[2]Tổng '!N25</f>
        <v>106665.94</v>
      </c>
      <c r="M26" s="148">
        <f>'[2]Tổng '!S25</f>
        <v>718.58199999999999</v>
      </c>
      <c r="N26" s="148">
        <f>'[2]Tổng '!T25</f>
        <v>3759.0309999999999</v>
      </c>
    </row>
    <row r="27" spans="1:14" ht="21.9" customHeight="1">
      <c r="A27" s="146">
        <v>19</v>
      </c>
      <c r="B27" s="147" t="s">
        <v>422</v>
      </c>
      <c r="C27" s="148" t="e">
        <f>#REF!</f>
        <v>#REF!</v>
      </c>
      <c r="D27" s="148">
        <f t="shared" si="1"/>
        <v>149906.84900000002</v>
      </c>
      <c r="E27" s="148">
        <f>'[2]Tổng '!D26</f>
        <v>4075.12</v>
      </c>
      <c r="F27" s="148">
        <f t="shared" si="2"/>
        <v>142191.90600000002</v>
      </c>
      <c r="G27" s="148">
        <f>'[2]Tổng '!F26</f>
        <v>31189.966</v>
      </c>
      <c r="H27" s="148">
        <f>'[2]Tổng '!G26</f>
        <v>111001.94</v>
      </c>
      <c r="I27" s="155">
        <f>'[2]Tổng '!J26</f>
        <v>3639.8229999999999</v>
      </c>
      <c r="J27" s="148">
        <f>'[2]Tổng '!K26</f>
        <v>149906.84899999999</v>
      </c>
      <c r="K27" s="148">
        <f>'[2]Tổng '!R26</f>
        <v>0</v>
      </c>
      <c r="L27" s="148">
        <f>'[2]Tổng '!N26</f>
        <v>111001.94</v>
      </c>
      <c r="M27" s="148">
        <f>'[2]Tổng '!S26</f>
        <v>767.32</v>
      </c>
      <c r="N27" s="148">
        <f>'[2]Tổng '!T26</f>
        <v>3639.8229999999999</v>
      </c>
    </row>
    <row r="28" spans="1:14" ht="21.9" customHeight="1">
      <c r="A28" s="146">
        <v>20</v>
      </c>
      <c r="B28" s="147" t="s">
        <v>423</v>
      </c>
      <c r="C28" s="148" t="e">
        <f>#REF!</f>
        <v>#REF!</v>
      </c>
      <c r="D28" s="148">
        <f t="shared" si="1"/>
        <v>118637.55399999999</v>
      </c>
      <c r="E28" s="148">
        <f>'[2]Tổng '!D27</f>
        <v>1487.36</v>
      </c>
      <c r="F28" s="148">
        <f t="shared" si="2"/>
        <v>116355.658</v>
      </c>
      <c r="G28" s="148">
        <f>'[2]Tổng '!F27</f>
        <v>32329.178</v>
      </c>
      <c r="H28" s="148">
        <f>'[2]Tổng '!G27</f>
        <v>84026.48</v>
      </c>
      <c r="I28" s="155">
        <f>'[2]Tổng '!J27</f>
        <v>794.53599999999994</v>
      </c>
      <c r="J28" s="148">
        <f>'[2]Tổng '!K27</f>
        <v>118639.11</v>
      </c>
      <c r="K28" s="148">
        <f>'[2]Tổng '!R27</f>
        <v>0</v>
      </c>
      <c r="L28" s="148">
        <f>'[2]Tổng '!N27</f>
        <v>84026.48</v>
      </c>
      <c r="M28" s="148">
        <f>'[2]Tổng '!S27</f>
        <v>682.64200000000005</v>
      </c>
      <c r="N28" s="148">
        <f>'[2]Tổng '!T27</f>
        <v>795.09199999999998</v>
      </c>
    </row>
    <row r="29" spans="1:14" ht="21.9" customHeight="1">
      <c r="A29" s="146">
        <v>21</v>
      </c>
      <c r="B29" s="147" t="s">
        <v>424</v>
      </c>
      <c r="C29" s="148" t="e">
        <f>#REF!</f>
        <v>#REF!</v>
      </c>
      <c r="D29" s="148">
        <f t="shared" si="1"/>
        <v>112392.74499999998</v>
      </c>
      <c r="E29" s="148">
        <f>'[2]Tổng '!D28</f>
        <v>1395.68</v>
      </c>
      <c r="F29" s="148">
        <f t="shared" si="2"/>
        <v>109443.95999999999</v>
      </c>
      <c r="G29" s="148">
        <f>'[2]Tổng '!F28</f>
        <v>28615.65</v>
      </c>
      <c r="H29" s="148">
        <f>'[2]Tổng '!G28</f>
        <v>80828.31</v>
      </c>
      <c r="I29" s="155">
        <f>'[2]Tổng '!J28</f>
        <v>1553.105</v>
      </c>
      <c r="J29" s="148">
        <f>'[2]Tổng '!K28</f>
        <v>112392.745</v>
      </c>
      <c r="K29" s="148">
        <f>'[2]Tổng '!R28</f>
        <v>0</v>
      </c>
      <c r="L29" s="148">
        <f>'[2]Tổng '!N28</f>
        <v>80828.31</v>
      </c>
      <c r="M29" s="148">
        <f>'[2]Tổng '!S28</f>
        <v>622.20399999999995</v>
      </c>
      <c r="N29" s="148">
        <f>'[2]Tổng '!T28</f>
        <v>1553.105</v>
      </c>
    </row>
    <row r="30" spans="1:14" ht="24" customHeight="1">
      <c r="A30" s="146">
        <v>22</v>
      </c>
      <c r="B30" s="147" t="s">
        <v>425</v>
      </c>
      <c r="C30" s="148" t="e">
        <f>#REF!</f>
        <v>#REF!</v>
      </c>
      <c r="D30" s="148">
        <f t="shared" si="1"/>
        <v>87926.876999999993</v>
      </c>
      <c r="E30" s="148">
        <f>'[2]Tổng '!D29</f>
        <v>619.28</v>
      </c>
      <c r="F30" s="148">
        <f t="shared" si="2"/>
        <v>86932.398000000001</v>
      </c>
      <c r="G30" s="148">
        <f>'[2]Tổng '!F29</f>
        <v>22555.383000000002</v>
      </c>
      <c r="H30" s="148">
        <f>'[2]Tổng '!G29</f>
        <v>64377.014999999999</v>
      </c>
      <c r="I30" s="155">
        <f>'[2]Tổng '!J29</f>
        <v>375.19900000000001</v>
      </c>
      <c r="J30" s="148">
        <f>'[2]Tổng '!K29</f>
        <v>87926.876999999993</v>
      </c>
      <c r="K30" s="148">
        <f>'[2]Tổng '!R29</f>
        <v>0</v>
      </c>
      <c r="L30" s="148">
        <f>'[2]Tổng '!N29</f>
        <v>64377.014999999999</v>
      </c>
      <c r="M30" s="148">
        <f>'[2]Tổng '!S29</f>
        <v>463.97500000000002</v>
      </c>
      <c r="N30" s="148">
        <f>'[2]Tổng '!T29</f>
        <v>375.19900000000001</v>
      </c>
    </row>
    <row r="31" spans="1:14" ht="21.9" customHeight="1">
      <c r="A31" s="146">
        <v>23</v>
      </c>
      <c r="B31" s="147" t="s">
        <v>426</v>
      </c>
      <c r="C31" s="148" t="e">
        <f>#REF!</f>
        <v>#REF!</v>
      </c>
      <c r="D31" s="148">
        <f t="shared" si="1"/>
        <v>167994.5</v>
      </c>
      <c r="E31" s="148">
        <f>'[2]Tổng '!D30</f>
        <v>2809</v>
      </c>
      <c r="F31" s="148">
        <f t="shared" si="2"/>
        <v>165185.5</v>
      </c>
      <c r="G31" s="148">
        <f>'[2]Tổng '!F30</f>
        <v>40396</v>
      </c>
      <c r="H31" s="148">
        <f>'[2]Tổng '!G30</f>
        <v>124789.5</v>
      </c>
      <c r="I31" s="155">
        <f>'[2]Tổng '!J30</f>
        <v>0</v>
      </c>
      <c r="J31" s="148">
        <f>'[2]Tổng '!K30</f>
        <v>167994.5</v>
      </c>
      <c r="K31" s="148">
        <f>'[2]Tổng '!R30</f>
        <v>0</v>
      </c>
      <c r="L31" s="148">
        <f>'[2]Tổng '!N30</f>
        <v>124789.5</v>
      </c>
      <c r="M31" s="148">
        <f>'[2]Tổng '!S30</f>
        <v>508</v>
      </c>
      <c r="N31" s="148">
        <f>'[2]Tổng '!T30</f>
        <v>0</v>
      </c>
    </row>
    <row r="32" spans="1:14" ht="21.9" customHeight="1">
      <c r="A32" s="146">
        <v>24</v>
      </c>
      <c r="B32" s="147" t="s">
        <v>427</v>
      </c>
      <c r="C32" s="148" t="e">
        <f>#REF!</f>
        <v>#REF!</v>
      </c>
      <c r="D32" s="148">
        <f t="shared" si="1"/>
        <v>107468.22</v>
      </c>
      <c r="E32" s="148">
        <f>'[2]Tổng '!D31</f>
        <v>739</v>
      </c>
      <c r="F32" s="148">
        <f t="shared" si="2"/>
        <v>106729.22</v>
      </c>
      <c r="G32" s="148">
        <f>'[2]Tổng '!F31</f>
        <v>26384</v>
      </c>
      <c r="H32" s="148">
        <f>'[2]Tổng '!G31</f>
        <v>80345.22</v>
      </c>
      <c r="I32" s="155">
        <f>'[2]Tổng '!J31</f>
        <v>0</v>
      </c>
      <c r="J32" s="148">
        <f>'[2]Tổng '!K31</f>
        <v>107468.22</v>
      </c>
      <c r="K32" s="148">
        <f>'[2]Tổng '!R31</f>
        <v>0</v>
      </c>
      <c r="L32" s="148">
        <f>'[2]Tổng '!N31</f>
        <v>80345.22</v>
      </c>
      <c r="M32" s="148">
        <f>'[2]Tổng '!S31</f>
        <v>316</v>
      </c>
      <c r="N32" s="148">
        <f>'[2]Tổng '!T31</f>
        <v>0</v>
      </c>
    </row>
    <row r="33" spans="1:14" ht="21.9" customHeight="1">
      <c r="A33" s="146">
        <v>25</v>
      </c>
      <c r="B33" s="147" t="s">
        <v>428</v>
      </c>
      <c r="C33" s="148" t="e">
        <f>#REF!</f>
        <v>#REF!</v>
      </c>
      <c r="D33" s="148">
        <f t="shared" si="1"/>
        <v>146665.35999999999</v>
      </c>
      <c r="E33" s="148">
        <f>'[2]Tổng '!D32</f>
        <v>1514</v>
      </c>
      <c r="F33" s="148">
        <f t="shared" si="2"/>
        <v>145151.35999999999</v>
      </c>
      <c r="G33" s="148">
        <f>'[2]Tổng '!F32</f>
        <v>34009</v>
      </c>
      <c r="H33" s="148">
        <f>'[2]Tổng '!G32</f>
        <v>111142.36</v>
      </c>
      <c r="I33" s="155">
        <f>'[2]Tổng '!J32</f>
        <v>0</v>
      </c>
      <c r="J33" s="148">
        <f>'[2]Tổng '!K32</f>
        <v>146665.35999999999</v>
      </c>
      <c r="K33" s="148">
        <f>'[2]Tổng '!R32</f>
        <v>0</v>
      </c>
      <c r="L33" s="148">
        <f>'[2]Tổng '!N32</f>
        <v>111142.36</v>
      </c>
      <c r="M33" s="148">
        <f>'[2]Tổng '!S32</f>
        <v>419</v>
      </c>
      <c r="N33" s="148">
        <f>'[2]Tổng '!T32</f>
        <v>0</v>
      </c>
    </row>
    <row r="34" spans="1:14" ht="21.9" customHeight="1">
      <c r="A34" s="146">
        <v>26</v>
      </c>
      <c r="B34" s="147" t="s">
        <v>429</v>
      </c>
      <c r="C34" s="148" t="e">
        <f>#REF!</f>
        <v>#REF!</v>
      </c>
      <c r="D34" s="148">
        <f t="shared" si="1"/>
        <v>160098.29999999999</v>
      </c>
      <c r="E34" s="148">
        <f>'[2]Tổng '!D33</f>
        <v>1983</v>
      </c>
      <c r="F34" s="148">
        <f t="shared" si="2"/>
        <v>158115.29999999999</v>
      </c>
      <c r="G34" s="148">
        <f>'[2]Tổng '!F33</f>
        <v>40835</v>
      </c>
      <c r="H34" s="148">
        <f>'[2]Tổng '!G33</f>
        <v>117280.3</v>
      </c>
      <c r="I34" s="155">
        <f>'[2]Tổng '!J33</f>
        <v>0</v>
      </c>
      <c r="J34" s="148">
        <f>'[2]Tổng '!K33</f>
        <v>160098.29999999999</v>
      </c>
      <c r="K34" s="148">
        <f>'[2]Tổng '!R33</f>
        <v>0</v>
      </c>
      <c r="L34" s="148">
        <f>'[2]Tổng '!N33</f>
        <v>117280.3</v>
      </c>
      <c r="M34" s="148">
        <f>'[2]Tổng '!S33</f>
        <v>516</v>
      </c>
      <c r="N34" s="148">
        <f>'[2]Tổng '!T33</f>
        <v>0</v>
      </c>
    </row>
    <row r="35" spans="1:14" ht="21.9" customHeight="1">
      <c r="A35" s="146">
        <v>27</v>
      </c>
      <c r="B35" s="147" t="s">
        <v>430</v>
      </c>
      <c r="C35" s="148" t="e">
        <f>#REF!</f>
        <v>#REF!</v>
      </c>
      <c r="D35" s="148">
        <f t="shared" si="1"/>
        <v>96513.919999999998</v>
      </c>
      <c r="E35" s="148">
        <f>'[2]Tổng '!D34</f>
        <v>671</v>
      </c>
      <c r="F35" s="148">
        <f t="shared" si="2"/>
        <v>95842.92</v>
      </c>
      <c r="G35" s="148">
        <f>'[2]Tổng '!F34</f>
        <v>25054</v>
      </c>
      <c r="H35" s="148">
        <f>'[2]Tổng '!G34</f>
        <v>70788.92</v>
      </c>
      <c r="I35" s="155">
        <f>'[2]Tổng '!J34</f>
        <v>0</v>
      </c>
      <c r="J35" s="148">
        <f>'[2]Tổng '!K34</f>
        <v>96513.919999999998</v>
      </c>
      <c r="K35" s="148">
        <f>'[2]Tổng '!R34</f>
        <v>0</v>
      </c>
      <c r="L35" s="148">
        <f>'[2]Tổng '!N34</f>
        <v>70788.92</v>
      </c>
      <c r="M35" s="148">
        <f>'[2]Tổng '!S34</f>
        <v>311</v>
      </c>
      <c r="N35" s="148">
        <f>'[2]Tổng '!T34</f>
        <v>0</v>
      </c>
    </row>
    <row r="36" spans="1:14" ht="21.9" customHeight="1">
      <c r="A36" s="146">
        <v>28</v>
      </c>
      <c r="B36" s="147" t="s">
        <v>431</v>
      </c>
      <c r="C36" s="148" t="e">
        <f>#REF!</f>
        <v>#REF!</v>
      </c>
      <c r="D36" s="148">
        <f t="shared" si="1"/>
        <v>139096.51799999998</v>
      </c>
      <c r="E36" s="148">
        <f>'[2]Tổng '!D35</f>
        <v>1161.5</v>
      </c>
      <c r="F36" s="148">
        <f t="shared" si="2"/>
        <v>137935.01799999998</v>
      </c>
      <c r="G36" s="148">
        <f>'[2]Tổng '!F35</f>
        <v>28790</v>
      </c>
      <c r="H36" s="148">
        <f>'[2]Tổng '!G35</f>
        <v>109145.018</v>
      </c>
      <c r="I36" s="155">
        <f>'[2]Tổng '!J35</f>
        <v>0</v>
      </c>
      <c r="J36" s="148">
        <f>'[2]Tổng '!K35</f>
        <v>139096.01800000001</v>
      </c>
      <c r="K36" s="148">
        <f>'[2]Tổng '!R35</f>
        <v>0</v>
      </c>
      <c r="L36" s="148">
        <f>'[2]Tổng '!N35</f>
        <v>109145.018</v>
      </c>
      <c r="M36" s="148">
        <f>'[2]Tổng '!S35</f>
        <v>587</v>
      </c>
      <c r="N36" s="148">
        <f>'[2]Tổng '!T35</f>
        <v>0</v>
      </c>
    </row>
    <row r="37" spans="1:14" ht="21.9" customHeight="1">
      <c r="A37" s="146">
        <v>29</v>
      </c>
      <c r="B37" s="147" t="s">
        <v>330</v>
      </c>
      <c r="C37" s="148" t="e">
        <f>#REF!</f>
        <v>#REF!</v>
      </c>
      <c r="D37" s="148">
        <f t="shared" si="1"/>
        <v>65475.258999999998</v>
      </c>
      <c r="E37" s="148">
        <f>'[2]Tổng '!D36</f>
        <v>321</v>
      </c>
      <c r="F37" s="148">
        <f t="shared" si="2"/>
        <v>65154.258999999998</v>
      </c>
      <c r="G37" s="148">
        <f>'[2]Tổng '!F36</f>
        <v>14544.5</v>
      </c>
      <c r="H37" s="148">
        <f>'[2]Tổng '!G36</f>
        <v>50609.758999999998</v>
      </c>
      <c r="I37" s="155">
        <f>'[2]Tổng '!J36</f>
        <v>0</v>
      </c>
      <c r="J37" s="148">
        <f>'[2]Tổng '!K36</f>
        <v>65475.258999999998</v>
      </c>
      <c r="K37" s="148">
        <f>'[2]Tổng '!R36</f>
        <v>0</v>
      </c>
      <c r="L37" s="148">
        <f>'[2]Tổng '!N36</f>
        <v>50609.758999999998</v>
      </c>
      <c r="M37" s="148">
        <f>'[2]Tổng '!S36</f>
        <v>292</v>
      </c>
      <c r="N37" s="148">
        <f>'[2]Tổng '!T36</f>
        <v>0</v>
      </c>
    </row>
    <row r="38" spans="1:14" ht="21.9" customHeight="1">
      <c r="A38" s="146">
        <v>30</v>
      </c>
      <c r="B38" s="147" t="s">
        <v>432</v>
      </c>
      <c r="C38" s="148" t="e">
        <f>#REF!</f>
        <v>#REF!</v>
      </c>
      <c r="D38" s="148">
        <f t="shared" si="1"/>
        <v>84569.985000000001</v>
      </c>
      <c r="E38" s="148">
        <f>'[2]Tổng '!D37</f>
        <v>1231.5</v>
      </c>
      <c r="F38" s="148">
        <f t="shared" si="2"/>
        <v>83338.485000000001</v>
      </c>
      <c r="G38" s="148">
        <f>'[2]Tổng '!F37</f>
        <v>19945.5</v>
      </c>
      <c r="H38" s="148">
        <f>'[2]Tổng '!G37</f>
        <v>63392.985000000001</v>
      </c>
      <c r="I38" s="155">
        <f>'[2]Tổng '!J37</f>
        <v>0</v>
      </c>
      <c r="J38" s="148">
        <f>'[2]Tổng '!K37</f>
        <v>84569.985000000001</v>
      </c>
      <c r="K38" s="148">
        <f>'[2]Tổng '!R37</f>
        <v>0</v>
      </c>
      <c r="L38" s="148">
        <f>'[2]Tổng '!N37</f>
        <v>63392.985000000001</v>
      </c>
      <c r="M38" s="148">
        <f>'[2]Tổng '!S37</f>
        <v>394</v>
      </c>
      <c r="N38" s="148">
        <f>'[2]Tổng '!T37</f>
        <v>0</v>
      </c>
    </row>
    <row r="39" spans="1:14" ht="21.9" customHeight="1">
      <c r="A39" s="146">
        <v>31</v>
      </c>
      <c r="B39" s="147" t="s">
        <v>433</v>
      </c>
      <c r="C39" s="148" t="e">
        <f>#REF!</f>
        <v>#REF!</v>
      </c>
      <c r="D39" s="148">
        <f t="shared" si="1"/>
        <v>68892.347999999998</v>
      </c>
      <c r="E39" s="148">
        <f>'[2]Tổng '!D38</f>
        <v>1040</v>
      </c>
      <c r="F39" s="148">
        <f t="shared" si="2"/>
        <v>67852.347999999998</v>
      </c>
      <c r="G39" s="148">
        <f>'[2]Tổng '!F38</f>
        <v>15329</v>
      </c>
      <c r="H39" s="148">
        <f>'[2]Tổng '!G38</f>
        <v>52523.347999999998</v>
      </c>
      <c r="I39" s="155">
        <f>'[2]Tổng '!J38</f>
        <v>0</v>
      </c>
      <c r="J39" s="148">
        <f>'[2]Tổng '!K38</f>
        <v>68892.347999999998</v>
      </c>
      <c r="K39" s="148">
        <f>'[2]Tổng '!R38</f>
        <v>0</v>
      </c>
      <c r="L39" s="148">
        <f>'[2]Tổng '!N38</f>
        <v>52523.347999999998</v>
      </c>
      <c r="M39" s="148">
        <f>'[2]Tổng '!S38</f>
        <v>322</v>
      </c>
      <c r="N39" s="148">
        <f>'[2]Tổng '!T38</f>
        <v>0</v>
      </c>
    </row>
    <row r="40" spans="1:14" ht="21.9" customHeight="1">
      <c r="A40" s="146">
        <v>32</v>
      </c>
      <c r="B40" s="147" t="s">
        <v>434</v>
      </c>
      <c r="C40" s="148" t="e">
        <f>#REF!</f>
        <v>#REF!</v>
      </c>
      <c r="D40" s="148">
        <f t="shared" si="1"/>
        <v>68531.217999999993</v>
      </c>
      <c r="E40" s="148">
        <f>'[2]Tổng '!D39</f>
        <v>635</v>
      </c>
      <c r="F40" s="148">
        <f t="shared" si="2"/>
        <v>67896.217999999993</v>
      </c>
      <c r="G40" s="148">
        <f>'[2]Tổng '!F39</f>
        <v>17758</v>
      </c>
      <c r="H40" s="148">
        <f>'[2]Tổng '!G39</f>
        <v>50138.218000000001</v>
      </c>
      <c r="I40" s="155">
        <f>'[2]Tổng '!J39</f>
        <v>0</v>
      </c>
      <c r="J40" s="148">
        <f>'[2]Tổng '!K39</f>
        <v>68531.217999999993</v>
      </c>
      <c r="K40" s="148">
        <f>'[2]Tổng '!R39</f>
        <v>0</v>
      </c>
      <c r="L40" s="148">
        <f>'[2]Tổng '!N39</f>
        <v>50138.218000000001</v>
      </c>
      <c r="M40" s="148">
        <f>'[2]Tổng '!S39</f>
        <v>361</v>
      </c>
      <c r="N40" s="148">
        <f>'[2]Tổng '!T39</f>
        <v>0</v>
      </c>
    </row>
    <row r="41" spans="1:14" ht="21.9" customHeight="1">
      <c r="A41" s="146">
        <v>33</v>
      </c>
      <c r="B41" s="147" t="s">
        <v>435</v>
      </c>
      <c r="C41" s="148" t="e">
        <f>#REF!</f>
        <v>#REF!</v>
      </c>
      <c r="D41" s="148">
        <f t="shared" si="1"/>
        <v>68215.237999999998</v>
      </c>
      <c r="E41" s="148">
        <f>'[2]Tổng '!D40</f>
        <v>447</v>
      </c>
      <c r="F41" s="148">
        <f t="shared" si="2"/>
        <v>67768.237999999998</v>
      </c>
      <c r="G41" s="148">
        <f>'[2]Tổng '!F40</f>
        <v>15281</v>
      </c>
      <c r="H41" s="148">
        <f>'[2]Tổng '!G40</f>
        <v>52487.237999999998</v>
      </c>
      <c r="I41" s="155">
        <f>'[2]Tổng '!J40</f>
        <v>0</v>
      </c>
      <c r="J41" s="148">
        <f>'[2]Tổng '!K40</f>
        <v>68215.237999999998</v>
      </c>
      <c r="K41" s="148">
        <f>'[2]Tổng '!R40</f>
        <v>0</v>
      </c>
      <c r="L41" s="148">
        <f>'[2]Tổng '!N40</f>
        <v>52487.237999999998</v>
      </c>
      <c r="M41" s="148">
        <f>'[2]Tổng '!S40</f>
        <v>309</v>
      </c>
      <c r="N41" s="148">
        <f>'[2]Tổng '!T40</f>
        <v>0</v>
      </c>
    </row>
    <row r="42" spans="1:14" ht="21.9" customHeight="1">
      <c r="A42" s="146">
        <v>34</v>
      </c>
      <c r="B42" s="147" t="s">
        <v>436</v>
      </c>
      <c r="C42" s="148" t="e">
        <f>#REF!</f>
        <v>#REF!</v>
      </c>
      <c r="D42" s="148">
        <f t="shared" si="1"/>
        <v>63196</v>
      </c>
      <c r="E42" s="148">
        <f>'[2]Tổng '!D41</f>
        <v>932</v>
      </c>
      <c r="F42" s="148">
        <f t="shared" si="2"/>
        <v>62264</v>
      </c>
      <c r="G42" s="148">
        <f>'[2]Tổng '!F41</f>
        <v>23842</v>
      </c>
      <c r="H42" s="148">
        <f>'[2]Tổng '!G41</f>
        <v>38422</v>
      </c>
      <c r="I42" s="155">
        <f>'[2]Tổng '!J41</f>
        <v>0</v>
      </c>
      <c r="J42" s="148">
        <f>'[2]Tổng '!K41</f>
        <v>63195</v>
      </c>
      <c r="K42" s="148">
        <f>'[2]Tổng '!R41</f>
        <v>0</v>
      </c>
      <c r="L42" s="148">
        <f>'[2]Tổng '!N41</f>
        <v>38422</v>
      </c>
      <c r="M42" s="148">
        <f>'[2]Tổng '!S41</f>
        <v>489</v>
      </c>
      <c r="N42" s="148">
        <f>'[2]Tổng '!T41</f>
        <v>0</v>
      </c>
    </row>
    <row r="43" spans="1:14" ht="21.9" customHeight="1">
      <c r="A43" s="146">
        <v>35</v>
      </c>
      <c r="B43" s="147" t="s">
        <v>437</v>
      </c>
      <c r="C43" s="148" t="e">
        <f>#REF!</f>
        <v>#REF!</v>
      </c>
      <c r="D43" s="148">
        <f t="shared" si="1"/>
        <v>80201</v>
      </c>
      <c r="E43" s="148">
        <f>'[2]Tổng '!D42</f>
        <v>1415</v>
      </c>
      <c r="F43" s="148">
        <f t="shared" si="2"/>
        <v>78786</v>
      </c>
      <c r="G43" s="148">
        <f>'[2]Tổng '!F42</f>
        <v>23051</v>
      </c>
      <c r="H43" s="148">
        <f>'[2]Tổng '!G42</f>
        <v>55735</v>
      </c>
      <c r="I43" s="155">
        <f>'[2]Tổng '!J42</f>
        <v>0</v>
      </c>
      <c r="J43" s="148">
        <f>'[2]Tổng '!K42</f>
        <v>80200</v>
      </c>
      <c r="K43" s="148">
        <f>'[2]Tổng '!R42</f>
        <v>0</v>
      </c>
      <c r="L43" s="148">
        <f>'[2]Tổng '!N42</f>
        <v>55735</v>
      </c>
      <c r="M43" s="148">
        <f>'[2]Tổng '!S42</f>
        <v>482</v>
      </c>
      <c r="N43" s="148">
        <f>'[2]Tổng '!T42</f>
        <v>0</v>
      </c>
    </row>
    <row r="44" spans="1:14" ht="21.9" customHeight="1">
      <c r="A44" s="146">
        <v>36</v>
      </c>
      <c r="B44" s="147" t="s">
        <v>438</v>
      </c>
      <c r="C44" s="148" t="e">
        <f>#REF!</f>
        <v>#REF!</v>
      </c>
      <c r="D44" s="148">
        <f t="shared" si="1"/>
        <v>69790</v>
      </c>
      <c r="E44" s="148">
        <f>'[2]Tổng '!D43</f>
        <v>1887</v>
      </c>
      <c r="F44" s="148">
        <f t="shared" si="2"/>
        <v>67903</v>
      </c>
      <c r="G44" s="148">
        <f>'[2]Tổng '!F43</f>
        <v>24372</v>
      </c>
      <c r="H44" s="148">
        <f>'[2]Tổng '!G43</f>
        <v>43531</v>
      </c>
      <c r="I44" s="155">
        <f>'[2]Tổng '!J43</f>
        <v>0</v>
      </c>
      <c r="J44" s="148">
        <f>'[2]Tổng '!K43</f>
        <v>69790</v>
      </c>
      <c r="K44" s="148">
        <f>'[2]Tổng '!R43</f>
        <v>0</v>
      </c>
      <c r="L44" s="148">
        <f>'[2]Tổng '!N43</f>
        <v>43531</v>
      </c>
      <c r="M44" s="148">
        <f>'[2]Tổng '!S43</f>
        <v>518</v>
      </c>
      <c r="N44" s="148">
        <f>'[2]Tổng '!T43</f>
        <v>0</v>
      </c>
    </row>
    <row r="45" spans="1:14" ht="21.9" customHeight="1">
      <c r="A45" s="146">
        <v>37</v>
      </c>
      <c r="B45" s="147" t="s">
        <v>439</v>
      </c>
      <c r="C45" s="148" t="e">
        <f>#REF!</f>
        <v>#REF!</v>
      </c>
      <c r="D45" s="148">
        <f t="shared" si="1"/>
        <v>228806</v>
      </c>
      <c r="E45" s="148">
        <f>'[2]Tổng '!D44</f>
        <v>3808</v>
      </c>
      <c r="F45" s="148">
        <f t="shared" si="2"/>
        <v>224998</v>
      </c>
      <c r="G45" s="148">
        <f>'[2]Tổng '!F44</f>
        <v>19356</v>
      </c>
      <c r="H45" s="148">
        <f>'[2]Tổng '!G44</f>
        <v>205642</v>
      </c>
      <c r="I45" s="155">
        <f>'[2]Tổng '!J44</f>
        <v>0</v>
      </c>
      <c r="J45" s="148">
        <f>'[2]Tổng '!K44</f>
        <v>228806</v>
      </c>
      <c r="K45" s="148">
        <f>'[2]Tổng '!R44</f>
        <v>0</v>
      </c>
      <c r="L45" s="148">
        <f>'[2]Tổng '!N44</f>
        <v>182333</v>
      </c>
      <c r="M45" s="148">
        <f>'[2]Tổng '!S44</f>
        <v>894</v>
      </c>
      <c r="N45" s="148">
        <f>'[2]Tổng '!T44</f>
        <v>0</v>
      </c>
    </row>
    <row r="46" spans="1:14" ht="21.9" customHeight="1">
      <c r="A46" s="146">
        <v>38</v>
      </c>
      <c r="B46" s="147" t="s">
        <v>440</v>
      </c>
      <c r="C46" s="148" t="e">
        <f>#REF!</f>
        <v>#REF!</v>
      </c>
      <c r="D46" s="148">
        <f t="shared" si="1"/>
        <v>155132</v>
      </c>
      <c r="E46" s="148">
        <f>'[2]Tổng '!D45</f>
        <v>2903</v>
      </c>
      <c r="F46" s="148">
        <f t="shared" si="2"/>
        <v>152229</v>
      </c>
      <c r="G46" s="148">
        <f>'[2]Tổng '!F45</f>
        <v>21834</v>
      </c>
      <c r="H46" s="148">
        <f>'[2]Tổng '!G45</f>
        <v>130395</v>
      </c>
      <c r="I46" s="155">
        <f>'[2]Tổng '!J45</f>
        <v>0</v>
      </c>
      <c r="J46" s="148">
        <f>'[2]Tổng '!K45</f>
        <v>155132</v>
      </c>
      <c r="K46" s="148">
        <f>'[2]Tổng '!R45</f>
        <v>0</v>
      </c>
      <c r="L46" s="148">
        <f>'[2]Tổng '!N45</f>
        <v>112591</v>
      </c>
      <c r="M46" s="148">
        <f>'[2]Tổng '!S45</f>
        <v>824</v>
      </c>
      <c r="N46" s="148">
        <f>'[2]Tổng '!T45</f>
        <v>0</v>
      </c>
    </row>
    <row r="47" spans="1:14" ht="21.9" customHeight="1">
      <c r="A47" s="146">
        <v>39</v>
      </c>
      <c r="B47" s="147" t="s">
        <v>441</v>
      </c>
      <c r="C47" s="148" t="e">
        <f>#REF!</f>
        <v>#REF!</v>
      </c>
      <c r="D47" s="148">
        <f t="shared" si="1"/>
        <v>103973</v>
      </c>
      <c r="E47" s="148">
        <f>'[2]Tổng '!D46</f>
        <v>2101</v>
      </c>
      <c r="F47" s="148">
        <f t="shared" si="2"/>
        <v>101872</v>
      </c>
      <c r="G47" s="148">
        <f>'[2]Tổng '!F46</f>
        <v>15966</v>
      </c>
      <c r="H47" s="148">
        <f>'[2]Tổng '!G46</f>
        <v>85906</v>
      </c>
      <c r="I47" s="155">
        <f>'[2]Tổng '!J46</f>
        <v>0</v>
      </c>
      <c r="J47" s="148">
        <f>'[2]Tổng '!K46</f>
        <v>103973</v>
      </c>
      <c r="K47" s="148">
        <f>'[2]Tổng '!R46</f>
        <v>0</v>
      </c>
      <c r="L47" s="148">
        <f>'[2]Tổng '!N46</f>
        <v>75225</v>
      </c>
      <c r="M47" s="148">
        <f>'[2]Tổng '!S46</f>
        <v>555</v>
      </c>
      <c r="N47" s="148">
        <f>'[2]Tổng '!T46</f>
        <v>0</v>
      </c>
    </row>
    <row r="48" spans="1:14" ht="21.9" customHeight="1">
      <c r="A48" s="146">
        <v>40</v>
      </c>
      <c r="B48" s="147" t="s">
        <v>442</v>
      </c>
      <c r="C48" s="148" t="e">
        <f>#REF!</f>
        <v>#REF!</v>
      </c>
      <c r="D48" s="148">
        <f t="shared" si="1"/>
        <v>58867</v>
      </c>
      <c r="E48" s="148">
        <f>'[2]Tổng '!D47</f>
        <v>742</v>
      </c>
      <c r="F48" s="148">
        <f t="shared" si="2"/>
        <v>58125</v>
      </c>
      <c r="G48" s="148">
        <f>'[2]Tổng '!F47</f>
        <v>14112</v>
      </c>
      <c r="H48" s="148">
        <f>'[2]Tổng '!G47</f>
        <v>44013</v>
      </c>
      <c r="I48" s="155">
        <f>'[2]Tổng '!J47</f>
        <v>0</v>
      </c>
      <c r="J48" s="148">
        <f>'[2]Tổng '!K47</f>
        <v>58867</v>
      </c>
      <c r="K48" s="148">
        <f>'[2]Tổng '!R47</f>
        <v>0</v>
      </c>
      <c r="L48" s="148">
        <f>'[2]Tổng '!N47</f>
        <v>35921</v>
      </c>
      <c r="M48" s="148">
        <f>'[2]Tổng '!S47</f>
        <v>443</v>
      </c>
      <c r="N48" s="148">
        <f>'[2]Tổng '!T47</f>
        <v>0</v>
      </c>
    </row>
    <row r="49" spans="1:14" ht="21.9" customHeight="1">
      <c r="A49" s="146">
        <v>41</v>
      </c>
      <c r="B49" s="147" t="s">
        <v>443</v>
      </c>
      <c r="C49" s="148" t="e">
        <f>#REF!</f>
        <v>#REF!</v>
      </c>
      <c r="D49" s="148">
        <f t="shared" si="1"/>
        <v>125379.00000000001</v>
      </c>
      <c r="E49" s="148">
        <f>'[2]Tổng '!D48</f>
        <v>3223.3</v>
      </c>
      <c r="F49" s="148">
        <f t="shared" si="2"/>
        <v>122155.70000000001</v>
      </c>
      <c r="G49" s="148">
        <f>'[2]Tổng '!F48</f>
        <v>19395.88</v>
      </c>
      <c r="H49" s="148">
        <f>'[2]Tổng '!G48</f>
        <v>102759.82</v>
      </c>
      <c r="I49" s="155">
        <f>'[2]Tổng '!J48</f>
        <v>0</v>
      </c>
      <c r="J49" s="148">
        <f>'[2]Tổng '!K48</f>
        <v>125379</v>
      </c>
      <c r="K49" s="148">
        <f>'[2]Tổng '!R48</f>
        <v>2154</v>
      </c>
      <c r="L49" s="148">
        <f>'[2]Tổng '!N48</f>
        <v>85643</v>
      </c>
      <c r="M49" s="148">
        <f>'[2]Tổng '!S48</f>
        <v>422</v>
      </c>
      <c r="N49" s="148">
        <f>'[2]Tổng '!T48</f>
        <v>0</v>
      </c>
    </row>
    <row r="50" spans="1:14" ht="21.9" customHeight="1">
      <c r="A50" s="146">
        <v>42</v>
      </c>
      <c r="B50" s="147" t="s">
        <v>444</v>
      </c>
      <c r="C50" s="148" t="e">
        <f>#REF!</f>
        <v>#REF!</v>
      </c>
      <c r="D50" s="148">
        <f t="shared" si="1"/>
        <v>107611</v>
      </c>
      <c r="E50" s="148">
        <f>'[2]Tổng '!D49</f>
        <v>1039.32</v>
      </c>
      <c r="F50" s="148">
        <f t="shared" si="2"/>
        <v>106571.68</v>
      </c>
      <c r="G50" s="148">
        <f>'[2]Tổng '!F49</f>
        <v>19280.2</v>
      </c>
      <c r="H50" s="148">
        <f>'[2]Tổng '!G49</f>
        <v>87291.48</v>
      </c>
      <c r="I50" s="155">
        <f>'[2]Tổng '!J49</f>
        <v>0</v>
      </c>
      <c r="J50" s="148">
        <f>'[2]Tổng '!K49</f>
        <v>107611</v>
      </c>
      <c r="K50" s="148">
        <f>'[2]Tổng '!R49</f>
        <v>582</v>
      </c>
      <c r="L50" s="148">
        <f>'[2]Tổng '!N49</f>
        <v>76345</v>
      </c>
      <c r="M50" s="148">
        <f>'[2]Tổng '!S49</f>
        <v>351</v>
      </c>
      <c r="N50" s="148">
        <f>'[2]Tổng '!T49</f>
        <v>0</v>
      </c>
    </row>
    <row r="51" spans="1:14" ht="21.9" customHeight="1">
      <c r="A51" s="146">
        <v>43</v>
      </c>
      <c r="B51" s="147" t="s">
        <v>445</v>
      </c>
      <c r="C51" s="148" t="e">
        <f>#REF!</f>
        <v>#REF!</v>
      </c>
      <c r="D51" s="148">
        <f t="shared" si="1"/>
        <v>64679</v>
      </c>
      <c r="E51" s="148">
        <f>'[2]Tổng '!D50</f>
        <v>1978.12</v>
      </c>
      <c r="F51" s="148">
        <f t="shared" si="2"/>
        <v>62700.88</v>
      </c>
      <c r="G51" s="148">
        <f>'[2]Tổng '!F50</f>
        <v>13931.6</v>
      </c>
      <c r="H51" s="148">
        <f>'[2]Tổng '!G50</f>
        <v>48769.279999999999</v>
      </c>
      <c r="I51" s="155">
        <f>'[2]Tổng '!J50</f>
        <v>0</v>
      </c>
      <c r="J51" s="148">
        <f>'[2]Tổng '!K50</f>
        <v>64679</v>
      </c>
      <c r="K51" s="148">
        <f>'[2]Tổng '!R50</f>
        <v>930</v>
      </c>
      <c r="L51" s="148">
        <f>'[2]Tổng '!N50</f>
        <v>40839</v>
      </c>
      <c r="M51" s="148">
        <f>'[2]Tổng '!S50</f>
        <v>262</v>
      </c>
      <c r="N51" s="148">
        <f>'[2]Tổng '!T50</f>
        <v>0</v>
      </c>
    </row>
    <row r="52" spans="1:14" ht="21.9" customHeight="1">
      <c r="A52" s="146">
        <v>44</v>
      </c>
      <c r="B52" s="147" t="s">
        <v>446</v>
      </c>
      <c r="C52" s="148" t="e">
        <f>#REF!</f>
        <v>#REF!</v>
      </c>
      <c r="D52" s="148">
        <f t="shared" si="1"/>
        <v>75028.72</v>
      </c>
      <c r="E52" s="148">
        <f>'[2]Tổng '!D51</f>
        <v>568.96</v>
      </c>
      <c r="F52" s="148">
        <f t="shared" si="2"/>
        <v>74459.759999999995</v>
      </c>
      <c r="G52" s="148">
        <f>'[2]Tổng '!F51</f>
        <v>14613.8</v>
      </c>
      <c r="H52" s="148">
        <f>'[2]Tổng '!G51</f>
        <v>59845.96</v>
      </c>
      <c r="I52" s="155">
        <f>'[2]Tổng '!J51</f>
        <v>0</v>
      </c>
      <c r="J52" s="148">
        <f>'[2]Tổng '!K51</f>
        <v>75029</v>
      </c>
      <c r="K52" s="148">
        <f>'[2]Tổng '!R51</f>
        <v>297</v>
      </c>
      <c r="L52" s="148">
        <f>'[2]Tổng '!N51</f>
        <v>51541</v>
      </c>
      <c r="M52" s="148">
        <f>'[2]Tổng '!S51</f>
        <v>266</v>
      </c>
      <c r="N52" s="148">
        <f>'[2]Tổng '!T51</f>
        <v>0</v>
      </c>
    </row>
    <row r="53" spans="1:14" ht="21.9" customHeight="1">
      <c r="A53" s="146">
        <v>45</v>
      </c>
      <c r="B53" s="147" t="s">
        <v>447</v>
      </c>
      <c r="C53" s="148" t="e">
        <f>#REF!</f>
        <v>#REF!</v>
      </c>
      <c r="D53" s="148">
        <f t="shared" si="1"/>
        <v>54137</v>
      </c>
      <c r="E53" s="148">
        <f>'[2]Tổng '!D52</f>
        <v>399.32</v>
      </c>
      <c r="F53" s="148">
        <f t="shared" si="2"/>
        <v>53737.68</v>
      </c>
      <c r="G53" s="148">
        <f>'[2]Tổng '!F52</f>
        <v>10342.6</v>
      </c>
      <c r="H53" s="148">
        <f>'[2]Tổng '!G52</f>
        <v>43395.08</v>
      </c>
      <c r="I53" s="155">
        <f>'[2]Tổng '!J52</f>
        <v>0</v>
      </c>
      <c r="J53" s="148">
        <f>'[2]Tổng '!K52</f>
        <v>54137</v>
      </c>
      <c r="K53" s="148">
        <f>'[2]Tổng '!R52</f>
        <v>140</v>
      </c>
      <c r="L53" s="148">
        <f>'[2]Tổng '!N52</f>
        <v>37077</v>
      </c>
      <c r="M53" s="148">
        <f>'[2]Tổng '!S52</f>
        <v>186</v>
      </c>
      <c r="N53" s="148">
        <f>'[2]Tổng '!T52</f>
        <v>0</v>
      </c>
    </row>
    <row r="54" spans="1:14" ht="21.9" customHeight="1">
      <c r="A54" s="146">
        <v>46</v>
      </c>
      <c r="B54" s="147" t="s">
        <v>448</v>
      </c>
      <c r="C54" s="148" t="e">
        <f>#REF!</f>
        <v>#REF!</v>
      </c>
      <c r="D54" s="148">
        <f t="shared" si="1"/>
        <v>46427</v>
      </c>
      <c r="E54" s="148">
        <f>'[2]Tổng '!D53</f>
        <v>527.28</v>
      </c>
      <c r="F54" s="148">
        <f t="shared" si="2"/>
        <v>45899.72</v>
      </c>
      <c r="G54" s="148">
        <f>'[2]Tổng '!F53</f>
        <v>10283</v>
      </c>
      <c r="H54" s="148">
        <f>'[2]Tổng '!G53</f>
        <v>35616.720000000001</v>
      </c>
      <c r="I54" s="155">
        <f>'[2]Tổng '!J53</f>
        <v>0</v>
      </c>
      <c r="J54" s="148">
        <f>'[2]Tổng '!K53</f>
        <v>46427</v>
      </c>
      <c r="K54" s="148">
        <f>'[2]Tổng '!R53</f>
        <v>259</v>
      </c>
      <c r="L54" s="148">
        <f>'[2]Tổng '!N53</f>
        <v>29848</v>
      </c>
      <c r="M54" s="148">
        <f>'[2]Tổng '!S53</f>
        <v>187</v>
      </c>
      <c r="N54" s="148">
        <f>'[2]Tổng '!T53</f>
        <v>0</v>
      </c>
    </row>
    <row r="55" spans="1:14" ht="21.9" customHeight="1">
      <c r="A55" s="146">
        <v>47</v>
      </c>
      <c r="B55" s="147" t="s">
        <v>449</v>
      </c>
      <c r="C55" s="148" t="e">
        <f>#REF!</f>
        <v>#REF!</v>
      </c>
      <c r="D55" s="148">
        <f t="shared" si="1"/>
        <v>56953</v>
      </c>
      <c r="E55" s="148">
        <f>'[2]Tổng '!D54</f>
        <v>559</v>
      </c>
      <c r="F55" s="148">
        <f t="shared" si="2"/>
        <v>56394</v>
      </c>
      <c r="G55" s="148">
        <f>'[2]Tổng '!F54</f>
        <v>12745</v>
      </c>
      <c r="H55" s="148">
        <f>'[2]Tổng '!G54</f>
        <v>43649</v>
      </c>
      <c r="I55" s="155">
        <f>'[2]Tổng '!J54</f>
        <v>0</v>
      </c>
      <c r="J55" s="148">
        <f>'[2]Tổng '!K54</f>
        <v>56953</v>
      </c>
      <c r="K55" s="148">
        <f>'[2]Tổng '!R54</f>
        <v>205</v>
      </c>
      <c r="L55" s="148">
        <f>'[2]Tổng '!N54</f>
        <v>39307</v>
      </c>
      <c r="M55" s="148">
        <f>'[2]Tổng '!S54</f>
        <v>221</v>
      </c>
      <c r="N55" s="148">
        <f>'[2]Tổng '!T54</f>
        <v>0</v>
      </c>
    </row>
    <row r="56" spans="1:14" ht="21.9" customHeight="1">
      <c r="A56" s="146">
        <v>48</v>
      </c>
      <c r="B56" s="147" t="s">
        <v>450</v>
      </c>
      <c r="C56" s="148" t="e">
        <f>#REF!</f>
        <v>#REF!</v>
      </c>
      <c r="D56" s="148">
        <f t="shared" si="1"/>
        <v>47219</v>
      </c>
      <c r="E56" s="148">
        <f>'[2]Tổng '!D55</f>
        <v>236.08</v>
      </c>
      <c r="F56" s="148">
        <f t="shared" si="2"/>
        <v>46982.92</v>
      </c>
      <c r="G56" s="148">
        <f>'[2]Tổng '!F55</f>
        <v>10601.6</v>
      </c>
      <c r="H56" s="148">
        <f>'[2]Tổng '!G55</f>
        <v>36381.32</v>
      </c>
      <c r="I56" s="155">
        <f>'[2]Tổng '!J55</f>
        <v>0</v>
      </c>
      <c r="J56" s="148">
        <f>'[2]Tổng '!K55</f>
        <v>47219</v>
      </c>
      <c r="K56" s="148">
        <f>'[2]Tổng '!R55</f>
        <v>115</v>
      </c>
      <c r="L56" s="148">
        <f>'[2]Tổng '!N55</f>
        <v>30471</v>
      </c>
      <c r="M56" s="148">
        <f>'[2]Tổng '!S55</f>
        <v>188</v>
      </c>
      <c r="N56" s="148">
        <f>'[2]Tổng '!T55</f>
        <v>0</v>
      </c>
    </row>
    <row r="57" spans="1:14" ht="21.9" customHeight="1">
      <c r="A57" s="146">
        <v>49</v>
      </c>
      <c r="B57" s="147" t="s">
        <v>451</v>
      </c>
      <c r="C57" s="148" t="e">
        <f>#REF!</f>
        <v>#REF!</v>
      </c>
      <c r="D57" s="148">
        <f t="shared" si="1"/>
        <v>124552.872</v>
      </c>
      <c r="E57" s="148">
        <f>'[2]Tổng '!D56</f>
        <v>1938</v>
      </c>
      <c r="F57" s="148">
        <f t="shared" si="2"/>
        <v>122614.872</v>
      </c>
      <c r="G57" s="148">
        <f>'[2]Tổng '!F56</f>
        <v>13705</v>
      </c>
      <c r="H57" s="148">
        <f>'[2]Tổng '!G56</f>
        <v>108909.872</v>
      </c>
      <c r="I57" s="155">
        <f>'[2]Tổng '!J56</f>
        <v>0</v>
      </c>
      <c r="J57" s="148">
        <f>'[2]Tổng '!K56</f>
        <v>124552.872</v>
      </c>
      <c r="K57" s="148">
        <f>'[2]Tổng '!R56</f>
        <v>607</v>
      </c>
      <c r="L57" s="148">
        <f>'[2]Tổng '!N56</f>
        <v>98875.872000000003</v>
      </c>
      <c r="M57" s="148">
        <f>'[2]Tổng '!S56</f>
        <v>309</v>
      </c>
      <c r="N57" s="148">
        <f>'[2]Tổng '!T56</f>
        <v>0</v>
      </c>
    </row>
    <row r="58" spans="1:14" ht="21.9" customHeight="1">
      <c r="A58" s="146">
        <v>50</v>
      </c>
      <c r="B58" s="147" t="s">
        <v>452</v>
      </c>
      <c r="C58" s="148" t="e">
        <f>#REF!</f>
        <v>#REF!</v>
      </c>
      <c r="D58" s="148">
        <f t="shared" si="1"/>
        <v>127224.421</v>
      </c>
      <c r="E58" s="148">
        <f>'[2]Tổng '!D57</f>
        <v>1359</v>
      </c>
      <c r="F58" s="148">
        <f t="shared" si="2"/>
        <v>125865.421</v>
      </c>
      <c r="G58" s="148">
        <f>'[2]Tổng '!F57</f>
        <v>16110</v>
      </c>
      <c r="H58" s="148">
        <f>'[2]Tổng '!G57</f>
        <v>109755.421</v>
      </c>
      <c r="I58" s="155">
        <f>'[2]Tổng '!J57</f>
        <v>0</v>
      </c>
      <c r="J58" s="148">
        <f>'[2]Tổng '!K57</f>
        <v>127224.421</v>
      </c>
      <c r="K58" s="148">
        <f>'[2]Tổng '!R57</f>
        <v>675</v>
      </c>
      <c r="L58" s="148">
        <f>'[2]Tổng '!N57</f>
        <v>99050.421000000002</v>
      </c>
      <c r="M58" s="148">
        <f>'[2]Tổng '!S57</f>
        <v>346</v>
      </c>
      <c r="N58" s="148">
        <f>'[2]Tổng '!T57</f>
        <v>0</v>
      </c>
    </row>
    <row r="59" spans="1:14" ht="21.9" customHeight="1">
      <c r="A59" s="146">
        <v>51</v>
      </c>
      <c r="B59" s="147" t="s">
        <v>453</v>
      </c>
      <c r="C59" s="148" t="e">
        <f>#REF!</f>
        <v>#REF!</v>
      </c>
      <c r="D59" s="148">
        <f t="shared" si="1"/>
        <v>76511.702000000005</v>
      </c>
      <c r="E59" s="148">
        <f>'[2]Tổng '!D58</f>
        <v>170</v>
      </c>
      <c r="F59" s="148">
        <f t="shared" si="2"/>
        <v>76341.702000000005</v>
      </c>
      <c r="G59" s="148">
        <f>'[2]Tổng '!F58</f>
        <v>10067</v>
      </c>
      <c r="H59" s="148">
        <f>'[2]Tổng '!G58</f>
        <v>66274.702000000005</v>
      </c>
      <c r="I59" s="155">
        <f>'[2]Tổng '!J58</f>
        <v>0</v>
      </c>
      <c r="J59" s="148">
        <f>'[2]Tổng '!K58</f>
        <v>76511.702000000005</v>
      </c>
      <c r="K59" s="148">
        <f>'[2]Tổng '!R58</f>
        <v>0</v>
      </c>
      <c r="L59" s="148">
        <f>'[2]Tổng '!N58</f>
        <v>60314.701999999997</v>
      </c>
      <c r="M59" s="148">
        <f>'[2]Tổng '!S58</f>
        <v>211</v>
      </c>
      <c r="N59" s="148">
        <f>'[2]Tổng '!T58</f>
        <v>0</v>
      </c>
    </row>
    <row r="60" spans="1:14" ht="21.9" customHeight="1">
      <c r="A60" s="146">
        <v>52</v>
      </c>
      <c r="B60" s="147" t="s">
        <v>454</v>
      </c>
      <c r="C60" s="148" t="e">
        <f>#REF!</f>
        <v>#REF!</v>
      </c>
      <c r="D60" s="148">
        <f t="shared" si="1"/>
        <v>75202.231</v>
      </c>
      <c r="E60" s="148">
        <f>'[2]Tổng '!D59</f>
        <v>125</v>
      </c>
      <c r="F60" s="148">
        <f t="shared" si="2"/>
        <v>75077.231</v>
      </c>
      <c r="G60" s="148">
        <f>'[2]Tổng '!F59</f>
        <v>9749</v>
      </c>
      <c r="H60" s="148">
        <f>'[2]Tổng '!G59</f>
        <v>65328.231</v>
      </c>
      <c r="I60" s="155">
        <f>'[2]Tổng '!J59</f>
        <v>0</v>
      </c>
      <c r="J60" s="148">
        <f>'[2]Tổng '!K59</f>
        <v>75202.231</v>
      </c>
      <c r="K60" s="148">
        <f>'[2]Tổng '!R59</f>
        <v>45</v>
      </c>
      <c r="L60" s="148">
        <f>'[2]Tổng '!N59</f>
        <v>59901.231</v>
      </c>
      <c r="M60" s="148">
        <f>'[2]Tổng '!S59</f>
        <v>205</v>
      </c>
      <c r="N60" s="148">
        <f>'[2]Tổng '!T59</f>
        <v>0</v>
      </c>
    </row>
    <row r="61" spans="1:14" ht="21.9" customHeight="1">
      <c r="A61" s="146">
        <v>53</v>
      </c>
      <c r="B61" s="147" t="s">
        <v>455</v>
      </c>
      <c r="C61" s="148" t="e">
        <f>#REF!</f>
        <v>#REF!</v>
      </c>
      <c r="D61" s="148">
        <f t="shared" si="1"/>
        <v>75763.67</v>
      </c>
      <c r="E61" s="148">
        <f>'[2]Tổng '!D60</f>
        <v>1267</v>
      </c>
      <c r="F61" s="148">
        <f t="shared" si="2"/>
        <v>74496.67</v>
      </c>
      <c r="G61" s="148">
        <f>'[2]Tổng '!F60</f>
        <v>9831</v>
      </c>
      <c r="H61" s="148">
        <f>'[2]Tổng '!G60</f>
        <v>64665.67</v>
      </c>
      <c r="I61" s="155">
        <f>'[2]Tổng '!J60</f>
        <v>0</v>
      </c>
      <c r="J61" s="148">
        <f>'[2]Tổng '!K60</f>
        <v>75763.67</v>
      </c>
      <c r="K61" s="148">
        <f>'[2]Tổng '!R60</f>
        <v>585</v>
      </c>
      <c r="L61" s="148">
        <f>'[2]Tổng '!N60</f>
        <v>58110.67</v>
      </c>
      <c r="M61" s="148">
        <f>'[2]Tổng '!S60</f>
        <v>218</v>
      </c>
      <c r="N61" s="148">
        <f>'[2]Tổng '!T60</f>
        <v>0</v>
      </c>
    </row>
    <row r="62" spans="1:14" ht="21.9" customHeight="1">
      <c r="A62" s="146">
        <v>54</v>
      </c>
      <c r="B62" s="147" t="s">
        <v>456</v>
      </c>
      <c r="C62" s="148" t="e">
        <f>#REF!</f>
        <v>#REF!</v>
      </c>
      <c r="D62" s="148">
        <f t="shared" si="1"/>
        <v>102312.88800000001</v>
      </c>
      <c r="E62" s="148">
        <f>'[2]Tổng '!D61</f>
        <v>825</v>
      </c>
      <c r="F62" s="148">
        <f t="shared" si="2"/>
        <v>101487.88800000001</v>
      </c>
      <c r="G62" s="148">
        <f>'[2]Tổng '!F61</f>
        <v>10650</v>
      </c>
      <c r="H62" s="148">
        <f>'[2]Tổng '!G61</f>
        <v>90837.888000000006</v>
      </c>
      <c r="I62" s="155">
        <f>'[2]Tổng '!J61</f>
        <v>0</v>
      </c>
      <c r="J62" s="148">
        <f>'[2]Tổng '!K61</f>
        <v>102312.88800000001</v>
      </c>
      <c r="K62" s="148">
        <f>'[2]Tổng '!R61</f>
        <v>338</v>
      </c>
      <c r="L62" s="148">
        <f>'[2]Tổng '!N61</f>
        <v>83165.888000000006</v>
      </c>
      <c r="M62" s="148">
        <f>'[2]Tổng '!S61</f>
        <v>238</v>
      </c>
      <c r="N62" s="148">
        <f>'[2]Tổng '!T61</f>
        <v>0</v>
      </c>
    </row>
    <row r="63" spans="1:14" ht="21.9" customHeight="1">
      <c r="A63" s="149">
        <v>55</v>
      </c>
      <c r="B63" s="150" t="s">
        <v>457</v>
      </c>
      <c r="C63" s="151" t="e">
        <f>#REF!</f>
        <v>#REF!</v>
      </c>
      <c r="D63" s="151">
        <f t="shared" si="1"/>
        <v>41486.482000000004</v>
      </c>
      <c r="E63" s="151">
        <f>'[2]Tổng '!D62</f>
        <v>52</v>
      </c>
      <c r="F63" s="151">
        <f t="shared" si="2"/>
        <v>41434.482000000004</v>
      </c>
      <c r="G63" s="151">
        <f>'[2]Tổng '!F62</f>
        <v>5191</v>
      </c>
      <c r="H63" s="151">
        <f>'[2]Tổng '!G62</f>
        <v>36243.482000000004</v>
      </c>
      <c r="I63" s="156">
        <f>'[2]Tổng '!J62</f>
        <v>0</v>
      </c>
      <c r="J63" s="151">
        <f>'[2]Tổng '!K62</f>
        <v>41486.482000000004</v>
      </c>
      <c r="K63" s="151">
        <f>'[2]Tổng '!R62</f>
        <v>0</v>
      </c>
      <c r="L63" s="151">
        <f>'[2]Tổng '!N62</f>
        <v>33022.482000000004</v>
      </c>
      <c r="M63" s="151">
        <f>'[2]Tổng '!S62</f>
        <v>109</v>
      </c>
      <c r="N63" s="151">
        <f>'[2]Tổng '!T62</f>
        <v>0</v>
      </c>
    </row>
    <row r="64" spans="1:14" ht="11.25" customHeight="1">
      <c r="A64" s="152"/>
      <c r="B64" s="153"/>
      <c r="C64" s="154"/>
      <c r="D64" s="154"/>
      <c r="E64" s="153"/>
      <c r="F64" s="153"/>
      <c r="G64" s="153"/>
      <c r="H64" s="153"/>
      <c r="I64" s="153"/>
      <c r="J64" s="153"/>
      <c r="K64" s="153"/>
      <c r="L64" s="153"/>
      <c r="M64" s="153"/>
      <c r="N64" s="153"/>
    </row>
    <row r="65" spans="1:14" ht="35.25" customHeight="1">
      <c r="A65" s="133"/>
      <c r="B65" s="596"/>
      <c r="C65" s="596"/>
      <c r="D65" s="596"/>
      <c r="E65" s="596"/>
      <c r="F65" s="133"/>
      <c r="G65" s="133"/>
      <c r="H65" s="133"/>
      <c r="I65" s="133"/>
      <c r="J65" s="133"/>
      <c r="K65" s="133"/>
      <c r="L65" s="133"/>
      <c r="M65" s="133"/>
      <c r="N65" s="133"/>
    </row>
    <row r="66" spans="1:14">
      <c r="B66" s="133"/>
      <c r="C66" s="135"/>
    </row>
    <row r="75" spans="1:14">
      <c r="C75" s="1"/>
      <c r="D75" s="1"/>
    </row>
  </sheetData>
  <mergeCells count="18">
    <mergeCell ref="A1:N1"/>
    <mergeCell ref="A2:N2"/>
    <mergeCell ref="D4:I4"/>
    <mergeCell ref="K4:N4"/>
    <mergeCell ref="E5:I5"/>
    <mergeCell ref="N5:N7"/>
    <mergeCell ref="F6:H6"/>
    <mergeCell ref="I6:I7"/>
    <mergeCell ref="J4:J7"/>
    <mergeCell ref="K5:K7"/>
    <mergeCell ref="L5:L7"/>
    <mergeCell ref="M5:M7"/>
    <mergeCell ref="B65:E65"/>
    <mergeCell ref="A4:A7"/>
    <mergeCell ref="B4:B7"/>
    <mergeCell ref="C4:C7"/>
    <mergeCell ref="D5:D7"/>
    <mergeCell ref="E6:E7"/>
  </mergeCells>
  <pageMargins left="0.2" right="0.2" top="0.2" bottom="0.36" header="0.3" footer="0.3"/>
  <pageSetup paperSize="9" orientation="landscape" horizontalDpi="12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
  <sheetViews>
    <sheetView workbookViewId="0">
      <selection sqref="A1:E7"/>
    </sheetView>
  </sheetViews>
  <sheetFormatPr defaultColWidth="9.109375" defaultRowHeight="15.6"/>
  <cols>
    <col min="1" max="1" width="5.77734375" style="1" customWidth="1"/>
    <col min="2" max="2" width="28" style="1" customWidth="1"/>
    <col min="3" max="5" width="10.109375" style="137" customWidth="1"/>
    <col min="6" max="16384" width="9.109375" style="1"/>
  </cols>
  <sheetData>
    <row r="1" spans="1:5" ht="62.4">
      <c r="A1" s="138" t="s">
        <v>3</v>
      </c>
      <c r="B1" s="138" t="s">
        <v>4</v>
      </c>
      <c r="C1" s="48" t="s">
        <v>95</v>
      </c>
      <c r="D1" s="48" t="s">
        <v>458</v>
      </c>
      <c r="E1" s="138" t="s">
        <v>459</v>
      </c>
    </row>
    <row r="2" spans="1:5" ht="31.2">
      <c r="A2" s="139">
        <v>1</v>
      </c>
      <c r="B2" s="44" t="s">
        <v>460</v>
      </c>
      <c r="C2" s="140" t="e">
        <f>#REF!</f>
        <v>#REF!</v>
      </c>
      <c r="D2" s="140" t="e">
        <f>#REF!</f>
        <v>#REF!</v>
      </c>
      <c r="E2" s="140" t="e">
        <f>C2-D2</f>
        <v>#REF!</v>
      </c>
    </row>
    <row r="3" spans="1:5">
      <c r="A3" s="139">
        <v>2</v>
      </c>
      <c r="B3" s="141" t="s">
        <v>461</v>
      </c>
      <c r="C3" s="140">
        <f>'Chi xã'!E8</f>
        <v>137306.35799999998</v>
      </c>
      <c r="D3" s="140">
        <f>'Chi xã'!E8</f>
        <v>137306.35799999998</v>
      </c>
      <c r="E3" s="140">
        <f>C3-D3</f>
        <v>0</v>
      </c>
    </row>
    <row r="4" spans="1:5">
      <c r="A4" s="139">
        <v>3</v>
      </c>
      <c r="B4" s="141" t="s">
        <v>462</v>
      </c>
      <c r="C4" s="140">
        <f>'Chi xã'!G8</f>
        <v>1126383.8870000001</v>
      </c>
      <c r="D4" s="140">
        <f>C4</f>
        <v>1126383.8870000001</v>
      </c>
      <c r="E4" s="140">
        <f>C4-D4</f>
        <v>0</v>
      </c>
    </row>
    <row r="5" spans="1:5">
      <c r="A5" s="139">
        <v>4</v>
      </c>
      <c r="B5" s="141" t="s">
        <v>463</v>
      </c>
      <c r="C5" s="140">
        <f>'[2]Tổng '!$I$7+3</f>
        <v>269232.65999999997</v>
      </c>
      <c r="D5" s="140">
        <f>Chi!H9</f>
        <v>269229.66000000003</v>
      </c>
      <c r="E5" s="140">
        <f>D5-C5</f>
        <v>-2.9999999999417923</v>
      </c>
    </row>
    <row r="6" spans="1:5">
      <c r="A6" s="139">
        <v>5</v>
      </c>
      <c r="B6" s="141" t="s">
        <v>464</v>
      </c>
      <c r="C6" s="140">
        <f>'Chi xã'!I8</f>
        <v>58203.096000000005</v>
      </c>
      <c r="D6" s="140">
        <f>C6</f>
        <v>58203.096000000005</v>
      </c>
      <c r="E6" s="140">
        <f>D6-C6</f>
        <v>0</v>
      </c>
    </row>
    <row r="7" spans="1:5">
      <c r="A7" s="139">
        <v>6</v>
      </c>
      <c r="B7" s="141" t="s">
        <v>465</v>
      </c>
      <c r="C7" s="140">
        <f>'Chi xã'!J8-'Chi xã'!L8</f>
        <v>1591125.7429999989</v>
      </c>
      <c r="D7" s="140">
        <f>Chi!J9</f>
        <v>1591125.743</v>
      </c>
      <c r="E7" s="140">
        <f>D7-C7</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47"/>
  <sheetViews>
    <sheetView topLeftCell="A2" workbookViewId="0">
      <selection activeCell="A2" sqref="A2:N2"/>
    </sheetView>
  </sheetViews>
  <sheetFormatPr defaultColWidth="11.77734375" defaultRowHeight="15.6"/>
  <cols>
    <col min="1" max="1" width="4.77734375" style="1" customWidth="1"/>
    <col min="2" max="2" width="24.77734375" style="1" customWidth="1"/>
    <col min="3" max="3" width="10" style="26" customWidth="1"/>
    <col min="4" max="4" width="10.33203125" style="26" customWidth="1"/>
    <col min="5" max="5" width="9.77734375" style="1" customWidth="1"/>
    <col min="6" max="6" width="11.21875" style="1" customWidth="1"/>
    <col min="7" max="8" width="10.109375" style="1" customWidth="1"/>
    <col min="9" max="9" width="9" style="1" customWidth="1"/>
    <col min="10" max="11" width="11.33203125" style="1" customWidth="1"/>
    <col min="12" max="12" width="7.88671875" style="1" customWidth="1"/>
    <col min="13" max="13" width="8" style="1" customWidth="1"/>
    <col min="14" max="14" width="8.77734375" style="1" customWidth="1"/>
    <col min="15" max="16384" width="11.77734375" style="1"/>
  </cols>
  <sheetData>
    <row r="1" spans="1:15" s="26" customFormat="1" ht="21.75" customHeight="1">
      <c r="A1" s="602" t="s">
        <v>389</v>
      </c>
      <c r="B1" s="602"/>
      <c r="C1" s="602"/>
      <c r="D1" s="602"/>
      <c r="E1" s="602"/>
      <c r="F1" s="602"/>
      <c r="G1" s="602"/>
      <c r="H1" s="602"/>
      <c r="I1" s="602"/>
      <c r="J1" s="602"/>
      <c r="K1" s="602"/>
      <c r="L1" s="602"/>
      <c r="M1" s="602"/>
      <c r="N1" s="602"/>
      <c r="O1" s="116"/>
    </row>
    <row r="2" spans="1:15" ht="23.25" customHeight="1">
      <c r="A2" s="603" t="s">
        <v>390</v>
      </c>
      <c r="B2" s="603"/>
      <c r="C2" s="603"/>
      <c r="D2" s="603"/>
      <c r="E2" s="603"/>
      <c r="F2" s="603"/>
      <c r="G2" s="603"/>
      <c r="H2" s="603"/>
      <c r="I2" s="603"/>
      <c r="J2" s="603"/>
      <c r="K2" s="603"/>
      <c r="L2" s="603"/>
      <c r="M2" s="603"/>
      <c r="N2" s="603"/>
    </row>
    <row r="3" spans="1:15" ht="23.25" customHeight="1">
      <c r="A3" s="112"/>
      <c r="B3" s="112"/>
      <c r="C3" s="112"/>
      <c r="D3" s="112"/>
      <c r="E3" s="112"/>
      <c r="F3" s="112"/>
      <c r="G3" s="112"/>
      <c r="H3" s="112"/>
      <c r="I3" s="112"/>
      <c r="J3" s="112"/>
      <c r="K3" s="112"/>
      <c r="L3" s="112"/>
      <c r="M3" s="112"/>
      <c r="N3" s="112"/>
    </row>
    <row r="4" spans="1:15" s="38" customFormat="1" ht="16.2">
      <c r="A4" s="113"/>
      <c r="B4" s="114"/>
      <c r="C4" s="115"/>
      <c r="D4" s="116"/>
      <c r="E4" s="113"/>
      <c r="F4" s="113"/>
      <c r="G4" s="113"/>
      <c r="H4" s="113"/>
      <c r="I4" s="113"/>
      <c r="J4" s="113"/>
      <c r="K4" s="609" t="s">
        <v>55</v>
      </c>
      <c r="L4" s="609"/>
      <c r="M4" s="609"/>
      <c r="N4" s="609"/>
    </row>
    <row r="5" spans="1:15" s="110" customFormat="1" ht="24.75" customHeight="1">
      <c r="A5" s="597" t="s">
        <v>3</v>
      </c>
      <c r="B5" s="597" t="s">
        <v>391</v>
      </c>
      <c r="C5" s="598" t="s">
        <v>392</v>
      </c>
      <c r="D5" s="599" t="s">
        <v>8</v>
      </c>
      <c r="E5" s="599"/>
      <c r="F5" s="599"/>
      <c r="G5" s="599"/>
      <c r="H5" s="599"/>
      <c r="I5" s="599"/>
      <c r="J5" s="597" t="s">
        <v>393</v>
      </c>
      <c r="K5" s="597"/>
      <c r="L5" s="597"/>
      <c r="M5" s="597"/>
      <c r="N5" s="597"/>
    </row>
    <row r="6" spans="1:15" s="110" customFormat="1" ht="21" customHeight="1">
      <c r="A6" s="597"/>
      <c r="B6" s="597"/>
      <c r="C6" s="598"/>
      <c r="D6" s="599" t="s">
        <v>394</v>
      </c>
      <c r="E6" s="599" t="s">
        <v>111</v>
      </c>
      <c r="F6" s="599"/>
      <c r="G6" s="599"/>
      <c r="H6" s="599"/>
      <c r="I6" s="599"/>
      <c r="J6" s="597" t="s">
        <v>466</v>
      </c>
      <c r="K6" s="597" t="s">
        <v>111</v>
      </c>
      <c r="L6" s="597"/>
      <c r="M6" s="597"/>
      <c r="N6" s="597"/>
    </row>
    <row r="7" spans="1:15" s="110" customFormat="1" ht="36.75" customHeight="1">
      <c r="A7" s="597"/>
      <c r="B7" s="597"/>
      <c r="C7" s="598"/>
      <c r="D7" s="599"/>
      <c r="E7" s="607" t="s">
        <v>398</v>
      </c>
      <c r="F7" s="599" t="s">
        <v>467</v>
      </c>
      <c r="G7" s="599"/>
      <c r="H7" s="599"/>
      <c r="I7" s="607" t="s">
        <v>400</v>
      </c>
      <c r="J7" s="597"/>
      <c r="K7" s="598" t="s">
        <v>468</v>
      </c>
      <c r="L7" s="598" t="s">
        <v>395</v>
      </c>
      <c r="M7" s="598" t="s">
        <v>34</v>
      </c>
      <c r="N7" s="598" t="s">
        <v>397</v>
      </c>
    </row>
    <row r="8" spans="1:15" s="110" customFormat="1" ht="68.25" customHeight="1">
      <c r="A8" s="597"/>
      <c r="B8" s="597"/>
      <c r="C8" s="598"/>
      <c r="D8" s="599"/>
      <c r="E8" s="607"/>
      <c r="F8" s="118" t="s">
        <v>401</v>
      </c>
      <c r="G8" s="118" t="s">
        <v>402</v>
      </c>
      <c r="H8" s="119" t="s">
        <v>469</v>
      </c>
      <c r="I8" s="599"/>
      <c r="J8" s="597"/>
      <c r="K8" s="597"/>
      <c r="L8" s="597"/>
      <c r="M8" s="597"/>
      <c r="N8" s="597" t="s">
        <v>34</v>
      </c>
    </row>
    <row r="9" spans="1:15" s="111" customFormat="1" ht="21.9" customHeight="1">
      <c r="A9" s="120"/>
      <c r="B9" s="121" t="s">
        <v>322</v>
      </c>
      <c r="C9" s="122" t="e">
        <f>C10+C18+C24+C30+C35+C39+C44+C48+C54+C59+C63+C67+C71+C75+C79+C82+C85+C88+C93+C98+C103+C107+C110+C116+C120+C125+C131+C135+C140+C143+C146+C149+C152+C155+C159+C163+C167+C172+C177+C181+C185+C190+C195+C199+C203+C206+C209+C212+C215+C219+C223+C226+C229+C232+C235</f>
        <v>#REF!</v>
      </c>
      <c r="D9" s="122">
        <f>D10+D18+D24+D30+D35+D39+D44+D48+D54+D59+D63+D67+D71+D75+D79+D82+D85+D88+D93+D98+D103+D107+D110+D116+D120+D125+D131+D135+D140+D143+D146+D149+D152+D155+D159+D163+D167+D172+D177+D181+D185+D190+D195+D199+D203+D206+D209+D212+D215+D219+D223+D226+D229+D232+D235+3</f>
        <v>1591126.0009999999</v>
      </c>
      <c r="E9" s="122">
        <f>E10+E18+E24+E30+E35+E39+E44+E48+E54+E59+E63+E67+E71+E75+E79+E82+E85+E88+E93+E98+E103+E107+E110+E116+E120+E125+E131+E135+E140+E143+E146+E149+E152+E155+E159+E163+E167+E172+E177+E181+E185+E190+E195+E199+E203+E206+E209+E212+E215+E219+E223+E226+E229+E232+E235</f>
        <v>137306.35799999998</v>
      </c>
      <c r="F9" s="122">
        <f>F10+F18+F24+F30+F35+F39+F44+F48+F54+F59+F63+F67+F71+F75+F79+F82+F85+F88+F93+F98+F103+F107+F110+F116+F120+F125+F131+F135+F140+F143+F146+F149+F152+F155+F159+F163+F167+F172+F177+F181+F185+F190+F195+F199+F203+F206+F209+F212+F215+F219+F223+F226+F229+F232+F235</f>
        <v>1395613.5469999996</v>
      </c>
      <c r="G9" s="122">
        <f>G10+G18+G24+G30+G35+G39+G44+G48+G54+G59+G63+G67+G71+G75+G79+G82+G85+G88+G93+G98+G103+G107+G110+G116+G120+G125+G131+G135+G140+G143+G146+G149+G152+G155+G159+G163+G167+G172+G177+G181+G185+G190+G195+G199+G203+G206+G209+G212+G215+G219+G223+G226+G229+G232+G235</f>
        <v>1126383.8870000001</v>
      </c>
      <c r="H9" s="122">
        <f>H10+H18+H24+H30+H35+H39+H44+H48+H54+H59+H63+H67+H71+H75+H79+H82+H85+H88+H93+H98+H103+H107+H110+H116+H120+H125+H131+H135+H140+H143+H146+H149+H152+H155+H159+H163+H167+H172+H177+H181+H185+H190+H195+H199+H203+H206+H209+H212+H215+H219+H223+H226+H229+H232+H235</f>
        <v>269229.66000000003</v>
      </c>
      <c r="I9" s="122">
        <f t="shared" ref="I9:N9" si="0">I10+I18+I24+I30+I35+I39+I44+I48+I54+I59+I63+I67+I71+I75+I79+I82+I85+I88+I93+I98+I103+I107+I110+I116+I120+I125+I131+I135+I140+I143+I146+I149+I152+I155+I159+I163+I167+I172+I177+I181+I185+I190+I195+I199+I203+I206+I209+I212+I215+I219+I223+I226+I229+I232+I235</f>
        <v>58203.096000000005</v>
      </c>
      <c r="J9" s="122">
        <f t="shared" si="0"/>
        <v>1591125.743</v>
      </c>
      <c r="K9" s="122">
        <f t="shared" si="0"/>
        <v>1533402.4239999999</v>
      </c>
      <c r="L9" s="122">
        <f t="shared" si="0"/>
        <v>6932</v>
      </c>
      <c r="M9" s="122">
        <f t="shared" si="0"/>
        <v>25560.254999999997</v>
      </c>
      <c r="N9" s="122">
        <f t="shared" si="0"/>
        <v>25231.064000000002</v>
      </c>
      <c r="O9" s="130">
        <f>D9-J9</f>
        <v>0.25799999991431832</v>
      </c>
    </row>
    <row r="10" spans="1:15" s="26" customFormat="1" ht="21.9" customHeight="1">
      <c r="A10" s="123">
        <v>1</v>
      </c>
      <c r="B10" s="124" t="s">
        <v>404</v>
      </c>
      <c r="C10" s="125">
        <f>SUM(C11:C17)</f>
        <v>144798</v>
      </c>
      <c r="D10" s="125">
        <f>E10+F10+I10</f>
        <v>77643.487000000008</v>
      </c>
      <c r="E10" s="125">
        <f>SUM(E11:E17)</f>
        <v>16799.655999999999</v>
      </c>
      <c r="F10" s="125">
        <f>SUM(F11:F17)</f>
        <v>48168.925000000003</v>
      </c>
      <c r="G10" s="125">
        <f>SUM(G11:G17)</f>
        <v>48168.925000000003</v>
      </c>
      <c r="H10" s="125">
        <f>SUM(H11:H17)</f>
        <v>0</v>
      </c>
      <c r="I10" s="125">
        <f>SUM(I11:I17)</f>
        <v>12674.905999999999</v>
      </c>
      <c r="J10" s="125">
        <f>SUM(K10:N10)</f>
        <v>77643.487000000008</v>
      </c>
      <c r="K10" s="125">
        <f>SUM(K11:K17)</f>
        <v>73002.679000000004</v>
      </c>
      <c r="L10" s="125">
        <f>'[2]Tổng '!R8</f>
        <v>0</v>
      </c>
      <c r="M10" s="125">
        <f>SUM(M11:M17)</f>
        <v>1476.585</v>
      </c>
      <c r="N10" s="125">
        <f>SUM(N11:N17)</f>
        <v>3164.223</v>
      </c>
    </row>
    <row r="11" spans="1:15" ht="21.9" customHeight="1">
      <c r="A11" s="126"/>
      <c r="B11" s="127" t="s">
        <v>470</v>
      </c>
      <c r="C11" s="128">
        <v>28763</v>
      </c>
      <c r="D11" s="128">
        <f>E11+F11+I11</f>
        <v>11451.487000000001</v>
      </c>
      <c r="E11" s="129">
        <f>'[2]Thu '!D9</f>
        <v>2671.9960000000001</v>
      </c>
      <c r="F11" s="125">
        <f>SUM(G11:H11)</f>
        <v>8779.491</v>
      </c>
      <c r="G11" s="129">
        <f>'[2]Thu '!E9</f>
        <v>8779.491</v>
      </c>
      <c r="H11" s="129">
        <f>'[2]Thu '!F9</f>
        <v>0</v>
      </c>
      <c r="I11" s="129"/>
      <c r="J11" s="125">
        <f t="shared" ref="J11:J74" si="1">SUM(K11:N11)</f>
        <v>11489.719000000001</v>
      </c>
      <c r="K11" s="128">
        <f>[2]TPTN!$I$16+[2]TPTN!$I$11</f>
        <v>11262.306</v>
      </c>
      <c r="L11" s="128"/>
      <c r="M11" s="128">
        <f>[2]TPTN!$I$31</f>
        <v>227.41300000000001</v>
      </c>
      <c r="N11" s="128">
        <f>[2]TPTN!$I$33</f>
        <v>0</v>
      </c>
    </row>
    <row r="12" spans="1:15" ht="21.9" customHeight="1">
      <c r="A12" s="126"/>
      <c r="B12" s="127" t="s">
        <v>471</v>
      </c>
      <c r="C12" s="128">
        <v>31077</v>
      </c>
      <c r="D12" s="128">
        <f t="shared" ref="D12:D75" si="2">E12+F12+I12</f>
        <v>14785.306999999999</v>
      </c>
      <c r="E12" s="129">
        <f>'[2]Thu '!D4</f>
        <v>2955.4560000000001</v>
      </c>
      <c r="F12" s="125">
        <f t="shared" ref="F12:F75" si="3">SUM(G12:H12)</f>
        <v>11813.65</v>
      </c>
      <c r="G12" s="129">
        <f>'[2]Thu '!E4</f>
        <v>11813.65</v>
      </c>
      <c r="H12" s="129">
        <f>'[2]Thu '!F4</f>
        <v>0</v>
      </c>
      <c r="I12" s="129">
        <v>16.201000000000001</v>
      </c>
      <c r="J12" s="125">
        <f t="shared" si="1"/>
        <v>14769.106</v>
      </c>
      <c r="K12" s="128">
        <f>[2]TPTN!$D$16</f>
        <v>14476.007</v>
      </c>
      <c r="L12" s="128"/>
      <c r="M12" s="128">
        <f>[2]TPTN!$D$31</f>
        <v>293.09899999999999</v>
      </c>
      <c r="N12" s="128">
        <f>[2]TPTN!$D$33</f>
        <v>0</v>
      </c>
    </row>
    <row r="13" spans="1:15" ht="21.9" customHeight="1">
      <c r="A13" s="126"/>
      <c r="B13" s="127" t="s">
        <v>472</v>
      </c>
      <c r="C13" s="128">
        <v>21166</v>
      </c>
      <c r="D13" s="128">
        <f t="shared" si="2"/>
        <v>19513.457999999999</v>
      </c>
      <c r="E13" s="129">
        <f>'[2]Thu '!D8</f>
        <v>2150.06</v>
      </c>
      <c r="F13" s="125">
        <f t="shared" si="3"/>
        <v>9044.9850000000006</v>
      </c>
      <c r="G13" s="129">
        <f>'[2]Thu '!E8</f>
        <v>9044.9850000000006</v>
      </c>
      <c r="H13" s="129">
        <f>'[2]Thu '!F8</f>
        <v>0</v>
      </c>
      <c r="I13" s="129">
        <v>8318.4130000000005</v>
      </c>
      <c r="J13" s="125">
        <f t="shared" si="1"/>
        <v>11195.045</v>
      </c>
      <c r="K13" s="128">
        <f>[2]TPTN!$H$16</f>
        <v>10973.01</v>
      </c>
      <c r="L13" s="128"/>
      <c r="M13" s="128">
        <f>[2]TPTN!$H$31</f>
        <v>222.035</v>
      </c>
      <c r="N13" s="128">
        <f>[2]TPTN!$H$33</f>
        <v>0</v>
      </c>
    </row>
    <row r="14" spans="1:15" ht="21.9" customHeight="1">
      <c r="A14" s="126"/>
      <c r="B14" s="127" t="s">
        <v>473</v>
      </c>
      <c r="C14" s="128">
        <v>18137</v>
      </c>
      <c r="D14" s="128">
        <f t="shared" si="2"/>
        <v>10901.66</v>
      </c>
      <c r="E14" s="129">
        <f>'[2]Thu '!D5</f>
        <v>2024.9359999999999</v>
      </c>
      <c r="F14" s="125">
        <f t="shared" si="3"/>
        <v>6618.9390000000003</v>
      </c>
      <c r="G14" s="129">
        <f>'[2]Thu '!E5</f>
        <v>6618.9390000000003</v>
      </c>
      <c r="H14" s="129">
        <f>'[2]Thu '!F5</f>
        <v>0</v>
      </c>
      <c r="I14" s="129">
        <v>2257.7849999999999</v>
      </c>
      <c r="J14" s="125">
        <f t="shared" si="1"/>
        <v>8660.0759999999991</v>
      </c>
      <c r="K14" s="128">
        <f>[2]TPTN!$E$16</f>
        <v>8488.1049999999996</v>
      </c>
      <c r="L14" s="128"/>
      <c r="M14" s="128">
        <f>[2]TPTN!$E$31</f>
        <v>171.971</v>
      </c>
      <c r="N14" s="128">
        <f>[2]TPTN!$E$33</f>
        <v>0</v>
      </c>
    </row>
    <row r="15" spans="1:15" ht="21.9" customHeight="1">
      <c r="A15" s="126"/>
      <c r="B15" s="127" t="s">
        <v>474</v>
      </c>
      <c r="C15" s="128">
        <v>17118</v>
      </c>
      <c r="D15" s="128">
        <f t="shared" si="2"/>
        <v>7051.96</v>
      </c>
      <c r="E15" s="129">
        <f>'[2]Thu '!D7</f>
        <v>1674.2439999999999</v>
      </c>
      <c r="F15" s="125">
        <f t="shared" si="3"/>
        <v>5377.7160000000003</v>
      </c>
      <c r="G15" s="129">
        <f>'[2]Thu '!E7</f>
        <v>5377.7160000000003</v>
      </c>
      <c r="H15" s="129">
        <f>'[2]Thu '!F7</f>
        <v>0</v>
      </c>
      <c r="I15" s="129"/>
      <c r="J15" s="125">
        <f t="shared" si="1"/>
        <v>9309.744999999999</v>
      </c>
      <c r="K15" s="128">
        <f>[2]TPTN!$G$16</f>
        <v>9125.1949999999997</v>
      </c>
      <c r="L15" s="128"/>
      <c r="M15" s="128">
        <f>[2]TPTN!$G$31</f>
        <v>184.55</v>
      </c>
      <c r="N15" s="128">
        <f>[2]TPTN!$G$33</f>
        <v>0</v>
      </c>
    </row>
    <row r="16" spans="1:15" ht="21.9" customHeight="1">
      <c r="A16" s="126"/>
      <c r="B16" s="127" t="s">
        <v>475</v>
      </c>
      <c r="C16" s="128">
        <v>17304</v>
      </c>
      <c r="D16" s="128">
        <f t="shared" si="2"/>
        <v>4417.9250000000002</v>
      </c>
      <c r="E16" s="129">
        <f>'[2]Thu '!D6</f>
        <v>1718.38</v>
      </c>
      <c r="F16" s="125">
        <f t="shared" si="3"/>
        <v>2661.3130000000001</v>
      </c>
      <c r="G16" s="129">
        <f>'[2]Thu '!E6</f>
        <v>2661.3130000000001</v>
      </c>
      <c r="H16" s="129">
        <f>'[2]Thu '!F6</f>
        <v>0</v>
      </c>
      <c r="I16" s="129">
        <v>38.231999999999999</v>
      </c>
      <c r="J16" s="125">
        <f t="shared" si="1"/>
        <v>12698.106</v>
      </c>
      <c r="K16" s="128">
        <f>[2]TPTN!$F$16</f>
        <v>9345.0679999999993</v>
      </c>
      <c r="L16" s="128"/>
      <c r="M16" s="128">
        <f>[2]TPTN!$F$31</f>
        <v>188.815</v>
      </c>
      <c r="N16" s="128">
        <f>[2]TPTN!$F$33</f>
        <v>3164.223</v>
      </c>
    </row>
    <row r="17" spans="1:14" ht="21.9" customHeight="1">
      <c r="A17" s="126"/>
      <c r="B17" s="127" t="s">
        <v>476</v>
      </c>
      <c r="C17" s="128">
        <v>11233</v>
      </c>
      <c r="D17" s="128">
        <f t="shared" si="2"/>
        <v>9521.69</v>
      </c>
      <c r="E17" s="129">
        <f>'[2]Thu '!D10</f>
        <v>3604.5839999999998</v>
      </c>
      <c r="F17" s="125">
        <f t="shared" si="3"/>
        <v>3872.8310000000001</v>
      </c>
      <c r="G17" s="129">
        <f>'[2]Thu '!E10</f>
        <v>3872.8310000000001</v>
      </c>
      <c r="H17" s="129">
        <f>'[2]Thu '!F10</f>
        <v>0</v>
      </c>
      <c r="I17" s="129">
        <v>2044.2750000000001</v>
      </c>
      <c r="J17" s="125">
        <f t="shared" si="1"/>
        <v>9521.6899999999987</v>
      </c>
      <c r="K17" s="128">
        <f>[2]TPTN!$J$16</f>
        <v>9332.9879999999994</v>
      </c>
      <c r="L17" s="128"/>
      <c r="M17" s="128">
        <f>[2]TPTN!$J$31</f>
        <v>188.702</v>
      </c>
      <c r="N17" s="128">
        <f>[2]TPTN!$J$33</f>
        <v>0</v>
      </c>
    </row>
    <row r="18" spans="1:14" s="26" customFormat="1" ht="21.9" customHeight="1">
      <c r="A18" s="123">
        <v>2</v>
      </c>
      <c r="B18" s="124" t="s">
        <v>405</v>
      </c>
      <c r="C18" s="125">
        <f>SUM(C19:C23)</f>
        <v>29400</v>
      </c>
      <c r="D18" s="128">
        <f t="shared" si="2"/>
        <v>47990.796000000002</v>
      </c>
      <c r="E18" s="125">
        <f>SUM(E19:E23)</f>
        <v>15823.050000000001</v>
      </c>
      <c r="F18" s="125">
        <f t="shared" si="3"/>
        <v>30555.392999999996</v>
      </c>
      <c r="G18" s="125">
        <f>SUM(G19:G23)</f>
        <v>30555.392999999996</v>
      </c>
      <c r="H18" s="125">
        <f>SUM(H19:H23)</f>
        <v>0</v>
      </c>
      <c r="I18" s="125">
        <f>SUM(I19:I23)</f>
        <v>1612.3529999999998</v>
      </c>
      <c r="J18" s="125">
        <f t="shared" si="1"/>
        <v>47989.58600000001</v>
      </c>
      <c r="K18" s="125">
        <f>SUM(K19:K23)</f>
        <v>47039.178000000007</v>
      </c>
      <c r="L18" s="125">
        <f>'[2]Tổng '!R9</f>
        <v>0</v>
      </c>
      <c r="M18" s="125">
        <f>SUM(M19:M23)</f>
        <v>950.40800000000002</v>
      </c>
      <c r="N18" s="125">
        <f>SUM(N19:N23)</f>
        <v>0</v>
      </c>
    </row>
    <row r="19" spans="1:14" ht="21.9" customHeight="1">
      <c r="A19" s="126"/>
      <c r="B19" s="127" t="s">
        <v>477</v>
      </c>
      <c r="C19" s="128">
        <v>9730</v>
      </c>
      <c r="D19" s="128">
        <f t="shared" si="2"/>
        <v>9400.3240000000005</v>
      </c>
      <c r="E19" s="128">
        <f>'[2]Thu '!D11</f>
        <v>2908.5540000000001</v>
      </c>
      <c r="F19" s="125">
        <f t="shared" si="3"/>
        <v>6491.77</v>
      </c>
      <c r="G19" s="128">
        <f>'[2]Thu '!E11</f>
        <v>6491.77</v>
      </c>
      <c r="H19" s="128">
        <f>'[2]Thu '!F11</f>
        <v>0</v>
      </c>
      <c r="I19" s="131">
        <f>'[2]Thu '!G11</f>
        <v>0</v>
      </c>
      <c r="J19" s="125">
        <f t="shared" si="1"/>
        <v>9399.8639999999996</v>
      </c>
      <c r="K19" s="128">
        <f>[2]TPTN!$K$16</f>
        <v>9213.8109999999997</v>
      </c>
      <c r="L19" s="128"/>
      <c r="M19" s="128">
        <f>[2]TPTN!$K$31</f>
        <v>186.053</v>
      </c>
      <c r="N19" s="128"/>
    </row>
    <row r="20" spans="1:14" ht="21.9" customHeight="1">
      <c r="A20" s="126"/>
      <c r="B20" s="127" t="s">
        <v>478</v>
      </c>
      <c r="C20" s="128">
        <v>6279</v>
      </c>
      <c r="D20" s="128">
        <f t="shared" si="2"/>
        <v>9837.4880000000012</v>
      </c>
      <c r="E20" s="128">
        <f>'[2]Thu '!D12</f>
        <v>5851.92</v>
      </c>
      <c r="F20" s="125">
        <f t="shared" si="3"/>
        <v>3953.8159999999998</v>
      </c>
      <c r="G20" s="128">
        <f>'[2]Thu '!E12</f>
        <v>3953.8159999999998</v>
      </c>
      <c r="H20" s="128">
        <f>'[2]Thu '!F12</f>
        <v>0</v>
      </c>
      <c r="I20" s="131">
        <f>'[2]Thu '!G12</f>
        <v>31.751999999999999</v>
      </c>
      <c r="J20" s="125">
        <f t="shared" si="1"/>
        <v>9836.7379999999994</v>
      </c>
      <c r="K20" s="128">
        <f>[2]TPTN!$L$16</f>
        <v>9642</v>
      </c>
      <c r="L20" s="128"/>
      <c r="M20" s="128">
        <f>[2]TPTN!$L$31</f>
        <v>194.738</v>
      </c>
      <c r="N20" s="128"/>
    </row>
    <row r="21" spans="1:14" ht="21.9" customHeight="1">
      <c r="A21" s="126"/>
      <c r="B21" s="127" t="s">
        <v>479</v>
      </c>
      <c r="C21" s="128">
        <v>8845</v>
      </c>
      <c r="D21" s="128">
        <f t="shared" si="2"/>
        <v>8896.69</v>
      </c>
      <c r="E21" s="128">
        <f>'[2]Thu '!D13</f>
        <v>3044.3760000000002</v>
      </c>
      <c r="F21" s="125">
        <f t="shared" si="3"/>
        <v>4334.5690000000004</v>
      </c>
      <c r="G21" s="128">
        <f>'[2]Thu '!E13</f>
        <v>4334.5690000000004</v>
      </c>
      <c r="H21" s="128">
        <f>'[2]Thu '!F13</f>
        <v>0</v>
      </c>
      <c r="I21" s="131">
        <f>'[2]Thu '!G13</f>
        <v>1517.7449999999999</v>
      </c>
      <c r="J21" s="125">
        <f t="shared" si="1"/>
        <v>8896.6899999999987</v>
      </c>
      <c r="K21" s="128">
        <f>[2]TPTN!$M$16</f>
        <v>8719.9609999999993</v>
      </c>
      <c r="L21" s="128"/>
      <c r="M21" s="128">
        <f>[2]TPTN!$M$31</f>
        <v>176.72900000000001</v>
      </c>
      <c r="N21" s="128"/>
    </row>
    <row r="22" spans="1:14" ht="21.9" customHeight="1">
      <c r="A22" s="126"/>
      <c r="B22" s="127" t="s">
        <v>480</v>
      </c>
      <c r="C22" s="128">
        <v>1486</v>
      </c>
      <c r="D22" s="128">
        <f t="shared" si="2"/>
        <v>9999.0870000000014</v>
      </c>
      <c r="E22" s="128">
        <f>'[2]Thu '!D14</f>
        <v>1283.1199999999999</v>
      </c>
      <c r="F22" s="125">
        <f t="shared" si="3"/>
        <v>8680.6509999999998</v>
      </c>
      <c r="G22" s="128">
        <f>'[2]Thu '!E14</f>
        <v>8680.6509999999998</v>
      </c>
      <c r="H22" s="128">
        <f>'[2]Thu '!F14</f>
        <v>0</v>
      </c>
      <c r="I22" s="131">
        <f>'[2]Thu '!G14</f>
        <v>35.316000000000003</v>
      </c>
      <c r="J22" s="125">
        <f t="shared" si="1"/>
        <v>9999.0870000000014</v>
      </c>
      <c r="K22" s="128">
        <f>[2]TPTN!$N$16</f>
        <v>9801.1650000000009</v>
      </c>
      <c r="L22" s="128"/>
      <c r="M22" s="128">
        <f>[2]TPTN!$N$31</f>
        <v>197.922</v>
      </c>
      <c r="N22" s="128"/>
    </row>
    <row r="23" spans="1:14" ht="21.9" customHeight="1">
      <c r="A23" s="126"/>
      <c r="B23" s="127" t="s">
        <v>481</v>
      </c>
      <c r="C23" s="128">
        <v>3060</v>
      </c>
      <c r="D23" s="128">
        <f t="shared" si="2"/>
        <v>9857.2070000000022</v>
      </c>
      <c r="E23" s="128">
        <f>'[2]Thu '!D15</f>
        <v>2735.08</v>
      </c>
      <c r="F23" s="125">
        <f t="shared" si="3"/>
        <v>7094.5870000000004</v>
      </c>
      <c r="G23" s="128">
        <f>'[2]Thu '!E15</f>
        <v>7094.5870000000004</v>
      </c>
      <c r="H23" s="128">
        <f>'[2]Thu '!F15</f>
        <v>0</v>
      </c>
      <c r="I23" s="131">
        <f>'[2]Thu '!G15</f>
        <v>27.54</v>
      </c>
      <c r="J23" s="125">
        <f t="shared" si="1"/>
        <v>9857.2070000000003</v>
      </c>
      <c r="K23" s="128">
        <f>[2]TPTN!$O$16</f>
        <v>9662.241</v>
      </c>
      <c r="L23" s="128"/>
      <c r="M23" s="128">
        <f>[2]TPTN!$O$31</f>
        <v>194.96600000000001</v>
      </c>
      <c r="N23" s="128"/>
    </row>
    <row r="24" spans="1:14" s="26" customFormat="1" ht="21.9" customHeight="1">
      <c r="A24" s="123">
        <v>3</v>
      </c>
      <c r="B24" s="124" t="s">
        <v>406</v>
      </c>
      <c r="C24" s="125">
        <f>SUM(C25:C29)</f>
        <v>40670</v>
      </c>
      <c r="D24" s="128">
        <f t="shared" si="2"/>
        <v>48141.515999999996</v>
      </c>
      <c r="E24" s="125">
        <f>SUM(E25:E29)</f>
        <v>8485.5519999999997</v>
      </c>
      <c r="F24" s="125">
        <f t="shared" si="3"/>
        <v>35843.044999999998</v>
      </c>
      <c r="G24" s="125">
        <f>SUM(G25:G29)</f>
        <v>35843.044999999998</v>
      </c>
      <c r="H24" s="125">
        <f>SUM(H25:H29)</f>
        <v>0</v>
      </c>
      <c r="I24" s="125">
        <f>SUM(I25:I29)</f>
        <v>3812.9189999999999</v>
      </c>
      <c r="J24" s="125">
        <f t="shared" si="1"/>
        <v>48141.515999999996</v>
      </c>
      <c r="K24" s="125">
        <f>SUM(K25:K29)</f>
        <v>47187.28</v>
      </c>
      <c r="L24" s="125">
        <f>'[2]Tổng '!R10</f>
        <v>0</v>
      </c>
      <c r="M24" s="125">
        <f>SUM(M25:M29)</f>
        <v>954.23599999999999</v>
      </c>
      <c r="N24" s="125">
        <f>'[2]Tổng '!T10</f>
        <v>0</v>
      </c>
    </row>
    <row r="25" spans="1:14" ht="21.9" customHeight="1">
      <c r="A25" s="126"/>
      <c r="B25" s="127" t="s">
        <v>482</v>
      </c>
      <c r="C25" s="128">
        <v>4786</v>
      </c>
      <c r="D25" s="128">
        <f t="shared" si="2"/>
        <v>9851.4709999999995</v>
      </c>
      <c r="E25" s="128">
        <f>'[2]Thu '!D16</f>
        <v>1770.7719999999999</v>
      </c>
      <c r="F25" s="125">
        <f t="shared" si="3"/>
        <v>7794.7449999999999</v>
      </c>
      <c r="G25" s="128">
        <f>'[2]Thu '!E16</f>
        <v>7794.7449999999999</v>
      </c>
      <c r="H25" s="128">
        <f>'[2]Thu '!F16</f>
        <v>0</v>
      </c>
      <c r="I25" s="131">
        <f>'[2]Thu '!G16</f>
        <v>285.95400000000001</v>
      </c>
      <c r="J25" s="125">
        <f t="shared" si="1"/>
        <v>9851.4709999999995</v>
      </c>
      <c r="K25" s="128">
        <f>[2]TPTN!$P$16</f>
        <v>9656.2739999999994</v>
      </c>
      <c r="L25" s="128"/>
      <c r="M25" s="128">
        <f>[2]TPTN!$P$31</f>
        <v>195.197</v>
      </c>
      <c r="N25" s="128"/>
    </row>
    <row r="26" spans="1:14" ht="21.9" customHeight="1">
      <c r="A26" s="126"/>
      <c r="B26" s="127" t="s">
        <v>483</v>
      </c>
      <c r="C26" s="128">
        <v>9789</v>
      </c>
      <c r="D26" s="128">
        <f t="shared" si="2"/>
        <v>10410.965</v>
      </c>
      <c r="E26" s="128">
        <f>'[2]Thu '!D17</f>
        <v>2734.904</v>
      </c>
      <c r="F26" s="125">
        <f t="shared" si="3"/>
        <v>7642.04</v>
      </c>
      <c r="G26" s="128">
        <f>'[2]Thu '!E17</f>
        <v>7642.04</v>
      </c>
      <c r="H26" s="128">
        <f>'[2]Thu '!F17</f>
        <v>0</v>
      </c>
      <c r="I26" s="131">
        <f>'[2]Thu '!G17</f>
        <v>34.021000000000001</v>
      </c>
      <c r="J26" s="125">
        <f t="shared" si="1"/>
        <v>10410.965</v>
      </c>
      <c r="K26" s="128">
        <f>[2]TPTN!$R$16</f>
        <v>10204.553</v>
      </c>
      <c r="L26" s="128"/>
      <c r="M26" s="128">
        <f>[2]TPTN!$R$31</f>
        <v>206.41200000000001</v>
      </c>
      <c r="N26" s="128"/>
    </row>
    <row r="27" spans="1:14" ht="21.9" customHeight="1">
      <c r="A27" s="126"/>
      <c r="B27" s="127" t="s">
        <v>484</v>
      </c>
      <c r="C27" s="128">
        <v>1548</v>
      </c>
      <c r="D27" s="128">
        <f t="shared" si="2"/>
        <v>7722.2950000000001</v>
      </c>
      <c r="E27" s="128">
        <f>'[2]Thu '!D18</f>
        <v>579.24</v>
      </c>
      <c r="F27" s="125">
        <f t="shared" si="3"/>
        <v>7143.0550000000003</v>
      </c>
      <c r="G27" s="128">
        <f>'[2]Thu '!E18</f>
        <v>7143.0550000000003</v>
      </c>
      <c r="H27" s="128">
        <f>'[2]Thu '!F18</f>
        <v>0</v>
      </c>
      <c r="I27" s="131">
        <f>'[2]Thu '!G18</f>
        <v>0</v>
      </c>
      <c r="J27" s="125">
        <f t="shared" si="1"/>
        <v>7722.2950000000001</v>
      </c>
      <c r="K27" s="128">
        <f>[2]TPTN!$Q$16</f>
        <v>7569.01</v>
      </c>
      <c r="L27" s="128"/>
      <c r="M27" s="128">
        <f>[2]TPTN!$Q$31</f>
        <v>153.285</v>
      </c>
      <c r="N27" s="128"/>
    </row>
    <row r="28" spans="1:14" ht="21.9" customHeight="1">
      <c r="A28" s="126"/>
      <c r="B28" s="127" t="s">
        <v>485</v>
      </c>
      <c r="C28" s="128">
        <v>20874</v>
      </c>
      <c r="D28" s="128">
        <f t="shared" si="2"/>
        <v>9600.5319999999992</v>
      </c>
      <c r="E28" s="128">
        <f>'[2]Thu '!D19</f>
        <v>2038.992</v>
      </c>
      <c r="F28" s="125">
        <f t="shared" si="3"/>
        <v>4101.9690000000001</v>
      </c>
      <c r="G28" s="128">
        <f>'[2]Thu '!E19</f>
        <v>4101.9690000000001</v>
      </c>
      <c r="H28" s="128">
        <f>'[2]Thu '!F19</f>
        <v>0</v>
      </c>
      <c r="I28" s="131">
        <f>'[2]Thu '!G19</f>
        <v>3459.5709999999999</v>
      </c>
      <c r="J28" s="125">
        <f t="shared" si="1"/>
        <v>9600.5319999999992</v>
      </c>
      <c r="K28" s="128">
        <f>[2]TPTN!$S$16</f>
        <v>9410.2950000000001</v>
      </c>
      <c r="L28" s="128"/>
      <c r="M28" s="128">
        <f>[2]TPTN!$S$31</f>
        <v>190.23699999999999</v>
      </c>
      <c r="N28" s="128"/>
    </row>
    <row r="29" spans="1:14" ht="21.9" customHeight="1">
      <c r="A29" s="126"/>
      <c r="B29" s="127" t="s">
        <v>486</v>
      </c>
      <c r="C29" s="128">
        <v>3673</v>
      </c>
      <c r="D29" s="128">
        <f t="shared" si="2"/>
        <v>10556.253000000001</v>
      </c>
      <c r="E29" s="128">
        <f>'[2]Thu '!D20</f>
        <v>1361.644</v>
      </c>
      <c r="F29" s="125">
        <f t="shared" si="3"/>
        <v>9161.2360000000008</v>
      </c>
      <c r="G29" s="128">
        <f>'[2]Thu '!E20</f>
        <v>9161.2360000000008</v>
      </c>
      <c r="H29" s="128">
        <f>'[2]Thu '!F20</f>
        <v>0</v>
      </c>
      <c r="I29" s="131">
        <f>'[2]Thu '!G20</f>
        <v>33.372999999999998</v>
      </c>
      <c r="J29" s="125">
        <f t="shared" si="1"/>
        <v>10556.252999999999</v>
      </c>
      <c r="K29" s="128">
        <f>[2]TPTN!$T$16</f>
        <v>10347.147999999999</v>
      </c>
      <c r="L29" s="128"/>
      <c r="M29" s="128">
        <f>[2]TPTN!$T$31</f>
        <v>209.10499999999999</v>
      </c>
      <c r="N29" s="128"/>
    </row>
    <row r="30" spans="1:14" s="26" customFormat="1" ht="21.9" customHeight="1">
      <c r="A30" s="123">
        <v>4</v>
      </c>
      <c r="B30" s="124" t="s">
        <v>407</v>
      </c>
      <c r="C30" s="125">
        <f>C31+C32+C33+C34</f>
        <v>33914</v>
      </c>
      <c r="D30" s="128">
        <f t="shared" si="2"/>
        <v>39712.629000000001</v>
      </c>
      <c r="E30" s="125">
        <f>E31+E32+E33+E34</f>
        <v>6262.5039999999999</v>
      </c>
      <c r="F30" s="125">
        <f t="shared" si="3"/>
        <v>33361.671000000002</v>
      </c>
      <c r="G30" s="125">
        <f>G31+G32+G33+G34</f>
        <v>33361.671000000002</v>
      </c>
      <c r="H30" s="125">
        <f>H31+H32+H33+H34</f>
        <v>0</v>
      </c>
      <c r="I30" s="125">
        <f>I31+I32+I33+I34</f>
        <v>88.454000000000008</v>
      </c>
      <c r="J30" s="125">
        <f t="shared" si="1"/>
        <v>39712.245000000003</v>
      </c>
      <c r="K30" s="125">
        <f>K31+K32+K33+K34</f>
        <v>38925.58</v>
      </c>
      <c r="L30" s="125">
        <f>'[2]Tổng '!R11</f>
        <v>0</v>
      </c>
      <c r="M30" s="125">
        <f>SUM(M31:M34)</f>
        <v>786.66500000000008</v>
      </c>
      <c r="N30" s="125">
        <f>'[2]Tổng '!T11</f>
        <v>0</v>
      </c>
    </row>
    <row r="31" spans="1:14" ht="21.9" customHeight="1">
      <c r="A31" s="126"/>
      <c r="B31" s="127" t="s">
        <v>487</v>
      </c>
      <c r="C31" s="128">
        <v>7885</v>
      </c>
      <c r="D31" s="128">
        <f t="shared" si="2"/>
        <v>10955.339</v>
      </c>
      <c r="E31" s="128">
        <f>'[2]Thu '!D21</f>
        <v>2110.192</v>
      </c>
      <c r="F31" s="125">
        <f t="shared" si="3"/>
        <v>8809.5069999999996</v>
      </c>
      <c r="G31" s="128">
        <f>'[2]Thu '!E21</f>
        <v>8809.5069999999996</v>
      </c>
      <c r="H31" s="128">
        <f>'[2]Thu '!F21</f>
        <v>0</v>
      </c>
      <c r="I31" s="131">
        <f>'[2]Thu '!G21</f>
        <v>35.64</v>
      </c>
      <c r="J31" s="125">
        <f t="shared" si="1"/>
        <v>10954.956</v>
      </c>
      <c r="K31" s="128">
        <f>[2]TPTN!$U$16</f>
        <v>10738</v>
      </c>
      <c r="L31" s="128"/>
      <c r="M31" s="128">
        <f>[2]TPTN!$U$31</f>
        <v>216.95599999999999</v>
      </c>
      <c r="N31" s="128"/>
    </row>
    <row r="32" spans="1:14" ht="21.9" customHeight="1">
      <c r="A32" s="126"/>
      <c r="B32" s="127" t="s">
        <v>488</v>
      </c>
      <c r="C32" s="128">
        <v>658</v>
      </c>
      <c r="D32" s="128">
        <f t="shared" si="2"/>
        <v>8572.280999999999</v>
      </c>
      <c r="E32" s="128">
        <f>'[2]Thu '!D22</f>
        <v>521.74400000000003</v>
      </c>
      <c r="F32" s="125">
        <f t="shared" si="3"/>
        <v>8027.2079999999996</v>
      </c>
      <c r="G32" s="128">
        <f>'[2]Thu '!E22</f>
        <v>8027.2079999999996</v>
      </c>
      <c r="H32" s="128">
        <f>'[2]Thu '!F22</f>
        <v>0</v>
      </c>
      <c r="I32" s="131">
        <f>'[2]Thu '!G22</f>
        <v>23.329000000000001</v>
      </c>
      <c r="J32" s="125">
        <f t="shared" si="1"/>
        <v>8572.280999999999</v>
      </c>
      <c r="K32" s="128">
        <f>[2]TPTN!$V$16</f>
        <v>8402.3909999999996</v>
      </c>
      <c r="L32" s="128"/>
      <c r="M32" s="128">
        <f>[2]TPTN!$V$31</f>
        <v>169.89</v>
      </c>
      <c r="N32" s="128"/>
    </row>
    <row r="33" spans="1:14" ht="21.9" customHeight="1">
      <c r="A33" s="126"/>
      <c r="B33" s="127" t="s">
        <v>489</v>
      </c>
      <c r="C33" s="128">
        <v>4944</v>
      </c>
      <c r="D33" s="128">
        <f t="shared" si="2"/>
        <v>9923.3410000000003</v>
      </c>
      <c r="E33" s="128">
        <f>'[2]Thu '!D23</f>
        <v>1642.748</v>
      </c>
      <c r="F33" s="125">
        <f t="shared" si="3"/>
        <v>8251.1080000000002</v>
      </c>
      <c r="G33" s="128">
        <f>'[2]Thu '!E23</f>
        <v>8251.1080000000002</v>
      </c>
      <c r="H33" s="128">
        <f>'[2]Thu '!F23</f>
        <v>0</v>
      </c>
      <c r="I33" s="131">
        <f>'[2]Thu '!G23</f>
        <v>29.484999999999999</v>
      </c>
      <c r="J33" s="125">
        <f t="shared" si="1"/>
        <v>9923.3410000000003</v>
      </c>
      <c r="K33" s="128">
        <f>[2]TPTN!$W$16</f>
        <v>9726.7860000000001</v>
      </c>
      <c r="L33" s="128"/>
      <c r="M33" s="128">
        <f>[2]TPTN!$W$31</f>
        <v>196.55500000000001</v>
      </c>
      <c r="N33" s="128"/>
    </row>
    <row r="34" spans="1:14" ht="21.9" customHeight="1">
      <c r="A34" s="126"/>
      <c r="B34" s="127" t="s">
        <v>490</v>
      </c>
      <c r="C34" s="128">
        <v>20427</v>
      </c>
      <c r="D34" s="128">
        <f t="shared" si="2"/>
        <v>10261.668</v>
      </c>
      <c r="E34" s="128">
        <f>'[2]Thu '!D24</f>
        <v>1987.82</v>
      </c>
      <c r="F34" s="125">
        <f t="shared" si="3"/>
        <v>8273.848</v>
      </c>
      <c r="G34" s="128">
        <f>'[2]Thu '!E24</f>
        <v>8273.848</v>
      </c>
      <c r="H34" s="128">
        <f>'[2]Thu '!F24</f>
        <v>0</v>
      </c>
      <c r="I34" s="131">
        <f>'[2]Thu '!G24</f>
        <v>0</v>
      </c>
      <c r="J34" s="125">
        <f t="shared" si="1"/>
        <v>10261.666999999999</v>
      </c>
      <c r="K34" s="128">
        <f>[2]TPTN!$X$16</f>
        <v>10058.403</v>
      </c>
      <c r="L34" s="128"/>
      <c r="M34" s="128">
        <f>[2]TPTN!$X$31</f>
        <v>203.26400000000001</v>
      </c>
      <c r="N34" s="128"/>
    </row>
    <row r="35" spans="1:14" s="26" customFormat="1" ht="21.9" customHeight="1">
      <c r="A35" s="123">
        <v>5</v>
      </c>
      <c r="B35" s="124" t="s">
        <v>408</v>
      </c>
      <c r="C35" s="125">
        <f>SUM(C36:C38)</f>
        <v>26871</v>
      </c>
      <c r="D35" s="128">
        <f t="shared" si="2"/>
        <v>37996.180999999997</v>
      </c>
      <c r="E35" s="125">
        <f>SUM(E36:E38)</f>
        <v>4524.46</v>
      </c>
      <c r="F35" s="125">
        <f t="shared" si="3"/>
        <v>14899.018</v>
      </c>
      <c r="G35" s="125">
        <f>SUM(G36:G38)</f>
        <v>14899.018</v>
      </c>
      <c r="H35" s="125">
        <f>SUM(H36:H38)</f>
        <v>0</v>
      </c>
      <c r="I35" s="125">
        <f>SUM(I36:I38)</f>
        <v>18572.703000000001</v>
      </c>
      <c r="J35" s="125">
        <f t="shared" si="1"/>
        <v>37996.180999999997</v>
      </c>
      <c r="K35" s="125">
        <f>SUM(K36:K38)</f>
        <v>25554.959999999999</v>
      </c>
      <c r="L35" s="125">
        <f>'[2]Tổng '!R12</f>
        <v>0</v>
      </c>
      <c r="M35" s="125">
        <f>SUM(M36:M38)</f>
        <v>517.23900000000003</v>
      </c>
      <c r="N35" s="125">
        <f>SUM(N36:N38)</f>
        <v>11923.982</v>
      </c>
    </row>
    <row r="36" spans="1:14" ht="21.9" customHeight="1">
      <c r="A36" s="126"/>
      <c r="B36" s="127" t="s">
        <v>491</v>
      </c>
      <c r="C36" s="128">
        <v>16359</v>
      </c>
      <c r="D36" s="128">
        <f t="shared" si="2"/>
        <v>9388.7099999999991</v>
      </c>
      <c r="E36" s="128">
        <f>'[2]Thu '!D25</f>
        <v>1711.8119999999999</v>
      </c>
      <c r="F36" s="125">
        <f t="shared" si="3"/>
        <v>5925.902</v>
      </c>
      <c r="G36" s="128">
        <f>'[2]Thu '!E25</f>
        <v>5925.902</v>
      </c>
      <c r="H36" s="128">
        <f>'[2]Thu '!F25</f>
        <v>0</v>
      </c>
      <c r="I36" s="131">
        <f>'[2]Thu '!G25</f>
        <v>1750.9960000000001</v>
      </c>
      <c r="J36" s="125">
        <f t="shared" si="1"/>
        <v>9388.7099999999991</v>
      </c>
      <c r="K36" s="128">
        <f>[2]TPTN!$Y$16</f>
        <v>9202.4169999999995</v>
      </c>
      <c r="L36" s="128"/>
      <c r="M36" s="128">
        <f>[2]TPTN!$Y$31</f>
        <v>186.29300000000001</v>
      </c>
      <c r="N36" s="128">
        <f>[2]TPTN!$Y$33</f>
        <v>0</v>
      </c>
    </row>
    <row r="37" spans="1:14" ht="21.9" customHeight="1">
      <c r="A37" s="126"/>
      <c r="B37" s="127" t="s">
        <v>492</v>
      </c>
      <c r="C37" s="128">
        <v>9706</v>
      </c>
      <c r="D37" s="128">
        <f t="shared" si="2"/>
        <v>21111.517</v>
      </c>
      <c r="E37" s="128">
        <f>'[2]Thu '!D26</f>
        <v>2073.4479999999999</v>
      </c>
      <c r="F37" s="125">
        <f t="shared" si="3"/>
        <v>2273.991</v>
      </c>
      <c r="G37" s="128">
        <f>'[2]Thu '!E26</f>
        <v>2273.991</v>
      </c>
      <c r="H37" s="128">
        <f>'[2]Thu '!F26</f>
        <v>0</v>
      </c>
      <c r="I37" s="131">
        <f>'[2]Thu '!G26</f>
        <v>16764.078000000001</v>
      </c>
      <c r="J37" s="125">
        <f t="shared" si="1"/>
        <v>21111.517</v>
      </c>
      <c r="K37" s="128">
        <f>[2]TPTN!$Z$16</f>
        <v>9005.3690000000006</v>
      </c>
      <c r="L37" s="128"/>
      <c r="M37" s="128">
        <f>[2]TPTN!$Z$31</f>
        <v>182.166</v>
      </c>
      <c r="N37" s="128">
        <f>[2]TPTN!$Z$33</f>
        <v>11923.982</v>
      </c>
    </row>
    <row r="38" spans="1:14" ht="21.9" customHeight="1">
      <c r="A38" s="126"/>
      <c r="B38" s="127" t="s">
        <v>493</v>
      </c>
      <c r="C38" s="128">
        <v>806</v>
      </c>
      <c r="D38" s="128">
        <f t="shared" si="2"/>
        <v>7495.9539999999997</v>
      </c>
      <c r="E38" s="128">
        <f>'[2]Thu '!D27</f>
        <v>739.2</v>
      </c>
      <c r="F38" s="125">
        <f t="shared" si="3"/>
        <v>6699.125</v>
      </c>
      <c r="G38" s="128">
        <f>'[2]Thu '!E27</f>
        <v>6699.125</v>
      </c>
      <c r="H38" s="128">
        <f>'[2]Thu '!F27</f>
        <v>0</v>
      </c>
      <c r="I38" s="131">
        <f>'[2]Thu '!G27</f>
        <v>57.628999999999998</v>
      </c>
      <c r="J38" s="125">
        <f t="shared" si="1"/>
        <v>7495.9539999999997</v>
      </c>
      <c r="K38" s="128">
        <f>[2]TPTN!$AA$16</f>
        <v>7347.174</v>
      </c>
      <c r="L38" s="128"/>
      <c r="M38" s="128">
        <f>[2]TPTN!$AA$31</f>
        <v>148.78</v>
      </c>
      <c r="N38" s="128">
        <f>[2]TPTN!$AA$33</f>
        <v>0</v>
      </c>
    </row>
    <row r="39" spans="1:14" s="26" customFormat="1" ht="21.9" customHeight="1">
      <c r="A39" s="123">
        <v>6</v>
      </c>
      <c r="B39" s="124" t="s">
        <v>409</v>
      </c>
      <c r="C39" s="125">
        <f>SUM(C40:C43)</f>
        <v>20404</v>
      </c>
      <c r="D39" s="128">
        <f t="shared" si="2"/>
        <v>37681.137999999999</v>
      </c>
      <c r="E39" s="125">
        <f>SUM(E40:E43)</f>
        <v>8533.9959999999992</v>
      </c>
      <c r="F39" s="125">
        <f t="shared" si="3"/>
        <v>25823.682000000001</v>
      </c>
      <c r="G39" s="125">
        <f>SUM(G40:G43)</f>
        <v>25823.682000000001</v>
      </c>
      <c r="H39" s="125">
        <f>SUM(H40:H43)</f>
        <v>0</v>
      </c>
      <c r="I39" s="125">
        <f>SUM(I40:I43)</f>
        <v>3323.46</v>
      </c>
      <c r="J39" s="125">
        <f t="shared" si="1"/>
        <v>37681.138000000006</v>
      </c>
      <c r="K39" s="125">
        <f>SUM(K40:K43)</f>
        <v>36934.391000000003</v>
      </c>
      <c r="L39" s="125">
        <f>'[2]Tổng '!R13</f>
        <v>0</v>
      </c>
      <c r="M39" s="125">
        <f>SUM(M40:M43)</f>
        <v>746.74700000000007</v>
      </c>
      <c r="N39" s="125">
        <f>SUM(N40:N43)</f>
        <v>0</v>
      </c>
    </row>
    <row r="40" spans="1:14" ht="21.9" customHeight="1">
      <c r="A40" s="126"/>
      <c r="B40" s="127" t="s">
        <v>494</v>
      </c>
      <c r="C40" s="128">
        <v>3987</v>
      </c>
      <c r="D40" s="128">
        <f t="shared" si="2"/>
        <v>8491.6460000000006</v>
      </c>
      <c r="E40" s="128">
        <f>'[2]Thu '!D28</f>
        <v>1341.252</v>
      </c>
      <c r="F40" s="125">
        <f t="shared" si="3"/>
        <v>7129.01</v>
      </c>
      <c r="G40" s="128">
        <f>'[2]Thu '!E28</f>
        <v>7129.01</v>
      </c>
      <c r="H40" s="128">
        <f>'[2]Thu '!F28</f>
        <v>0</v>
      </c>
      <c r="I40" s="131">
        <f>'[2]Thu '!G28</f>
        <v>21.384</v>
      </c>
      <c r="J40" s="125">
        <f t="shared" si="1"/>
        <v>8491.6460000000006</v>
      </c>
      <c r="K40" s="128">
        <f>[2]TPTN!$AB$16</f>
        <v>8323.098</v>
      </c>
      <c r="L40" s="128"/>
      <c r="M40" s="128">
        <f>[2]TPTN!$AB$31</f>
        <v>168.548</v>
      </c>
      <c r="N40" s="128"/>
    </row>
    <row r="41" spans="1:14" ht="21.9" customHeight="1">
      <c r="A41" s="126"/>
      <c r="B41" s="127" t="s">
        <v>495</v>
      </c>
      <c r="C41" s="128">
        <v>4215</v>
      </c>
      <c r="D41" s="128">
        <f t="shared" si="2"/>
        <v>9033.232</v>
      </c>
      <c r="E41" s="128">
        <f>'[2]Thu '!D29</f>
        <v>1411.6</v>
      </c>
      <c r="F41" s="125">
        <f t="shared" si="3"/>
        <v>7621.6319999999996</v>
      </c>
      <c r="G41" s="128">
        <f>'[2]Thu '!E29</f>
        <v>7621.6319999999996</v>
      </c>
      <c r="H41" s="128">
        <f>'[2]Thu '!F29</f>
        <v>0</v>
      </c>
      <c r="I41" s="131">
        <f>'[2]Thu '!G29</f>
        <v>0</v>
      </c>
      <c r="J41" s="125">
        <f t="shared" si="1"/>
        <v>9033.232</v>
      </c>
      <c r="K41" s="128">
        <f>[2]TPTN!$AC$16</f>
        <v>8854.1839999999993</v>
      </c>
      <c r="L41" s="128"/>
      <c r="M41" s="128">
        <f>[2]TPTN!$AC$31</f>
        <v>179.048</v>
      </c>
      <c r="N41" s="128"/>
    </row>
    <row r="42" spans="1:14" ht="21.9" customHeight="1">
      <c r="A42" s="126"/>
      <c r="B42" s="127" t="s">
        <v>496</v>
      </c>
      <c r="C42" s="128">
        <v>7939</v>
      </c>
      <c r="D42" s="128">
        <f t="shared" si="2"/>
        <v>8710.0730000000003</v>
      </c>
      <c r="E42" s="128">
        <f>'[2]Thu '!D30</f>
        <v>2488.1439999999998</v>
      </c>
      <c r="F42" s="125">
        <f t="shared" si="3"/>
        <v>6199.2479999999996</v>
      </c>
      <c r="G42" s="128">
        <f>'[2]Thu '!E30</f>
        <v>6199.2479999999996</v>
      </c>
      <c r="H42" s="128">
        <f>'[2]Thu '!F30</f>
        <v>0</v>
      </c>
      <c r="I42" s="131">
        <f>'[2]Thu '!G30</f>
        <v>22.681000000000001</v>
      </c>
      <c r="J42" s="125">
        <f t="shared" si="1"/>
        <v>8710.0729999999985</v>
      </c>
      <c r="K42" s="128">
        <f>[2]TPTN!$AD$16</f>
        <v>8537.4339999999993</v>
      </c>
      <c r="L42" s="128"/>
      <c r="M42" s="128">
        <f>[2]TPTN!$AD$31</f>
        <v>172.63900000000001</v>
      </c>
      <c r="N42" s="128"/>
    </row>
    <row r="43" spans="1:14" ht="21.9" customHeight="1">
      <c r="A43" s="126"/>
      <c r="B43" s="127" t="s">
        <v>497</v>
      </c>
      <c r="C43" s="128">
        <v>4263</v>
      </c>
      <c r="D43" s="128">
        <f t="shared" si="2"/>
        <v>11446.187</v>
      </c>
      <c r="E43" s="128">
        <f>'[2]Thu '!D31</f>
        <v>3293</v>
      </c>
      <c r="F43" s="125">
        <f t="shared" si="3"/>
        <v>4873.7920000000004</v>
      </c>
      <c r="G43" s="128">
        <f>'[2]Thu '!E31</f>
        <v>4873.7920000000004</v>
      </c>
      <c r="H43" s="128">
        <f>'[2]Thu '!F31</f>
        <v>0</v>
      </c>
      <c r="I43" s="131">
        <f>'[2]Thu '!G31</f>
        <v>3279.395</v>
      </c>
      <c r="J43" s="125">
        <f t="shared" si="1"/>
        <v>11446.187</v>
      </c>
      <c r="K43" s="128">
        <f>[2]TPTN!$AE$16</f>
        <v>11219.674999999999</v>
      </c>
      <c r="L43" s="128"/>
      <c r="M43" s="128">
        <f>[2]TPTN!$AE$31</f>
        <v>226.512</v>
      </c>
      <c r="N43" s="128"/>
    </row>
    <row r="44" spans="1:14" s="26" customFormat="1" ht="21.9" customHeight="1">
      <c r="A44" s="123">
        <v>7</v>
      </c>
      <c r="B44" s="124" t="s">
        <v>410</v>
      </c>
      <c r="C44" s="125">
        <f>SUM(C45:C47)</f>
        <v>7139</v>
      </c>
      <c r="D44" s="128">
        <f t="shared" si="2"/>
        <v>28975.773000000001</v>
      </c>
      <c r="E44" s="125">
        <f>SUM(E45:E47)</f>
        <v>5091.5519999999997</v>
      </c>
      <c r="F44" s="125">
        <f t="shared" si="3"/>
        <v>20457</v>
      </c>
      <c r="G44" s="125">
        <f>SUM(G45:G47)</f>
        <v>20457</v>
      </c>
      <c r="H44" s="125">
        <f>SUM(H45:H47)</f>
        <v>0</v>
      </c>
      <c r="I44" s="125">
        <f>SUM(I45:I47)</f>
        <v>3427.221</v>
      </c>
      <c r="J44" s="125">
        <f t="shared" si="1"/>
        <v>28976.772999999997</v>
      </c>
      <c r="K44" s="125">
        <f>SUM(K45:K47)</f>
        <v>28402.635999999999</v>
      </c>
      <c r="L44" s="125">
        <f>'[2]Tổng '!R14</f>
        <v>0</v>
      </c>
      <c r="M44" s="125">
        <f>SUM(M45:M47)</f>
        <v>574.13699999999994</v>
      </c>
      <c r="N44" s="125">
        <f>'[2]Tổng '!T14</f>
        <v>0</v>
      </c>
    </row>
    <row r="45" spans="1:14" ht="21.9" customHeight="1">
      <c r="A45" s="126"/>
      <c r="B45" s="127" t="s">
        <v>498</v>
      </c>
      <c r="C45" s="128">
        <v>2436</v>
      </c>
      <c r="D45" s="128">
        <f t="shared" si="2"/>
        <v>8980.6729999999989</v>
      </c>
      <c r="E45" s="128">
        <f>'[2]Thu '!D32</f>
        <v>1874.68</v>
      </c>
      <c r="F45" s="125">
        <f t="shared" si="3"/>
        <v>7058.9309999999996</v>
      </c>
      <c r="G45" s="128">
        <f>'[2]Thu '!E32</f>
        <v>7058.9309999999996</v>
      </c>
      <c r="H45" s="128">
        <f>'[2]Thu '!F32</f>
        <v>0</v>
      </c>
      <c r="I45" s="131">
        <f>'[2]Thu '!G32</f>
        <v>47.061999999999998</v>
      </c>
      <c r="J45" s="125">
        <f t="shared" si="1"/>
        <v>8980.6729999999989</v>
      </c>
      <c r="K45" s="128">
        <f>[2]TPTN!$AF$16</f>
        <v>8801.7819999999992</v>
      </c>
      <c r="L45" s="128"/>
      <c r="M45" s="128">
        <f>[2]TPTN!$AF$31</f>
        <v>178.89099999999999</v>
      </c>
      <c r="N45" s="128"/>
    </row>
    <row r="46" spans="1:14" ht="21.9" customHeight="1">
      <c r="A46" s="126"/>
      <c r="B46" s="127" t="s">
        <v>499</v>
      </c>
      <c r="C46" s="128">
        <v>3203</v>
      </c>
      <c r="D46" s="128">
        <f t="shared" si="2"/>
        <v>8794.1</v>
      </c>
      <c r="E46" s="128">
        <f>'[2]Thu '!D33</f>
        <v>2813.8719999999998</v>
      </c>
      <c r="F46" s="125">
        <f t="shared" si="3"/>
        <v>2600.069</v>
      </c>
      <c r="G46" s="128">
        <f>'[2]Thu '!E33</f>
        <v>2600.069</v>
      </c>
      <c r="H46" s="128">
        <f>'[2]Thu '!F33</f>
        <v>0</v>
      </c>
      <c r="I46" s="131">
        <f>'[2]Thu '!G33</f>
        <v>3380.1590000000001</v>
      </c>
      <c r="J46" s="125">
        <f t="shared" si="1"/>
        <v>8794.0999999999985</v>
      </c>
      <c r="K46" s="128">
        <f>[2]TPTN!$AG$16</f>
        <v>8619.8539999999994</v>
      </c>
      <c r="L46" s="128"/>
      <c r="M46" s="128">
        <f>[2]TPTN!$AG$31</f>
        <v>174.24600000000001</v>
      </c>
      <c r="N46" s="128"/>
    </row>
    <row r="47" spans="1:14" ht="21.9" customHeight="1">
      <c r="A47" s="126"/>
      <c r="B47" s="127" t="s">
        <v>500</v>
      </c>
      <c r="C47" s="128">
        <v>1500</v>
      </c>
      <c r="D47" s="128">
        <f t="shared" si="2"/>
        <v>11201</v>
      </c>
      <c r="E47" s="128">
        <f>'[2]Thu '!D129</f>
        <v>403</v>
      </c>
      <c r="F47" s="125">
        <f t="shared" si="3"/>
        <v>10798</v>
      </c>
      <c r="G47" s="128">
        <f>'[2]Thu '!E129</f>
        <v>10798</v>
      </c>
      <c r="H47" s="128">
        <f>'[2]Thu '!F129</f>
        <v>0</v>
      </c>
      <c r="I47" s="131"/>
      <c r="J47" s="125">
        <f t="shared" si="1"/>
        <v>11202</v>
      </c>
      <c r="K47" s="128">
        <f>'[2]Sông Công'!$M$15</f>
        <v>10981</v>
      </c>
      <c r="L47" s="128"/>
      <c r="M47" s="128">
        <f>'[2]Sông Công'!$M$30</f>
        <v>221</v>
      </c>
      <c r="N47" s="128"/>
    </row>
    <row r="48" spans="1:14" s="26" customFormat="1" ht="21.9" customHeight="1">
      <c r="A48" s="123">
        <v>8</v>
      </c>
      <c r="B48" s="124" t="s">
        <v>411</v>
      </c>
      <c r="C48" s="125">
        <f>SUM(C49:C53)</f>
        <v>16778</v>
      </c>
      <c r="D48" s="128">
        <f t="shared" si="2"/>
        <v>44082.93</v>
      </c>
      <c r="E48" s="125">
        <f>SUM(E49:E53)</f>
        <v>10764.008</v>
      </c>
      <c r="F48" s="125">
        <f t="shared" si="3"/>
        <v>28749.536</v>
      </c>
      <c r="G48" s="125">
        <f>SUM(G49:G53)</f>
        <v>23095.536</v>
      </c>
      <c r="H48" s="125">
        <f>SUM(H49:H53)</f>
        <v>5654</v>
      </c>
      <c r="I48" s="125">
        <f>SUM(I49:I53)</f>
        <v>4569.3860000000004</v>
      </c>
      <c r="J48" s="125">
        <f t="shared" si="1"/>
        <v>44082.929999999993</v>
      </c>
      <c r="K48" s="125">
        <f>SUM(K49:K53)</f>
        <v>43306.805999999997</v>
      </c>
      <c r="L48" s="125">
        <f>'[2]Tổng '!R15</f>
        <v>0</v>
      </c>
      <c r="M48" s="125">
        <f>SUM(M49:M53)</f>
        <v>755.51499999999999</v>
      </c>
      <c r="N48" s="125">
        <f>SUM(N49:N53)</f>
        <v>20.609000000000002</v>
      </c>
    </row>
    <row r="49" spans="1:14" ht="21.9" customHeight="1">
      <c r="A49" s="126"/>
      <c r="B49" s="127" t="s">
        <v>501</v>
      </c>
      <c r="C49" s="128">
        <v>2781</v>
      </c>
      <c r="D49" s="128">
        <f t="shared" si="2"/>
        <v>8006.3649999999998</v>
      </c>
      <c r="E49" s="128">
        <f>'[2]Thu '!D34</f>
        <v>2473.672</v>
      </c>
      <c r="F49" s="125">
        <f t="shared" si="3"/>
        <v>1961.2149999999999</v>
      </c>
      <c r="G49" s="128">
        <f>'[2]Thu '!E34</f>
        <v>1961.2149999999999</v>
      </c>
      <c r="H49" s="128">
        <f>'[2]Thu '!F34</f>
        <v>0</v>
      </c>
      <c r="I49" s="131">
        <f>'[2]Thu '!G34</f>
        <v>3571.4780000000001</v>
      </c>
      <c r="J49" s="125">
        <f t="shared" si="1"/>
        <v>8006.3649999999998</v>
      </c>
      <c r="K49" s="128">
        <f>[2]TPTN!$AH$16</f>
        <v>7847.5129999999999</v>
      </c>
      <c r="L49" s="128"/>
      <c r="M49" s="128">
        <f>[2]TPTN!$AH$31</f>
        <v>158.852</v>
      </c>
      <c r="N49" s="128"/>
    </row>
    <row r="50" spans="1:14" ht="21.9" customHeight="1">
      <c r="A50" s="126"/>
      <c r="B50" s="127" t="s">
        <v>502</v>
      </c>
      <c r="C50" s="128">
        <v>1615</v>
      </c>
      <c r="D50" s="128">
        <f t="shared" si="2"/>
        <v>8274.7929999999997</v>
      </c>
      <c r="E50" s="128">
        <f>'[2]Thu '!D35</f>
        <v>1429.816</v>
      </c>
      <c r="F50" s="125">
        <f t="shared" si="3"/>
        <v>5867.6779999999999</v>
      </c>
      <c r="G50" s="128">
        <f>'[2]Thu '!E35</f>
        <v>5867.6779999999999</v>
      </c>
      <c r="H50" s="128">
        <f>'[2]Thu '!F35</f>
        <v>0</v>
      </c>
      <c r="I50" s="131">
        <f>'[2]Thu '!G35</f>
        <v>977.29899999999998</v>
      </c>
      <c r="J50" s="125">
        <f t="shared" si="1"/>
        <v>8274.7929999999997</v>
      </c>
      <c r="K50" s="128">
        <f>[2]TPTN!$AI$16</f>
        <v>8110.7259999999997</v>
      </c>
      <c r="L50" s="128"/>
      <c r="M50" s="128">
        <f>[2]TPTN!$AI$31</f>
        <v>164.06700000000001</v>
      </c>
      <c r="N50" s="128"/>
    </row>
    <row r="51" spans="1:14" ht="21.9" customHeight="1">
      <c r="A51" s="126"/>
      <c r="B51" s="127" t="s">
        <v>503</v>
      </c>
      <c r="C51" s="128">
        <v>122</v>
      </c>
      <c r="D51" s="128">
        <f t="shared" si="2"/>
        <v>7992.7720000000008</v>
      </c>
      <c r="E51" s="128">
        <f>'[2]Thu '!D82</f>
        <v>90.52</v>
      </c>
      <c r="F51" s="125">
        <f t="shared" si="3"/>
        <v>7881.643</v>
      </c>
      <c r="G51" s="128">
        <f>'[2]Thu '!E82</f>
        <v>7881.643</v>
      </c>
      <c r="H51" s="128">
        <f>'[2]Thu '!F82</f>
        <v>0</v>
      </c>
      <c r="I51" s="131">
        <f>'[2]Thu '!$G$82</f>
        <v>20.609000000000002</v>
      </c>
      <c r="J51" s="125">
        <f t="shared" si="1"/>
        <v>7992.7720000000008</v>
      </c>
      <c r="K51" s="128">
        <f>'[2]Phổ Yên'!$D$15</f>
        <v>7814.567</v>
      </c>
      <c r="L51" s="128"/>
      <c r="M51" s="128">
        <f>'[2]Phổ Yên'!$D$30</f>
        <v>157.596</v>
      </c>
      <c r="N51" s="128">
        <f>'[2]Phổ Yên'!$D$32</f>
        <v>20.609000000000002</v>
      </c>
    </row>
    <row r="52" spans="1:14" ht="21.9" customHeight="1">
      <c r="A52" s="126"/>
      <c r="B52" s="127" t="s">
        <v>504</v>
      </c>
      <c r="C52" s="128">
        <v>1560</v>
      </c>
      <c r="D52" s="128">
        <f t="shared" si="2"/>
        <v>7847</v>
      </c>
      <c r="E52" s="128">
        <f>'[2]Thu '!D37</f>
        <v>634</v>
      </c>
      <c r="F52" s="125">
        <f t="shared" si="3"/>
        <v>7213</v>
      </c>
      <c r="G52" s="128">
        <f>'[2]Thu '!E37</f>
        <v>4568</v>
      </c>
      <c r="H52" s="128">
        <f>'[2]Thu '!F37</f>
        <v>2645</v>
      </c>
      <c r="I52" s="131"/>
      <c r="J52" s="125">
        <f t="shared" si="1"/>
        <v>7847</v>
      </c>
      <c r="K52" s="128">
        <f>'[2]Đại Từ'!$D$15</f>
        <v>7739</v>
      </c>
      <c r="L52" s="128"/>
      <c r="M52" s="128">
        <f>'[2]Đại Từ'!$D$30</f>
        <v>108</v>
      </c>
      <c r="N52" s="128"/>
    </row>
    <row r="53" spans="1:14" ht="21.9" customHeight="1">
      <c r="A53" s="126"/>
      <c r="B53" s="127" t="s">
        <v>505</v>
      </c>
      <c r="C53" s="128">
        <v>10700</v>
      </c>
      <c r="D53" s="128">
        <f t="shared" si="2"/>
        <v>11962</v>
      </c>
      <c r="E53" s="128">
        <f>'[2]Thu '!D38</f>
        <v>6136</v>
      </c>
      <c r="F53" s="125">
        <f t="shared" si="3"/>
        <v>5826</v>
      </c>
      <c r="G53" s="128">
        <f>'[2]Thu '!E38</f>
        <v>2817</v>
      </c>
      <c r="H53" s="128">
        <f>'[2]Thu '!F38</f>
        <v>3009</v>
      </c>
      <c r="I53" s="131"/>
      <c r="J53" s="125">
        <f t="shared" si="1"/>
        <v>11962</v>
      </c>
      <c r="K53" s="128">
        <f>'[2]Đại Từ'!$E$15</f>
        <v>11795</v>
      </c>
      <c r="L53" s="128"/>
      <c r="M53" s="128">
        <f>'[2]Đại Từ'!$E$30</f>
        <v>167</v>
      </c>
      <c r="N53" s="128"/>
    </row>
    <row r="54" spans="1:14" s="26" customFormat="1" ht="21.9" customHeight="1">
      <c r="A54" s="123">
        <v>9</v>
      </c>
      <c r="B54" s="124" t="s">
        <v>412</v>
      </c>
      <c r="C54" s="125">
        <f>SUM(C55:C58)</f>
        <v>2082</v>
      </c>
      <c r="D54" s="128">
        <f t="shared" si="2"/>
        <v>37421</v>
      </c>
      <c r="E54" s="125">
        <f>SUM(E55:E58)</f>
        <v>891</v>
      </c>
      <c r="F54" s="125">
        <f t="shared" si="3"/>
        <v>36530</v>
      </c>
      <c r="G54" s="125">
        <f>SUM(G55:G58)</f>
        <v>22609</v>
      </c>
      <c r="H54" s="125">
        <f>SUM(H55:H58)</f>
        <v>13921</v>
      </c>
      <c r="I54" s="125">
        <f>SUM(I55:I58)</f>
        <v>0</v>
      </c>
      <c r="J54" s="125">
        <f t="shared" si="1"/>
        <v>37421</v>
      </c>
      <c r="K54" s="125">
        <f>SUM(K55:K58)</f>
        <v>36914</v>
      </c>
      <c r="L54" s="125">
        <f>'[2]Tổng '!R16</f>
        <v>0</v>
      </c>
      <c r="M54" s="125">
        <f>SUM(M55:M58)</f>
        <v>507</v>
      </c>
      <c r="N54" s="125">
        <f>'[2]Tổng '!T16</f>
        <v>0</v>
      </c>
    </row>
    <row r="55" spans="1:14" ht="21.9" customHeight="1">
      <c r="A55" s="126"/>
      <c r="B55" s="127" t="s">
        <v>506</v>
      </c>
      <c r="C55" s="128">
        <v>641</v>
      </c>
      <c r="D55" s="128">
        <f t="shared" si="2"/>
        <v>9905</v>
      </c>
      <c r="E55" s="128">
        <f>'[2]Thu '!D39</f>
        <v>302</v>
      </c>
      <c r="F55" s="125">
        <f t="shared" si="3"/>
        <v>9603</v>
      </c>
      <c r="G55" s="128">
        <f>'[2]Thu '!E39</f>
        <v>5796</v>
      </c>
      <c r="H55" s="128">
        <f>'[2]Thu '!F39</f>
        <v>3807</v>
      </c>
      <c r="I55" s="131"/>
      <c r="J55" s="125">
        <f t="shared" si="1"/>
        <v>9905</v>
      </c>
      <c r="K55" s="128">
        <f>'[2]Đại Từ'!$F$15</f>
        <v>9769</v>
      </c>
      <c r="L55" s="128"/>
      <c r="M55" s="128">
        <f>'[2]Đại Từ'!$F$30</f>
        <v>136</v>
      </c>
      <c r="N55" s="128"/>
    </row>
    <row r="56" spans="1:14" ht="21.9" customHeight="1">
      <c r="A56" s="126"/>
      <c r="B56" s="127" t="s">
        <v>507</v>
      </c>
      <c r="C56" s="128">
        <v>600</v>
      </c>
      <c r="D56" s="128">
        <f t="shared" si="2"/>
        <v>9495</v>
      </c>
      <c r="E56" s="128">
        <f>'[2]Thu '!D40</f>
        <v>280</v>
      </c>
      <c r="F56" s="125">
        <f t="shared" si="3"/>
        <v>9215</v>
      </c>
      <c r="G56" s="128">
        <f>'[2]Thu '!E40</f>
        <v>5966</v>
      </c>
      <c r="H56" s="128">
        <f>'[2]Thu '!F40</f>
        <v>3249</v>
      </c>
      <c r="I56" s="131"/>
      <c r="J56" s="125">
        <f t="shared" si="1"/>
        <v>9495</v>
      </c>
      <c r="K56" s="128">
        <f>'[2]Đại Từ'!$G$15</f>
        <v>9366</v>
      </c>
      <c r="L56" s="128"/>
      <c r="M56" s="128">
        <f>'[2]Đại Từ'!$G$30</f>
        <v>129</v>
      </c>
      <c r="N56" s="128"/>
    </row>
    <row r="57" spans="1:14" ht="21.9" customHeight="1">
      <c r="A57" s="126"/>
      <c r="B57" s="127" t="s">
        <v>508</v>
      </c>
      <c r="C57" s="128">
        <v>272</v>
      </c>
      <c r="D57" s="128">
        <f t="shared" si="2"/>
        <v>9942</v>
      </c>
      <c r="E57" s="128">
        <f>'[2]Thu '!D41</f>
        <v>125</v>
      </c>
      <c r="F57" s="125">
        <f t="shared" si="3"/>
        <v>9817</v>
      </c>
      <c r="G57" s="128">
        <f>'[2]Thu '!E41</f>
        <v>5991</v>
      </c>
      <c r="H57" s="128">
        <f>'[2]Thu '!F41</f>
        <v>3826</v>
      </c>
      <c r="I57" s="131"/>
      <c r="J57" s="125">
        <f t="shared" si="1"/>
        <v>9942</v>
      </c>
      <c r="K57" s="128">
        <f>'[2]Đại Từ'!$H$15</f>
        <v>9809</v>
      </c>
      <c r="L57" s="128"/>
      <c r="M57" s="128">
        <f>'[2]Đại Từ'!$H$30</f>
        <v>133</v>
      </c>
      <c r="N57" s="128"/>
    </row>
    <row r="58" spans="1:14" ht="21.9" customHeight="1">
      <c r="A58" s="126"/>
      <c r="B58" s="127" t="s">
        <v>509</v>
      </c>
      <c r="C58" s="128">
        <v>569</v>
      </c>
      <c r="D58" s="128">
        <f t="shared" si="2"/>
        <v>8079</v>
      </c>
      <c r="E58" s="128">
        <f>'[2]Thu '!D42</f>
        <v>184</v>
      </c>
      <c r="F58" s="125">
        <f t="shared" si="3"/>
        <v>7895</v>
      </c>
      <c r="G58" s="128">
        <f>'[2]Thu '!E42</f>
        <v>4856</v>
      </c>
      <c r="H58" s="128">
        <f>'[2]Thu '!F42</f>
        <v>3039</v>
      </c>
      <c r="I58" s="131"/>
      <c r="J58" s="125">
        <f t="shared" si="1"/>
        <v>8079</v>
      </c>
      <c r="K58" s="128">
        <f>'[2]Đại Từ'!$I$15</f>
        <v>7970</v>
      </c>
      <c r="L58" s="128"/>
      <c r="M58" s="128">
        <f>'[2]Đại Từ'!$I$30</f>
        <v>109</v>
      </c>
      <c r="N58" s="128"/>
    </row>
    <row r="59" spans="1:14" s="26" customFormat="1" ht="21.9" customHeight="1">
      <c r="A59" s="123">
        <v>10</v>
      </c>
      <c r="B59" s="124" t="s">
        <v>413</v>
      </c>
      <c r="C59" s="125">
        <f>SUM(C60:C62)</f>
        <v>545</v>
      </c>
      <c r="D59" s="128">
        <f t="shared" si="2"/>
        <v>23413</v>
      </c>
      <c r="E59" s="125">
        <f>SUM(E60:E62)</f>
        <v>272</v>
      </c>
      <c r="F59" s="125">
        <f t="shared" si="3"/>
        <v>23141</v>
      </c>
      <c r="G59" s="125">
        <f>SUM(G60:G62)</f>
        <v>14332</v>
      </c>
      <c r="H59" s="125">
        <f>SUM(H60:H62)</f>
        <v>8809</v>
      </c>
      <c r="I59" s="125">
        <f>SUM(I60:I62)</f>
        <v>0</v>
      </c>
      <c r="J59" s="125">
        <f t="shared" si="1"/>
        <v>23413</v>
      </c>
      <c r="K59" s="125">
        <f>SUM(K60:K62)</f>
        <v>23093</v>
      </c>
      <c r="L59" s="125">
        <f>'[2]Tổng '!R17</f>
        <v>0</v>
      </c>
      <c r="M59" s="125">
        <f>SUM(M60:M62)</f>
        <v>320</v>
      </c>
      <c r="N59" s="125">
        <f>'[2]Tổng '!T17</f>
        <v>0</v>
      </c>
    </row>
    <row r="60" spans="1:14" ht="21.9" customHeight="1">
      <c r="A60" s="126"/>
      <c r="B60" s="127" t="s">
        <v>510</v>
      </c>
      <c r="C60" s="128">
        <v>300</v>
      </c>
      <c r="D60" s="128">
        <f t="shared" si="2"/>
        <v>7925</v>
      </c>
      <c r="E60" s="128">
        <f>'[2]Thu '!D43</f>
        <v>164</v>
      </c>
      <c r="F60" s="125">
        <f t="shared" si="3"/>
        <v>7761</v>
      </c>
      <c r="G60" s="128">
        <f>'[2]Thu '!E43</f>
        <v>4733</v>
      </c>
      <c r="H60" s="128">
        <f>'[2]Thu '!F43</f>
        <v>3028</v>
      </c>
      <c r="I60" s="131"/>
      <c r="J60" s="125">
        <f t="shared" si="1"/>
        <v>7925</v>
      </c>
      <c r="K60" s="128">
        <f>'[2]Đại Từ'!$J$15</f>
        <v>7818</v>
      </c>
      <c r="L60" s="128"/>
      <c r="M60" s="128">
        <f>'[2]Đại Từ'!$J$30</f>
        <v>107</v>
      </c>
      <c r="N60" s="128"/>
    </row>
    <row r="61" spans="1:14" ht="21.9" customHeight="1">
      <c r="A61" s="126"/>
      <c r="B61" s="127" t="s">
        <v>511</v>
      </c>
      <c r="C61" s="128">
        <v>115</v>
      </c>
      <c r="D61" s="128">
        <f t="shared" si="2"/>
        <v>7147</v>
      </c>
      <c r="E61" s="128">
        <f>'[2]Thu '!D44</f>
        <v>55</v>
      </c>
      <c r="F61" s="125">
        <f t="shared" si="3"/>
        <v>7092</v>
      </c>
      <c r="G61" s="128">
        <f>'[2]Thu '!E44</f>
        <v>4509</v>
      </c>
      <c r="H61" s="128">
        <f>'[2]Thu '!F44</f>
        <v>2583</v>
      </c>
      <c r="I61" s="131"/>
      <c r="J61" s="125">
        <f t="shared" si="1"/>
        <v>7147</v>
      </c>
      <c r="K61" s="128">
        <f>'[2]Đại Từ'!$K$15</f>
        <v>7048</v>
      </c>
      <c r="L61" s="128"/>
      <c r="M61" s="128">
        <f>'[2]Đại Từ'!$K$30</f>
        <v>99</v>
      </c>
      <c r="N61" s="128"/>
    </row>
    <row r="62" spans="1:14" ht="21.9" customHeight="1">
      <c r="A62" s="126"/>
      <c r="B62" s="127" t="s">
        <v>512</v>
      </c>
      <c r="C62" s="128">
        <v>130</v>
      </c>
      <c r="D62" s="128">
        <f t="shared" si="2"/>
        <v>8341</v>
      </c>
      <c r="E62" s="128">
        <f>'[2]Thu '!D45</f>
        <v>53</v>
      </c>
      <c r="F62" s="125">
        <f t="shared" si="3"/>
        <v>8288</v>
      </c>
      <c r="G62" s="128">
        <f>'[2]Thu '!E45</f>
        <v>5090</v>
      </c>
      <c r="H62" s="128">
        <f>'[2]Thu '!F45</f>
        <v>3198</v>
      </c>
      <c r="I62" s="131"/>
      <c r="J62" s="125">
        <f t="shared" si="1"/>
        <v>8341</v>
      </c>
      <c r="K62" s="128">
        <f>'[2]Đại Từ'!$L$15</f>
        <v>8227</v>
      </c>
      <c r="L62" s="128"/>
      <c r="M62" s="128">
        <f>'[2]Đại Từ'!$L$30</f>
        <v>114</v>
      </c>
      <c r="N62" s="128"/>
    </row>
    <row r="63" spans="1:14" s="26" customFormat="1" ht="21.9" customHeight="1">
      <c r="A63" s="123">
        <v>11</v>
      </c>
      <c r="B63" s="124" t="s">
        <v>414</v>
      </c>
      <c r="C63" s="125">
        <f>SUM(C64:C66)</f>
        <v>1400</v>
      </c>
      <c r="D63" s="128">
        <f t="shared" si="2"/>
        <v>27743</v>
      </c>
      <c r="E63" s="125">
        <f>SUM(E64:E66)</f>
        <v>737</v>
      </c>
      <c r="F63" s="125">
        <f t="shared" si="3"/>
        <v>27006</v>
      </c>
      <c r="G63" s="125">
        <f>SUM(G64:G66)</f>
        <v>16481</v>
      </c>
      <c r="H63" s="125">
        <f>SUM(H64:H66)</f>
        <v>10525</v>
      </c>
      <c r="I63" s="125">
        <f>SUM(I64:I66)</f>
        <v>0</v>
      </c>
      <c r="J63" s="125">
        <f t="shared" si="1"/>
        <v>27743</v>
      </c>
      <c r="K63" s="125">
        <f>SUM(K64:K66)</f>
        <v>27364</v>
      </c>
      <c r="L63" s="125">
        <f>'[2]Tổng '!R18</f>
        <v>0</v>
      </c>
      <c r="M63" s="125">
        <f>SUM(M64:M66)</f>
        <v>379</v>
      </c>
      <c r="N63" s="125">
        <f>'[2]Tổng '!T18</f>
        <v>0</v>
      </c>
    </row>
    <row r="64" spans="1:14" ht="21.9" customHeight="1">
      <c r="A64" s="126"/>
      <c r="B64" s="127" t="s">
        <v>513</v>
      </c>
      <c r="C64" s="128">
        <v>300</v>
      </c>
      <c r="D64" s="128">
        <f t="shared" si="2"/>
        <v>7678</v>
      </c>
      <c r="E64" s="128">
        <f>'[2]Thu '!D46</f>
        <v>141</v>
      </c>
      <c r="F64" s="125">
        <f t="shared" si="3"/>
        <v>7537</v>
      </c>
      <c r="G64" s="128">
        <f>'[2]Thu '!E46</f>
        <v>4762</v>
      </c>
      <c r="H64" s="128">
        <f>'[2]Thu '!F46</f>
        <v>2775</v>
      </c>
      <c r="I64" s="131"/>
      <c r="J64" s="125">
        <f t="shared" si="1"/>
        <v>7678</v>
      </c>
      <c r="K64" s="128">
        <f>'[2]Đại Từ'!$M$15</f>
        <v>7571</v>
      </c>
      <c r="L64" s="128"/>
      <c r="M64" s="128">
        <f>'[2]Đại Từ'!$M$30</f>
        <v>107</v>
      </c>
      <c r="N64" s="128"/>
    </row>
    <row r="65" spans="1:14" ht="21.9" customHeight="1">
      <c r="A65" s="126"/>
      <c r="B65" s="127" t="s">
        <v>514</v>
      </c>
      <c r="C65" s="128">
        <v>800</v>
      </c>
      <c r="D65" s="128">
        <f t="shared" si="2"/>
        <v>10455</v>
      </c>
      <c r="E65" s="128">
        <f>'[2]Thu '!D47</f>
        <v>401</v>
      </c>
      <c r="F65" s="125">
        <f t="shared" si="3"/>
        <v>10054</v>
      </c>
      <c r="G65" s="128">
        <f>'[2]Thu '!E47</f>
        <v>5631</v>
      </c>
      <c r="H65" s="128">
        <f>'[2]Thu '!F47</f>
        <v>4423</v>
      </c>
      <c r="I65" s="131"/>
      <c r="J65" s="125">
        <f t="shared" si="1"/>
        <v>10455</v>
      </c>
      <c r="K65" s="128">
        <f>'[2]Đại Từ'!$N$15</f>
        <v>10316</v>
      </c>
      <c r="L65" s="128"/>
      <c r="M65" s="128">
        <f>'[2]Đại Từ'!$N$30</f>
        <v>139</v>
      </c>
      <c r="N65" s="128"/>
    </row>
    <row r="66" spans="1:14" ht="21.9" customHeight="1">
      <c r="A66" s="126"/>
      <c r="B66" s="127" t="s">
        <v>515</v>
      </c>
      <c r="C66" s="128">
        <v>300</v>
      </c>
      <c r="D66" s="128">
        <f t="shared" si="2"/>
        <v>9610</v>
      </c>
      <c r="E66" s="128">
        <f>'[2]Thu '!D48</f>
        <v>195</v>
      </c>
      <c r="F66" s="125">
        <f t="shared" si="3"/>
        <v>9415</v>
      </c>
      <c r="G66" s="128">
        <f>'[2]Thu '!E48</f>
        <v>6088</v>
      </c>
      <c r="H66" s="128">
        <f>'[2]Thu '!F48</f>
        <v>3327</v>
      </c>
      <c r="I66" s="131"/>
      <c r="J66" s="125">
        <f t="shared" si="1"/>
        <v>9610</v>
      </c>
      <c r="K66" s="128">
        <f>'[2]Đại Từ'!$O$15</f>
        <v>9477</v>
      </c>
      <c r="L66" s="128"/>
      <c r="M66" s="128">
        <f>'[2]Đại Từ'!$O$30</f>
        <v>133</v>
      </c>
      <c r="N66" s="128"/>
    </row>
    <row r="67" spans="1:14" s="26" customFormat="1" ht="21.9" customHeight="1">
      <c r="A67" s="123">
        <v>12</v>
      </c>
      <c r="B67" s="124" t="s">
        <v>415</v>
      </c>
      <c r="C67" s="125">
        <f>SUM(C68:C70)</f>
        <v>3185</v>
      </c>
      <c r="D67" s="128">
        <f t="shared" si="2"/>
        <v>25980</v>
      </c>
      <c r="E67" s="125">
        <f>SUM(E68:E70)</f>
        <v>1588</v>
      </c>
      <c r="F67" s="125">
        <f t="shared" si="3"/>
        <v>24392</v>
      </c>
      <c r="G67" s="125">
        <f>SUM(G68:G70)</f>
        <v>14700</v>
      </c>
      <c r="H67" s="125">
        <f>SUM(H68:H70)</f>
        <v>9692</v>
      </c>
      <c r="I67" s="125">
        <f>SUM(I68:I70)</f>
        <v>0</v>
      </c>
      <c r="J67" s="125">
        <f t="shared" si="1"/>
        <v>25980</v>
      </c>
      <c r="K67" s="125">
        <f>SUM(K68:K70)</f>
        <v>25617</v>
      </c>
      <c r="L67" s="125">
        <f>'[2]Tổng '!R19</f>
        <v>0</v>
      </c>
      <c r="M67" s="125">
        <f>SUM(M68:M70)</f>
        <v>363</v>
      </c>
      <c r="N67" s="125">
        <f>'[2]Tổng '!T19</f>
        <v>0</v>
      </c>
    </row>
    <row r="68" spans="1:14" ht="21.9" customHeight="1">
      <c r="A68" s="126"/>
      <c r="B68" s="127" t="s">
        <v>516</v>
      </c>
      <c r="C68" s="128">
        <v>345</v>
      </c>
      <c r="D68" s="128">
        <f t="shared" si="2"/>
        <v>7439</v>
      </c>
      <c r="E68" s="128">
        <f>'[2]Thu '!D49</f>
        <v>218</v>
      </c>
      <c r="F68" s="125">
        <f t="shared" si="3"/>
        <v>7221</v>
      </c>
      <c r="G68" s="128">
        <f>'[2]Thu '!E49</f>
        <v>4530</v>
      </c>
      <c r="H68" s="128">
        <f>'[2]Thu '!F49</f>
        <v>2691</v>
      </c>
      <c r="I68" s="131"/>
      <c r="J68" s="125">
        <f t="shared" si="1"/>
        <v>7439</v>
      </c>
      <c r="K68" s="128">
        <f>'[2]Đại Từ'!$P$15</f>
        <v>7334</v>
      </c>
      <c r="L68" s="128"/>
      <c r="M68" s="128">
        <f>'[2]Đại Từ'!$P$30</f>
        <v>105</v>
      </c>
      <c r="N68" s="128"/>
    </row>
    <row r="69" spans="1:14" ht="21.9" customHeight="1">
      <c r="A69" s="126"/>
      <c r="B69" s="127" t="s">
        <v>517</v>
      </c>
      <c r="C69" s="128">
        <v>460</v>
      </c>
      <c r="D69" s="128">
        <f t="shared" si="2"/>
        <v>9424</v>
      </c>
      <c r="E69" s="128">
        <f>'[2]Thu '!D50</f>
        <v>250</v>
      </c>
      <c r="F69" s="125">
        <f t="shared" si="3"/>
        <v>9174</v>
      </c>
      <c r="G69" s="128">
        <f>'[2]Thu '!E50</f>
        <v>5557</v>
      </c>
      <c r="H69" s="128">
        <f>'[2]Thu '!F50</f>
        <v>3617</v>
      </c>
      <c r="I69" s="131"/>
      <c r="J69" s="125">
        <f t="shared" si="1"/>
        <v>9424</v>
      </c>
      <c r="K69" s="128">
        <f>'[2]Đại Từ'!$Q$15</f>
        <v>9293</v>
      </c>
      <c r="L69" s="128"/>
      <c r="M69" s="128">
        <f>'[2]Đại Từ'!$Q$30</f>
        <v>131</v>
      </c>
      <c r="N69" s="128"/>
    </row>
    <row r="70" spans="1:14" ht="21.9" customHeight="1">
      <c r="A70" s="126"/>
      <c r="B70" s="127" t="s">
        <v>518</v>
      </c>
      <c r="C70" s="128">
        <v>2380</v>
      </c>
      <c r="D70" s="128">
        <f t="shared" si="2"/>
        <v>9117</v>
      </c>
      <c r="E70" s="128">
        <f>'[2]Thu '!D51</f>
        <v>1120</v>
      </c>
      <c r="F70" s="125">
        <f t="shared" si="3"/>
        <v>7997</v>
      </c>
      <c r="G70" s="128">
        <f>'[2]Thu '!E51</f>
        <v>4613</v>
      </c>
      <c r="H70" s="128">
        <f>'[2]Thu '!F51</f>
        <v>3384</v>
      </c>
      <c r="I70" s="131"/>
      <c r="J70" s="125">
        <f t="shared" si="1"/>
        <v>9117</v>
      </c>
      <c r="K70" s="128">
        <f>'[2]Đại Từ'!$R$15</f>
        <v>8990</v>
      </c>
      <c r="L70" s="128"/>
      <c r="M70" s="128">
        <f>'[2]Đại Từ'!$R$30</f>
        <v>127</v>
      </c>
      <c r="N70" s="128"/>
    </row>
    <row r="71" spans="1:14" s="26" customFormat="1" ht="21.9" customHeight="1">
      <c r="A71" s="123">
        <v>13</v>
      </c>
      <c r="B71" s="124" t="s">
        <v>416</v>
      </c>
      <c r="C71" s="125">
        <f>SUM(C72:C74)</f>
        <v>1540</v>
      </c>
      <c r="D71" s="128">
        <f t="shared" si="2"/>
        <v>28822</v>
      </c>
      <c r="E71" s="125">
        <f>SUM(E72:E74)</f>
        <v>658</v>
      </c>
      <c r="F71" s="125">
        <f t="shared" si="3"/>
        <v>28164</v>
      </c>
      <c r="G71" s="125">
        <f>SUM(G72:G74)</f>
        <v>17233</v>
      </c>
      <c r="H71" s="125">
        <f>SUM(H72:H74)</f>
        <v>10931</v>
      </c>
      <c r="I71" s="125">
        <f>SUM(I72:I74)</f>
        <v>0</v>
      </c>
      <c r="J71" s="125">
        <f t="shared" si="1"/>
        <v>28822</v>
      </c>
      <c r="K71" s="125">
        <f>SUM(K72:K74)</f>
        <v>28425</v>
      </c>
      <c r="L71" s="125">
        <f>'[2]Tổng '!R20</f>
        <v>0</v>
      </c>
      <c r="M71" s="125">
        <f>SUM(M72:M74)</f>
        <v>397</v>
      </c>
      <c r="N71" s="125">
        <f>'[2]Tổng '!T20</f>
        <v>0</v>
      </c>
    </row>
    <row r="72" spans="1:14" ht="21.9" customHeight="1">
      <c r="A72" s="126"/>
      <c r="B72" s="127" t="s">
        <v>519</v>
      </c>
      <c r="C72" s="128">
        <v>410</v>
      </c>
      <c r="D72" s="128">
        <f t="shared" si="2"/>
        <v>9924</v>
      </c>
      <c r="E72" s="128">
        <f>'[2]Thu '!D52</f>
        <v>175</v>
      </c>
      <c r="F72" s="125">
        <f t="shared" si="3"/>
        <v>9749</v>
      </c>
      <c r="G72" s="128">
        <f>'[2]Thu '!E52</f>
        <v>6001</v>
      </c>
      <c r="H72" s="128">
        <f>'[2]Thu '!F52</f>
        <v>3748</v>
      </c>
      <c r="I72" s="131"/>
      <c r="J72" s="125">
        <f t="shared" si="1"/>
        <v>9924</v>
      </c>
      <c r="K72" s="128">
        <f>'[2]Đại Từ'!$S$15</f>
        <v>9786</v>
      </c>
      <c r="L72" s="128"/>
      <c r="M72" s="128">
        <f>'[2]Đại Từ'!$S$30</f>
        <v>138</v>
      </c>
      <c r="N72" s="128"/>
    </row>
    <row r="73" spans="1:14" ht="21.9" customHeight="1">
      <c r="A73" s="126"/>
      <c r="B73" s="127" t="s">
        <v>520</v>
      </c>
      <c r="C73" s="128">
        <v>600</v>
      </c>
      <c r="D73" s="128">
        <f t="shared" si="2"/>
        <v>9126</v>
      </c>
      <c r="E73" s="128">
        <f>'[2]Thu '!D53</f>
        <v>236</v>
      </c>
      <c r="F73" s="125">
        <f t="shared" si="3"/>
        <v>8890</v>
      </c>
      <c r="G73" s="128">
        <f>'[2]Thu '!E53</f>
        <v>5591</v>
      </c>
      <c r="H73" s="128">
        <f>'[2]Thu '!F53</f>
        <v>3299</v>
      </c>
      <c r="I73" s="131"/>
      <c r="J73" s="125">
        <f t="shared" si="1"/>
        <v>9126</v>
      </c>
      <c r="K73" s="128">
        <f>'[2]Đại Từ'!$T$15</f>
        <v>9000</v>
      </c>
      <c r="L73" s="128"/>
      <c r="M73" s="128">
        <f>'[2]Đại Từ'!$T$30</f>
        <v>126</v>
      </c>
      <c r="N73" s="128"/>
    </row>
    <row r="74" spans="1:14" ht="21.9" customHeight="1">
      <c r="A74" s="126"/>
      <c r="B74" s="127" t="s">
        <v>521</v>
      </c>
      <c r="C74" s="128">
        <v>530</v>
      </c>
      <c r="D74" s="128">
        <f t="shared" si="2"/>
        <v>9772</v>
      </c>
      <c r="E74" s="128">
        <f>'[2]Thu '!D54</f>
        <v>247</v>
      </c>
      <c r="F74" s="125">
        <f t="shared" si="3"/>
        <v>9525</v>
      </c>
      <c r="G74" s="128">
        <f>'[2]Thu '!E54</f>
        <v>5641</v>
      </c>
      <c r="H74" s="128">
        <f>'[2]Thu '!F54</f>
        <v>3884</v>
      </c>
      <c r="I74" s="131"/>
      <c r="J74" s="125">
        <f t="shared" si="1"/>
        <v>9772</v>
      </c>
      <c r="K74" s="128">
        <f>'[2]Đại Từ'!$U$15</f>
        <v>9639</v>
      </c>
      <c r="L74" s="128"/>
      <c r="M74" s="128">
        <f>'[2]Đại Từ'!$U$30</f>
        <v>133</v>
      </c>
      <c r="N74" s="128"/>
    </row>
    <row r="75" spans="1:14" s="26" customFormat="1" ht="21.9" customHeight="1">
      <c r="A75" s="123">
        <v>14</v>
      </c>
      <c r="B75" s="124" t="s">
        <v>417</v>
      </c>
      <c r="C75" s="125">
        <f>SUM(C76:C78)</f>
        <v>2179</v>
      </c>
      <c r="D75" s="128">
        <f t="shared" si="2"/>
        <v>28472</v>
      </c>
      <c r="E75" s="125">
        <f>SUM(E76:E78)</f>
        <v>1056</v>
      </c>
      <c r="F75" s="125">
        <f t="shared" si="3"/>
        <v>27416</v>
      </c>
      <c r="G75" s="125">
        <f>SUM(G76:G78)</f>
        <v>15790</v>
      </c>
      <c r="H75" s="125">
        <f>SUM(H76:H78)</f>
        <v>11626</v>
      </c>
      <c r="I75" s="125">
        <f>SUM(I76:I78)</f>
        <v>0</v>
      </c>
      <c r="J75" s="125">
        <f t="shared" ref="J75:J138" si="4">SUM(K75:N75)</f>
        <v>28472</v>
      </c>
      <c r="K75" s="125">
        <f>SUM(K76:K78)</f>
        <v>28084</v>
      </c>
      <c r="L75" s="125">
        <f>'[2]Tổng '!R21</f>
        <v>0</v>
      </c>
      <c r="M75" s="125">
        <f>SUM(M76:M78)</f>
        <v>388</v>
      </c>
      <c r="N75" s="125">
        <f>'[2]Tổng '!T21</f>
        <v>0</v>
      </c>
    </row>
    <row r="76" spans="1:14" ht="21.9" customHeight="1">
      <c r="A76" s="126"/>
      <c r="B76" s="127" t="s">
        <v>522</v>
      </c>
      <c r="C76" s="128">
        <v>500</v>
      </c>
      <c r="D76" s="128">
        <f t="shared" ref="D76:D139" si="5">E76+F76+I76</f>
        <v>9375</v>
      </c>
      <c r="E76" s="128">
        <f>'[2]Thu '!D55</f>
        <v>184</v>
      </c>
      <c r="F76" s="125">
        <f t="shared" ref="F76:F139" si="6">SUM(G76:H76)</f>
        <v>9191</v>
      </c>
      <c r="G76" s="128">
        <f>'[2]Thu '!E55</f>
        <v>5500</v>
      </c>
      <c r="H76" s="128">
        <f>'[2]Thu '!F55</f>
        <v>3691</v>
      </c>
      <c r="I76" s="131"/>
      <c r="J76" s="125">
        <f t="shared" si="4"/>
        <v>9375</v>
      </c>
      <c r="K76" s="128">
        <f>'[2]Đại Từ'!$V$15</f>
        <v>9249</v>
      </c>
      <c r="L76" s="128"/>
      <c r="M76" s="128">
        <f>'[2]Đại Từ'!$V$30</f>
        <v>126</v>
      </c>
      <c r="N76" s="128"/>
    </row>
    <row r="77" spans="1:14" ht="21.9" customHeight="1">
      <c r="A77" s="126"/>
      <c r="B77" s="127" t="s">
        <v>523</v>
      </c>
      <c r="C77" s="128">
        <v>780</v>
      </c>
      <c r="D77" s="128">
        <f t="shared" si="5"/>
        <v>9495</v>
      </c>
      <c r="E77" s="128">
        <f>'[2]Thu '!D56</f>
        <v>323</v>
      </c>
      <c r="F77" s="125">
        <f t="shared" si="6"/>
        <v>9172</v>
      </c>
      <c r="G77" s="128">
        <f>'[2]Thu '!E56</f>
        <v>5574</v>
      </c>
      <c r="H77" s="128">
        <f>'[2]Thu '!F56</f>
        <v>3598</v>
      </c>
      <c r="I77" s="131"/>
      <c r="J77" s="125">
        <f t="shared" si="4"/>
        <v>9495</v>
      </c>
      <c r="K77" s="128">
        <f>'[2]Đại Từ'!$W$15</f>
        <v>9363</v>
      </c>
      <c r="L77" s="128"/>
      <c r="M77" s="128">
        <f>'[2]Đại Từ'!$W$30</f>
        <v>132</v>
      </c>
      <c r="N77" s="128"/>
    </row>
    <row r="78" spans="1:14" ht="21.9" customHeight="1">
      <c r="A78" s="126"/>
      <c r="B78" s="127" t="s">
        <v>524</v>
      </c>
      <c r="C78" s="128">
        <v>899</v>
      </c>
      <c r="D78" s="128">
        <f t="shared" si="5"/>
        <v>9602</v>
      </c>
      <c r="E78" s="128">
        <f>'[2]Thu '!D57</f>
        <v>549</v>
      </c>
      <c r="F78" s="125">
        <f t="shared" si="6"/>
        <v>9053</v>
      </c>
      <c r="G78" s="128">
        <f>'[2]Thu '!E57</f>
        <v>4716</v>
      </c>
      <c r="H78" s="128">
        <f>'[2]Thu '!F57</f>
        <v>4337</v>
      </c>
      <c r="I78" s="131"/>
      <c r="J78" s="125">
        <f t="shared" si="4"/>
        <v>9602</v>
      </c>
      <c r="K78" s="128">
        <f>'[2]Đại Từ'!$X$15</f>
        <v>9472</v>
      </c>
      <c r="L78" s="128"/>
      <c r="M78" s="128">
        <f>'[2]Đại Từ'!$X$30</f>
        <v>130</v>
      </c>
      <c r="N78" s="128"/>
    </row>
    <row r="79" spans="1:14" s="26" customFormat="1" ht="21.9" customHeight="1">
      <c r="A79" s="123">
        <v>15</v>
      </c>
      <c r="B79" s="124" t="s">
        <v>418</v>
      </c>
      <c r="C79" s="125">
        <f>SUM(C80:C81)</f>
        <v>2431</v>
      </c>
      <c r="D79" s="128">
        <f t="shared" si="5"/>
        <v>20000</v>
      </c>
      <c r="E79" s="125">
        <f>SUM(E80:E81)</f>
        <v>1004</v>
      </c>
      <c r="F79" s="125">
        <f t="shared" si="6"/>
        <v>18996</v>
      </c>
      <c r="G79" s="125">
        <f>SUM(G80:G81)</f>
        <v>11987</v>
      </c>
      <c r="H79" s="125">
        <f>SUM(H80:H81)</f>
        <v>7009</v>
      </c>
      <c r="I79" s="125">
        <f>SUM(I80:I81)</f>
        <v>0</v>
      </c>
      <c r="J79" s="125">
        <f t="shared" si="4"/>
        <v>20000</v>
      </c>
      <c r="K79" s="125">
        <f>SUM(K80:K81)</f>
        <v>19726</v>
      </c>
      <c r="L79" s="125">
        <f>'[2]Tổng '!R22</f>
        <v>0</v>
      </c>
      <c r="M79" s="125">
        <f>SUM(M80:M81)</f>
        <v>274</v>
      </c>
      <c r="N79" s="125">
        <f>'[2]Tổng '!T22</f>
        <v>0</v>
      </c>
    </row>
    <row r="80" spans="1:14" ht="21.9" customHeight="1">
      <c r="A80" s="126"/>
      <c r="B80" s="127" t="s">
        <v>525</v>
      </c>
      <c r="C80" s="128">
        <v>2031</v>
      </c>
      <c r="D80" s="128">
        <f t="shared" si="5"/>
        <v>11583</v>
      </c>
      <c r="E80" s="128">
        <f>'[2]Thu '!D58</f>
        <v>858</v>
      </c>
      <c r="F80" s="125">
        <f t="shared" si="6"/>
        <v>10725</v>
      </c>
      <c r="G80" s="128">
        <f>'[2]Thu '!E58</f>
        <v>6757</v>
      </c>
      <c r="H80" s="128">
        <f>'[2]Thu '!F58</f>
        <v>3968</v>
      </c>
      <c r="I80" s="131"/>
      <c r="J80" s="125">
        <f t="shared" si="4"/>
        <v>11583</v>
      </c>
      <c r="K80" s="128">
        <f>'[2]Đại Từ'!$Y$15</f>
        <v>11427</v>
      </c>
      <c r="L80" s="128"/>
      <c r="M80" s="128">
        <f>'[2]Đại Từ'!$Y$30</f>
        <v>156</v>
      </c>
      <c r="N80" s="128"/>
    </row>
    <row r="81" spans="1:14" ht="21.9" customHeight="1">
      <c r="A81" s="126"/>
      <c r="B81" s="127" t="s">
        <v>526</v>
      </c>
      <c r="C81" s="128">
        <v>400</v>
      </c>
      <c r="D81" s="128">
        <f t="shared" si="5"/>
        <v>8417</v>
      </c>
      <c r="E81" s="128">
        <f>'[2]Thu '!D59</f>
        <v>146</v>
      </c>
      <c r="F81" s="125">
        <f t="shared" si="6"/>
        <v>8271</v>
      </c>
      <c r="G81" s="128">
        <f>'[2]Thu '!E59</f>
        <v>5230</v>
      </c>
      <c r="H81" s="128">
        <f>'[2]Thu '!F59</f>
        <v>3041</v>
      </c>
      <c r="I81" s="131"/>
      <c r="J81" s="125">
        <f t="shared" si="4"/>
        <v>8417</v>
      </c>
      <c r="K81" s="128">
        <f>'[2]Đại Từ'!$Z$15</f>
        <v>8299</v>
      </c>
      <c r="L81" s="128"/>
      <c r="M81" s="128">
        <f>'[2]Đại Từ'!$Z$30</f>
        <v>118</v>
      </c>
      <c r="N81" s="128"/>
    </row>
    <row r="82" spans="1:14" s="26" customFormat="1" ht="21.9" customHeight="1">
      <c r="A82" s="123">
        <v>16</v>
      </c>
      <c r="B82" s="124" t="s">
        <v>419</v>
      </c>
      <c r="C82" s="125">
        <f>SUM(C83:C84)</f>
        <v>3500</v>
      </c>
      <c r="D82" s="128">
        <f t="shared" si="5"/>
        <v>23816</v>
      </c>
      <c r="E82" s="125">
        <f>SUM(E83:E84)</f>
        <v>1937</v>
      </c>
      <c r="F82" s="125">
        <f t="shared" si="6"/>
        <v>21879</v>
      </c>
      <c r="G82" s="125">
        <f>SUM(G83:G84)</f>
        <v>15708</v>
      </c>
      <c r="H82" s="125">
        <f>SUM(H83:H84)</f>
        <v>6171</v>
      </c>
      <c r="I82" s="125">
        <f>SUM(I83:I84)</f>
        <v>0</v>
      </c>
      <c r="J82" s="125">
        <f t="shared" si="4"/>
        <v>23817</v>
      </c>
      <c r="K82" s="125">
        <f>SUM(K83:K84)</f>
        <v>23495</v>
      </c>
      <c r="L82" s="125">
        <f>'[2]Tổng '!R23</f>
        <v>0</v>
      </c>
      <c r="M82" s="125">
        <f>SUM(M83:M84)</f>
        <v>322</v>
      </c>
      <c r="N82" s="125">
        <f>'[2]Tổng '!T23</f>
        <v>0</v>
      </c>
    </row>
    <row r="83" spans="1:14" ht="21.9" customHeight="1">
      <c r="A83" s="126"/>
      <c r="B83" s="127" t="s">
        <v>527</v>
      </c>
      <c r="C83" s="128">
        <v>3150</v>
      </c>
      <c r="D83" s="128">
        <f t="shared" si="5"/>
        <v>13706</v>
      </c>
      <c r="E83" s="128">
        <f>'[2]Thu '!D60</f>
        <v>1769</v>
      </c>
      <c r="F83" s="125">
        <f t="shared" si="6"/>
        <v>11937</v>
      </c>
      <c r="G83" s="128">
        <f>'[2]Thu '!E60</f>
        <v>9508</v>
      </c>
      <c r="H83" s="128">
        <f>'[2]Thu '!F60</f>
        <v>2429</v>
      </c>
      <c r="I83" s="131"/>
      <c r="J83" s="125">
        <f t="shared" si="4"/>
        <v>13706</v>
      </c>
      <c r="K83" s="128">
        <f>'[2]Đại Từ'!$AA$15</f>
        <v>13522</v>
      </c>
      <c r="L83" s="128"/>
      <c r="M83" s="128">
        <f>'[2]Đại Từ'!$AA$30</f>
        <v>184</v>
      </c>
      <c r="N83" s="128"/>
    </row>
    <row r="84" spans="1:14" ht="21.9" customHeight="1">
      <c r="A84" s="126"/>
      <c r="B84" s="127" t="s">
        <v>528</v>
      </c>
      <c r="C84" s="128">
        <v>350</v>
      </c>
      <c r="D84" s="128">
        <f t="shared" si="5"/>
        <v>10110</v>
      </c>
      <c r="E84" s="128">
        <f>'[2]Thu '!D61</f>
        <v>168</v>
      </c>
      <c r="F84" s="125">
        <f t="shared" si="6"/>
        <v>9942</v>
      </c>
      <c r="G84" s="128">
        <f>'[2]Thu '!E61</f>
        <v>6200</v>
      </c>
      <c r="H84" s="128">
        <f>'[2]Thu '!F61</f>
        <v>3742</v>
      </c>
      <c r="I84" s="131"/>
      <c r="J84" s="125">
        <f t="shared" si="4"/>
        <v>10111</v>
      </c>
      <c r="K84" s="128">
        <f>'[2]Đại Từ'!$AB$15</f>
        <v>9973</v>
      </c>
      <c r="L84" s="128"/>
      <c r="M84" s="128">
        <f>'[2]Đại Từ'!$AB$30</f>
        <v>138</v>
      </c>
      <c r="N84" s="128"/>
    </row>
    <row r="85" spans="1:14" s="26" customFormat="1" ht="21.9" customHeight="1">
      <c r="A85" s="123">
        <v>17</v>
      </c>
      <c r="B85" s="124" t="s">
        <v>420</v>
      </c>
      <c r="C85" s="125">
        <f>SUM(C86:C87)</f>
        <v>2193</v>
      </c>
      <c r="D85" s="128">
        <f t="shared" si="5"/>
        <v>24119</v>
      </c>
      <c r="E85" s="125">
        <f>SUM(E86:E87)</f>
        <v>1250</v>
      </c>
      <c r="F85" s="125">
        <f t="shared" si="6"/>
        <v>22869</v>
      </c>
      <c r="G85" s="125">
        <f>SUM(G86:G87)</f>
        <v>14072</v>
      </c>
      <c r="H85" s="125">
        <f>SUM(H86:H87)</f>
        <v>8797</v>
      </c>
      <c r="I85" s="125">
        <f>SUM(I86:I87)</f>
        <v>0</v>
      </c>
      <c r="J85" s="125">
        <f t="shared" si="4"/>
        <v>24119</v>
      </c>
      <c r="K85" s="125">
        <f>SUM(K86:K87)</f>
        <v>23784</v>
      </c>
      <c r="L85" s="125">
        <f>'[2]Tổng '!R24</f>
        <v>0</v>
      </c>
      <c r="M85" s="125">
        <f>SUM(M86:M87)</f>
        <v>335</v>
      </c>
      <c r="N85" s="125">
        <f>'[2]Tổng '!T24</f>
        <v>0</v>
      </c>
    </row>
    <row r="86" spans="1:14" ht="21.9" customHeight="1">
      <c r="A86" s="126"/>
      <c r="B86" s="127" t="s">
        <v>529</v>
      </c>
      <c r="C86" s="128">
        <v>1560</v>
      </c>
      <c r="D86" s="128">
        <f t="shared" si="5"/>
        <v>12697</v>
      </c>
      <c r="E86" s="128">
        <f>'[2]Thu '!D62</f>
        <v>891</v>
      </c>
      <c r="F86" s="125">
        <f t="shared" si="6"/>
        <v>11806</v>
      </c>
      <c r="G86" s="128">
        <f>'[2]Thu '!E62</f>
        <v>7361</v>
      </c>
      <c r="H86" s="128">
        <f>'[2]Thu '!F62</f>
        <v>4445</v>
      </c>
      <c r="I86" s="131"/>
      <c r="J86" s="125">
        <f t="shared" si="4"/>
        <v>12697</v>
      </c>
      <c r="K86" s="128">
        <f>'[2]Đại Từ'!$AC$15</f>
        <v>12520</v>
      </c>
      <c r="L86" s="128"/>
      <c r="M86" s="128">
        <f>'[2]Đại Từ'!$AC$30</f>
        <v>177</v>
      </c>
      <c r="N86" s="128"/>
    </row>
    <row r="87" spans="1:14" ht="21.9" customHeight="1">
      <c r="A87" s="126"/>
      <c r="B87" s="127" t="s">
        <v>530</v>
      </c>
      <c r="C87" s="128">
        <v>633</v>
      </c>
      <c r="D87" s="128">
        <f t="shared" si="5"/>
        <v>11422</v>
      </c>
      <c r="E87" s="128">
        <f>'[2]Thu '!D63</f>
        <v>359</v>
      </c>
      <c r="F87" s="125">
        <f t="shared" si="6"/>
        <v>11063</v>
      </c>
      <c r="G87" s="128">
        <f>'[2]Thu '!E63</f>
        <v>6711</v>
      </c>
      <c r="H87" s="128">
        <f>'[2]Thu '!F63</f>
        <v>4352</v>
      </c>
      <c r="I87" s="131"/>
      <c r="J87" s="125">
        <f t="shared" si="4"/>
        <v>11422</v>
      </c>
      <c r="K87" s="128">
        <f>'[2]Đại Từ'!$AD$15</f>
        <v>11264</v>
      </c>
      <c r="L87" s="128"/>
      <c r="M87" s="128">
        <f>'[2]Đại Từ'!$AD$30</f>
        <v>158</v>
      </c>
      <c r="N87" s="128"/>
    </row>
    <row r="88" spans="1:14" s="26" customFormat="1" ht="21.9" customHeight="1">
      <c r="A88" s="123">
        <v>18</v>
      </c>
      <c r="B88" s="124" t="s">
        <v>421</v>
      </c>
      <c r="C88" s="125">
        <f>SUM(C89:C92)</f>
        <v>14140</v>
      </c>
      <c r="D88" s="128">
        <f t="shared" si="5"/>
        <v>36424.551000000007</v>
      </c>
      <c r="E88" s="125">
        <f>SUM(E89:E92)</f>
        <v>3443.76</v>
      </c>
      <c r="F88" s="125">
        <f t="shared" si="6"/>
        <v>29221.760000000002</v>
      </c>
      <c r="G88" s="125">
        <f>SUM(G89:G92)</f>
        <v>29221.760000000002</v>
      </c>
      <c r="H88" s="125">
        <f>SUM(H89:H92)</f>
        <v>0</v>
      </c>
      <c r="I88" s="125">
        <f>SUM(I89:I92)</f>
        <v>3759.0309999999995</v>
      </c>
      <c r="J88" s="125">
        <f t="shared" si="4"/>
        <v>36424.550999999999</v>
      </c>
      <c r="K88" s="125">
        <f>SUM(K89:K92)</f>
        <v>31946.938000000002</v>
      </c>
      <c r="L88" s="125">
        <f>'[2]Tổng '!R25</f>
        <v>0</v>
      </c>
      <c r="M88" s="125">
        <f>SUM(M89:M92)</f>
        <v>718.58199999999999</v>
      </c>
      <c r="N88" s="125">
        <f>SUM(N89:N92)</f>
        <v>3759.0309999999995</v>
      </c>
    </row>
    <row r="89" spans="1:14" ht="21.9" customHeight="1">
      <c r="A89" s="126"/>
      <c r="B89" s="127" t="s">
        <v>531</v>
      </c>
      <c r="C89" s="128">
        <v>10840</v>
      </c>
      <c r="D89" s="128">
        <f t="shared" si="5"/>
        <v>9554.280999999999</v>
      </c>
      <c r="E89" s="128">
        <f>'[2]Thu '!D65</f>
        <v>1514</v>
      </c>
      <c r="F89" s="125">
        <f t="shared" si="6"/>
        <v>7790.9579999999996</v>
      </c>
      <c r="G89" s="128">
        <f>'[2]Thu '!E65</f>
        <v>7790.9579999999996</v>
      </c>
      <c r="H89" s="128">
        <f>'[2]Thu '!F65</f>
        <v>0</v>
      </c>
      <c r="I89" s="131">
        <f>'[2]Thu '!G65</f>
        <v>249.32300000000001</v>
      </c>
      <c r="J89" s="125">
        <f t="shared" si="4"/>
        <v>9554.280999999999</v>
      </c>
      <c r="K89" s="128">
        <f>'[2]Phổ Yên'!$E$15</f>
        <v>9116.6409999999996</v>
      </c>
      <c r="L89" s="128"/>
      <c r="M89" s="128">
        <f>'[2]Phổ Yên'!$E$30</f>
        <v>188.31700000000001</v>
      </c>
      <c r="N89" s="128">
        <f>'[2]Phổ Yên'!$E$32</f>
        <v>249.32300000000001</v>
      </c>
    </row>
    <row r="90" spans="1:14" ht="21.9" customHeight="1">
      <c r="A90" s="126"/>
      <c r="B90" s="127" t="s">
        <v>532</v>
      </c>
      <c r="C90" s="128">
        <v>2040</v>
      </c>
      <c r="D90" s="128">
        <f t="shared" si="5"/>
        <v>9721.4840000000004</v>
      </c>
      <c r="E90" s="128">
        <f>'[2]Thu '!D66</f>
        <v>1132.8</v>
      </c>
      <c r="F90" s="125">
        <f t="shared" si="6"/>
        <v>5726.2849999999999</v>
      </c>
      <c r="G90" s="128">
        <f>'[2]Thu '!E66</f>
        <v>5726.2849999999999</v>
      </c>
      <c r="H90" s="128">
        <f>'[2]Thu '!F66</f>
        <v>0</v>
      </c>
      <c r="I90" s="131">
        <f>'[2]Thu '!G66</f>
        <v>2862.3989999999999</v>
      </c>
      <c r="J90" s="125">
        <f t="shared" si="4"/>
        <v>9721.4839999999986</v>
      </c>
      <c r="K90" s="128">
        <f>'[2]Phổ Yên'!$F$15</f>
        <v>6667.1809999999996</v>
      </c>
      <c r="L90" s="128"/>
      <c r="M90" s="128">
        <f>'[2]Phổ Yên'!$F$30</f>
        <v>191.904</v>
      </c>
      <c r="N90" s="128">
        <f>'[2]Phổ Yên'!$F$32</f>
        <v>2862.3989999999999</v>
      </c>
    </row>
    <row r="91" spans="1:14" ht="21.9" customHeight="1">
      <c r="A91" s="126"/>
      <c r="B91" s="127" t="s">
        <v>533</v>
      </c>
      <c r="C91" s="128">
        <v>515</v>
      </c>
      <c r="D91" s="128">
        <f t="shared" si="5"/>
        <v>7728.6490000000003</v>
      </c>
      <c r="E91" s="128">
        <f>'[2]Thu '!D67</f>
        <v>323</v>
      </c>
      <c r="F91" s="125">
        <f t="shared" si="6"/>
        <v>7004.04</v>
      </c>
      <c r="G91" s="128">
        <f>'[2]Thu '!E67</f>
        <v>7004.04</v>
      </c>
      <c r="H91" s="128">
        <f>'[2]Thu '!F67</f>
        <v>0</v>
      </c>
      <c r="I91" s="131">
        <f>'[2]Thu '!G67</f>
        <v>401.60899999999998</v>
      </c>
      <c r="J91" s="125">
        <f t="shared" si="4"/>
        <v>7728.6490000000003</v>
      </c>
      <c r="K91" s="128">
        <f>'[2]Phổ Yên'!$G$15</f>
        <v>7174.4679999999998</v>
      </c>
      <c r="L91" s="128"/>
      <c r="M91" s="128">
        <f>'[2]Phổ Yên'!$G$30</f>
        <v>152.572</v>
      </c>
      <c r="N91" s="128">
        <f>'[2]Phổ Yên'!$G$32</f>
        <v>401.60899999999998</v>
      </c>
    </row>
    <row r="92" spans="1:14" ht="21.9" customHeight="1">
      <c r="A92" s="126"/>
      <c r="B92" s="127" t="s">
        <v>534</v>
      </c>
      <c r="C92" s="128">
        <v>745</v>
      </c>
      <c r="D92" s="128">
        <f t="shared" si="5"/>
        <v>9420.1370000000006</v>
      </c>
      <c r="E92" s="128">
        <f>'[2]Thu '!D68</f>
        <v>473.96</v>
      </c>
      <c r="F92" s="125">
        <f t="shared" si="6"/>
        <v>8700.4770000000008</v>
      </c>
      <c r="G92" s="128">
        <f>'[2]Thu '!E68</f>
        <v>8700.4770000000008</v>
      </c>
      <c r="H92" s="128">
        <f>'[2]Thu '!F68</f>
        <v>0</v>
      </c>
      <c r="I92" s="131">
        <f>'[2]Thu '!G68</f>
        <v>245.7</v>
      </c>
      <c r="J92" s="125">
        <f t="shared" si="4"/>
        <v>9420.1370000000006</v>
      </c>
      <c r="K92" s="128">
        <f>'[2]Phổ Yên'!$H$15</f>
        <v>8988.6479999999992</v>
      </c>
      <c r="L92" s="128"/>
      <c r="M92" s="128">
        <f>'[2]Phổ Yên'!$H$30</f>
        <v>185.78899999999999</v>
      </c>
      <c r="N92" s="128">
        <f>'[2]Phổ Yên'!$H$32</f>
        <v>245.7</v>
      </c>
    </row>
    <row r="93" spans="1:14" s="26" customFormat="1" ht="21.9" customHeight="1">
      <c r="A93" s="123">
        <v>19</v>
      </c>
      <c r="B93" s="124" t="s">
        <v>422</v>
      </c>
      <c r="C93" s="125">
        <f>SUM(C94:C97)</f>
        <v>7077</v>
      </c>
      <c r="D93" s="128">
        <f t="shared" si="5"/>
        <v>38904.909</v>
      </c>
      <c r="E93" s="125">
        <f>SUM(E94:E97)</f>
        <v>4075.12</v>
      </c>
      <c r="F93" s="125">
        <f t="shared" si="6"/>
        <v>31189.966</v>
      </c>
      <c r="G93" s="125">
        <f>SUM(G94:G97)</f>
        <v>31189.966</v>
      </c>
      <c r="H93" s="125">
        <f>SUM(H94:H97)</f>
        <v>0</v>
      </c>
      <c r="I93" s="125">
        <f>SUM(I94:I97)</f>
        <v>3639.8229999999999</v>
      </c>
      <c r="J93" s="125">
        <f t="shared" si="4"/>
        <v>38904.909</v>
      </c>
      <c r="K93" s="125">
        <f>SUM(K94:K97)</f>
        <v>34497.766000000003</v>
      </c>
      <c r="L93" s="125">
        <f>'[2]Tổng '!R26</f>
        <v>0</v>
      </c>
      <c r="M93" s="125">
        <f>SUM(M94:M97)</f>
        <v>767.32</v>
      </c>
      <c r="N93" s="125">
        <f>SUM(N94:N97)</f>
        <v>3639.8229999999999</v>
      </c>
    </row>
    <row r="94" spans="1:14" ht="21.9" customHeight="1">
      <c r="A94" s="126"/>
      <c r="B94" s="127" t="s">
        <v>535</v>
      </c>
      <c r="C94" s="128">
        <v>1685</v>
      </c>
      <c r="D94" s="128">
        <f t="shared" si="5"/>
        <v>8325.7849999999999</v>
      </c>
      <c r="E94" s="128">
        <f>'[2]Thu '!D69</f>
        <v>966.36</v>
      </c>
      <c r="F94" s="125">
        <f t="shared" si="6"/>
        <v>7077.8770000000004</v>
      </c>
      <c r="G94" s="128">
        <f>'[2]Thu '!E69</f>
        <v>7077.8770000000004</v>
      </c>
      <c r="H94" s="128">
        <f>'[2]Thu '!F69</f>
        <v>0</v>
      </c>
      <c r="I94" s="131">
        <f>'[2]Thu '!$G$69</f>
        <v>281.548</v>
      </c>
      <c r="J94" s="125">
        <f t="shared" si="4"/>
        <v>8325.7849999999999</v>
      </c>
      <c r="K94" s="128">
        <f>'[2]Phổ Yên'!$I$15</f>
        <v>7879.9570000000003</v>
      </c>
      <c r="L94" s="128"/>
      <c r="M94" s="128">
        <f>'[2]Phổ Yên'!$I$30</f>
        <v>164.28</v>
      </c>
      <c r="N94" s="128">
        <f>'[2]Phổ Yên'!$I$32</f>
        <v>281.548</v>
      </c>
    </row>
    <row r="95" spans="1:14" ht="21.9" customHeight="1">
      <c r="A95" s="126"/>
      <c r="B95" s="127" t="s">
        <v>536</v>
      </c>
      <c r="C95" s="128">
        <v>3725</v>
      </c>
      <c r="D95" s="128">
        <f t="shared" si="5"/>
        <v>9471.0750000000007</v>
      </c>
      <c r="E95" s="128">
        <f>'[2]Thu '!D70</f>
        <v>2119</v>
      </c>
      <c r="F95" s="125">
        <f t="shared" si="6"/>
        <v>4571.1360000000004</v>
      </c>
      <c r="G95" s="128">
        <f>'[2]Thu '!E70</f>
        <v>4571.1360000000004</v>
      </c>
      <c r="H95" s="128">
        <f>'[2]Thu '!F70</f>
        <v>0</v>
      </c>
      <c r="I95" s="131">
        <f>'[2]Thu '!$G$70</f>
        <v>2780.9389999999999</v>
      </c>
      <c r="J95" s="125">
        <f t="shared" si="4"/>
        <v>9471.0750000000007</v>
      </c>
      <c r="K95" s="128">
        <f>'[2]Phổ Yên'!$J$15</f>
        <v>6503.1930000000002</v>
      </c>
      <c r="L95" s="128"/>
      <c r="M95" s="128">
        <f>'[2]Phổ Yên'!$J$30</f>
        <v>186.94300000000001</v>
      </c>
      <c r="N95" s="128">
        <f>'[2]Phổ Yên'!$J$32</f>
        <v>2780.9389999999999</v>
      </c>
    </row>
    <row r="96" spans="1:14" ht="21.9" customHeight="1">
      <c r="A96" s="126"/>
      <c r="B96" s="127" t="s">
        <v>537</v>
      </c>
      <c r="C96" s="128">
        <v>1255</v>
      </c>
      <c r="D96" s="128">
        <f t="shared" si="5"/>
        <v>8395.2430000000004</v>
      </c>
      <c r="E96" s="128">
        <f>'[2]Thu '!D71</f>
        <v>728.52</v>
      </c>
      <c r="F96" s="125">
        <f t="shared" si="6"/>
        <v>7167.8890000000001</v>
      </c>
      <c r="G96" s="128">
        <f>'[2]Thu '!E71</f>
        <v>7167.8890000000001</v>
      </c>
      <c r="H96" s="128">
        <f>'[2]Thu '!F71</f>
        <v>0</v>
      </c>
      <c r="I96" s="131">
        <f>'[2]Thu '!$G$71</f>
        <v>498.834</v>
      </c>
      <c r="J96" s="125">
        <f t="shared" si="4"/>
        <v>8395.2430000000004</v>
      </c>
      <c r="K96" s="128">
        <f>'[2]Phổ Yên'!$K$15</f>
        <v>7730.8180000000002</v>
      </c>
      <c r="L96" s="128"/>
      <c r="M96" s="128">
        <f>'[2]Phổ Yên'!$K$30</f>
        <v>165.59100000000001</v>
      </c>
      <c r="N96" s="128">
        <f>'[2]Phổ Yên'!$K$32</f>
        <v>498.834</v>
      </c>
    </row>
    <row r="97" spans="1:15" ht="21.9" customHeight="1">
      <c r="A97" s="126"/>
      <c r="B97" s="127" t="s">
        <v>538</v>
      </c>
      <c r="C97" s="128">
        <v>412</v>
      </c>
      <c r="D97" s="128">
        <f t="shared" si="5"/>
        <v>12712.806</v>
      </c>
      <c r="E97" s="128">
        <f>'[2]Thu '!D72</f>
        <v>261.24</v>
      </c>
      <c r="F97" s="125">
        <f t="shared" si="6"/>
        <v>12373.064</v>
      </c>
      <c r="G97" s="128">
        <f>'[2]Thu '!E72</f>
        <v>12373.064</v>
      </c>
      <c r="H97" s="128">
        <f>'[2]Thu '!F72</f>
        <v>0</v>
      </c>
      <c r="I97" s="131">
        <f>'[2]Thu '!$G$72</f>
        <v>78.501999999999995</v>
      </c>
      <c r="J97" s="125">
        <f t="shared" si="4"/>
        <v>12712.806</v>
      </c>
      <c r="K97" s="128">
        <f>'[2]Phổ Yên'!$L$15</f>
        <v>12383.798000000001</v>
      </c>
      <c r="L97" s="128"/>
      <c r="M97" s="128">
        <f>'[2]Phổ Yên'!$L$30</f>
        <v>250.506</v>
      </c>
      <c r="N97" s="128">
        <f>'[2]Phổ Yên'!$L$32</f>
        <v>78.501999999999995</v>
      </c>
    </row>
    <row r="98" spans="1:15" s="26" customFormat="1" ht="21.9" customHeight="1">
      <c r="A98" s="123">
        <v>20</v>
      </c>
      <c r="B98" s="124" t="s">
        <v>423</v>
      </c>
      <c r="C98" s="125">
        <f>SUM(C99:C102)</f>
        <v>2440</v>
      </c>
      <c r="D98" s="128">
        <f t="shared" si="5"/>
        <v>34611.074000000001</v>
      </c>
      <c r="E98" s="125">
        <f>SUM(E99:E102)</f>
        <v>1487.3600000000001</v>
      </c>
      <c r="F98" s="125">
        <f t="shared" si="6"/>
        <v>32329.178</v>
      </c>
      <c r="G98" s="125">
        <f>SUM(G99:G102)</f>
        <v>32329.178</v>
      </c>
      <c r="H98" s="125">
        <f>SUM(H99:H102)</f>
        <v>0</v>
      </c>
      <c r="I98" s="125">
        <f>SUM(I99:I102)</f>
        <v>794.53599999999994</v>
      </c>
      <c r="J98" s="125">
        <f t="shared" si="4"/>
        <v>34612.629999999997</v>
      </c>
      <c r="K98" s="125">
        <f>SUM(K99:K102)</f>
        <v>33134.896000000001</v>
      </c>
      <c r="L98" s="125">
        <f>'[2]Tổng '!R27</f>
        <v>0</v>
      </c>
      <c r="M98" s="125">
        <f>SUM(M99:M102)</f>
        <v>682.64200000000005</v>
      </c>
      <c r="N98" s="125">
        <f>SUM(N99:N102)</f>
        <v>795.09199999999998</v>
      </c>
      <c r="O98" s="132">
        <f>SUM(O99:O102)</f>
        <v>0</v>
      </c>
    </row>
    <row r="99" spans="1:15" ht="21.9" customHeight="1">
      <c r="A99" s="126"/>
      <c r="B99" s="127" t="s">
        <v>483</v>
      </c>
      <c r="C99" s="128">
        <v>1010</v>
      </c>
      <c r="D99" s="128">
        <f t="shared" si="5"/>
        <v>9365.3119999999999</v>
      </c>
      <c r="E99" s="128">
        <f>'[2]Thu '!D73</f>
        <v>585.16</v>
      </c>
      <c r="F99" s="125">
        <f t="shared" si="6"/>
        <v>8330.0409999999993</v>
      </c>
      <c r="G99" s="128">
        <f>'[2]Thu '!E73</f>
        <v>8330.0409999999993</v>
      </c>
      <c r="H99" s="128">
        <f>'[2]Thu '!F73</f>
        <v>0</v>
      </c>
      <c r="I99" s="131">
        <f>'[2]Thu '!G73</f>
        <v>450.11099999999999</v>
      </c>
      <c r="J99" s="125">
        <f t="shared" si="4"/>
        <v>9366.3120000000017</v>
      </c>
      <c r="K99" s="128">
        <f>'[2]Phổ Yên'!$M$15</f>
        <v>8731.518</v>
      </c>
      <c r="L99" s="128"/>
      <c r="M99" s="128">
        <f>'[2]Phổ Yên'!$M$30</f>
        <v>184.68299999999999</v>
      </c>
      <c r="N99" s="128">
        <f>'[2]Phổ Yên'!$M$32</f>
        <v>450.11099999999999</v>
      </c>
    </row>
    <row r="100" spans="1:15" ht="21.9" customHeight="1">
      <c r="A100" s="126"/>
      <c r="B100" s="127" t="s">
        <v>539</v>
      </c>
      <c r="C100" s="128">
        <v>474</v>
      </c>
      <c r="D100" s="128">
        <f t="shared" si="5"/>
        <v>8471.2010000000009</v>
      </c>
      <c r="E100" s="128">
        <f>'[2]Thu '!D74</f>
        <v>303.32</v>
      </c>
      <c r="F100" s="125">
        <f t="shared" si="6"/>
        <v>8139.6019999999999</v>
      </c>
      <c r="G100" s="128">
        <f>'[2]Thu '!E74</f>
        <v>8139.6019999999999</v>
      </c>
      <c r="H100" s="128">
        <f>'[2]Thu '!F74</f>
        <v>0</v>
      </c>
      <c r="I100" s="131">
        <f>'[2]Thu '!G74</f>
        <v>28.279</v>
      </c>
      <c r="J100" s="125">
        <f t="shared" si="4"/>
        <v>8471.3010000000013</v>
      </c>
      <c r="K100" s="128">
        <f>'[2]Phổ Yên'!$N$15</f>
        <v>8275.7890000000007</v>
      </c>
      <c r="L100" s="128"/>
      <c r="M100" s="128">
        <f>'[2]Phổ Yên'!$N$30</f>
        <v>167.13300000000001</v>
      </c>
      <c r="N100" s="128">
        <f>'[2]Phổ Yên'!$N$32</f>
        <v>28.379000000000001</v>
      </c>
    </row>
    <row r="101" spans="1:15" ht="21.9" customHeight="1">
      <c r="A101" s="126"/>
      <c r="B101" s="127" t="s">
        <v>540</v>
      </c>
      <c r="C101" s="128">
        <v>429</v>
      </c>
      <c r="D101" s="128">
        <f t="shared" si="5"/>
        <v>8303.4449999999997</v>
      </c>
      <c r="E101" s="128">
        <f>'[2]Thu '!D75</f>
        <v>258.88</v>
      </c>
      <c r="F101" s="125">
        <f t="shared" si="6"/>
        <v>7879.5649999999996</v>
      </c>
      <c r="G101" s="128">
        <f>'[2]Thu '!E75</f>
        <v>7879.5649999999996</v>
      </c>
      <c r="H101" s="128">
        <f>'[2]Thu '!F75</f>
        <v>0</v>
      </c>
      <c r="I101" s="131">
        <f>'[2]Thu '!G75</f>
        <v>165</v>
      </c>
      <c r="J101" s="125">
        <f t="shared" si="4"/>
        <v>8303.9009999999998</v>
      </c>
      <c r="K101" s="128">
        <f>'[2]Phổ Yên'!$O$15</f>
        <v>7974.6970000000001</v>
      </c>
      <c r="L101" s="128"/>
      <c r="M101" s="128">
        <f>'[2]Phổ Yên'!$O$30</f>
        <v>163.74799999999999</v>
      </c>
      <c r="N101" s="128">
        <f>'[2]Phổ Yên'!$O$32</f>
        <v>165.45599999999999</v>
      </c>
    </row>
    <row r="102" spans="1:15" ht="21.9" customHeight="1">
      <c r="A102" s="126"/>
      <c r="B102" s="127" t="s">
        <v>541</v>
      </c>
      <c r="C102" s="128">
        <v>527</v>
      </c>
      <c r="D102" s="128">
        <f t="shared" si="5"/>
        <v>8471.1160000000018</v>
      </c>
      <c r="E102" s="128">
        <f>'[2]Thu '!D76</f>
        <v>340</v>
      </c>
      <c r="F102" s="125">
        <f t="shared" si="6"/>
        <v>7979.97</v>
      </c>
      <c r="G102" s="128">
        <f>'[2]Thu '!E76</f>
        <v>7979.97</v>
      </c>
      <c r="H102" s="128">
        <f>'[2]Thu '!F76</f>
        <v>0</v>
      </c>
      <c r="I102" s="131">
        <f>'[2]Thu '!G76</f>
        <v>151.14599999999999</v>
      </c>
      <c r="J102" s="125">
        <f t="shared" si="4"/>
        <v>8471.116</v>
      </c>
      <c r="K102" s="128">
        <f>'[2]Phổ Yên'!$P$15</f>
        <v>8152.8919999999998</v>
      </c>
      <c r="L102" s="128"/>
      <c r="M102" s="128">
        <f>'[2]Phổ Yên'!$P$30</f>
        <v>167.078</v>
      </c>
      <c r="N102" s="128">
        <f>'[2]Phổ Yên'!$P$32</f>
        <v>151.14599999999999</v>
      </c>
    </row>
    <row r="103" spans="1:15" s="26" customFormat="1" ht="21.9" customHeight="1">
      <c r="A103" s="123">
        <v>21</v>
      </c>
      <c r="B103" s="124" t="s">
        <v>424</v>
      </c>
      <c r="C103" s="125">
        <f>SUM(C104:C106)</f>
        <v>2792</v>
      </c>
      <c r="D103" s="128">
        <f t="shared" si="5"/>
        <v>31564.435000000001</v>
      </c>
      <c r="E103" s="125">
        <f>SUM(E104:E106)</f>
        <v>1395.6799999999998</v>
      </c>
      <c r="F103" s="125">
        <f t="shared" si="6"/>
        <v>28615.65</v>
      </c>
      <c r="G103" s="125">
        <f>SUM(G104:G106)</f>
        <v>28615.65</v>
      </c>
      <c r="H103" s="125">
        <f>SUM(H104:H106)</f>
        <v>0</v>
      </c>
      <c r="I103" s="125">
        <f>SUM(I104:I106)</f>
        <v>1553.105</v>
      </c>
      <c r="J103" s="125">
        <f t="shared" si="4"/>
        <v>31564.435000000005</v>
      </c>
      <c r="K103" s="125">
        <f>SUM(K104:K106)</f>
        <v>29389.126000000004</v>
      </c>
      <c r="L103" s="125">
        <f>'[2]Tổng '!R28</f>
        <v>0</v>
      </c>
      <c r="M103" s="125">
        <f>SUM(M104:M106)</f>
        <v>622.20399999999995</v>
      </c>
      <c r="N103" s="125">
        <f>SUM(N104:N106)</f>
        <v>1553.105</v>
      </c>
    </row>
    <row r="104" spans="1:15" ht="21.9" customHeight="1">
      <c r="A104" s="126"/>
      <c r="B104" s="127" t="s">
        <v>542</v>
      </c>
      <c r="C104" s="128">
        <v>294</v>
      </c>
      <c r="D104" s="128">
        <f t="shared" si="5"/>
        <v>7489.9319999999998</v>
      </c>
      <c r="E104" s="128">
        <f>'[2]Thu '!D77</f>
        <v>177.36</v>
      </c>
      <c r="F104" s="125">
        <f t="shared" si="6"/>
        <v>7283.3270000000002</v>
      </c>
      <c r="G104" s="128">
        <f>'[2]Thu '!E77</f>
        <v>7283.3270000000002</v>
      </c>
      <c r="H104" s="128">
        <f>'[2]Thu '!F77</f>
        <v>0</v>
      </c>
      <c r="I104" s="131">
        <f>'[2]Thu '!G77</f>
        <v>29.245000000000001</v>
      </c>
      <c r="J104" s="125">
        <f t="shared" si="4"/>
        <v>7489.9319999999998</v>
      </c>
      <c r="K104" s="128">
        <f>'[2]Phổ Yên'!$Q$15</f>
        <v>7312.848</v>
      </c>
      <c r="L104" s="128"/>
      <c r="M104" s="128">
        <f>'[2]Phổ Yên'!$Q$30</f>
        <v>147.839</v>
      </c>
      <c r="N104" s="128">
        <f>'[2]Phổ Yên'!$Q$32</f>
        <v>29.245000000000001</v>
      </c>
    </row>
    <row r="105" spans="1:15" ht="21.9" customHeight="1">
      <c r="A105" s="126"/>
      <c r="B105" s="127" t="s">
        <v>543</v>
      </c>
      <c r="C105" s="128">
        <v>1394</v>
      </c>
      <c r="D105" s="128">
        <f t="shared" si="5"/>
        <v>13362.468000000001</v>
      </c>
      <c r="E105" s="128">
        <f>'[2]Thu '!D78</f>
        <v>692.52</v>
      </c>
      <c r="F105" s="125">
        <f t="shared" si="6"/>
        <v>12613.616</v>
      </c>
      <c r="G105" s="128">
        <f>'[2]Thu '!E78</f>
        <v>12613.616</v>
      </c>
      <c r="H105" s="128">
        <f>'[2]Thu '!F78</f>
        <v>0</v>
      </c>
      <c r="I105" s="131">
        <f>'[2]Thu '!G78</f>
        <v>56.332000000000001</v>
      </c>
      <c r="J105" s="125">
        <f t="shared" si="4"/>
        <v>13362.468000000001</v>
      </c>
      <c r="K105" s="128">
        <f>'[2]Phổ Yên'!$R$15</f>
        <v>13042.84</v>
      </c>
      <c r="L105" s="128"/>
      <c r="M105" s="128">
        <f>'[2]Phổ Yên'!$R$30</f>
        <v>263.29599999999999</v>
      </c>
      <c r="N105" s="128">
        <f>'[2]Phổ Yên'!$R$32</f>
        <v>56.332000000000001</v>
      </c>
    </row>
    <row r="106" spans="1:15" ht="21.9" customHeight="1">
      <c r="A106" s="126"/>
      <c r="B106" s="127" t="s">
        <v>544</v>
      </c>
      <c r="C106" s="128">
        <v>1104</v>
      </c>
      <c r="D106" s="128">
        <f t="shared" si="5"/>
        <v>10712.035</v>
      </c>
      <c r="E106" s="128">
        <f>'[2]Thu '!D79</f>
        <v>525.79999999999995</v>
      </c>
      <c r="F106" s="125">
        <f t="shared" si="6"/>
        <v>8718.7070000000003</v>
      </c>
      <c r="G106" s="128">
        <f>'[2]Thu '!E79</f>
        <v>8718.7070000000003</v>
      </c>
      <c r="H106" s="128">
        <f>'[2]Thu '!F79</f>
        <v>0</v>
      </c>
      <c r="I106" s="131">
        <f>'[2]Thu '!G79</f>
        <v>1467.528</v>
      </c>
      <c r="J106" s="125">
        <f t="shared" si="4"/>
        <v>10712.035</v>
      </c>
      <c r="K106" s="128">
        <f>'[2]Phổ Yên'!$S$15</f>
        <v>9033.4380000000001</v>
      </c>
      <c r="L106" s="128"/>
      <c r="M106" s="128">
        <f>'[2]Phổ Yên'!$S$30</f>
        <v>211.06899999999999</v>
      </c>
      <c r="N106" s="128">
        <f>'[2]Phổ Yên'!$S$32</f>
        <v>1467.528</v>
      </c>
    </row>
    <row r="107" spans="1:15" s="26" customFormat="1" ht="24" customHeight="1">
      <c r="A107" s="123">
        <v>22</v>
      </c>
      <c r="B107" s="124" t="s">
        <v>425</v>
      </c>
      <c r="C107" s="125">
        <f>SUM(C108:C109)</f>
        <v>818</v>
      </c>
      <c r="D107" s="128">
        <f t="shared" si="5"/>
        <v>23549.862000000001</v>
      </c>
      <c r="E107" s="125">
        <f>SUM(E108:E109)</f>
        <v>619.28</v>
      </c>
      <c r="F107" s="125">
        <f t="shared" si="6"/>
        <v>22555.383000000002</v>
      </c>
      <c r="G107" s="125">
        <f>SUM(G108:G109)</f>
        <v>22555.383000000002</v>
      </c>
      <c r="H107" s="125">
        <f>SUM(H108:H109)</f>
        <v>0</v>
      </c>
      <c r="I107" s="125">
        <f>SUM(I108:I109)</f>
        <v>375.19900000000001</v>
      </c>
      <c r="J107" s="125">
        <f t="shared" si="4"/>
        <v>23549.862000000001</v>
      </c>
      <c r="K107" s="125">
        <f>SUM(K108:K109)</f>
        <v>22710.688000000002</v>
      </c>
      <c r="L107" s="125">
        <f>'[2]Tổng '!R29</f>
        <v>0</v>
      </c>
      <c r="M107" s="125">
        <f>SUM(M108:M109)</f>
        <v>463.97500000000002</v>
      </c>
      <c r="N107" s="125">
        <f>SUM(N108:N109)</f>
        <v>375.19900000000001</v>
      </c>
    </row>
    <row r="108" spans="1:15" ht="24" customHeight="1">
      <c r="A108" s="126"/>
      <c r="B108" s="127" t="s">
        <v>545</v>
      </c>
      <c r="C108" s="128">
        <v>561</v>
      </c>
      <c r="D108" s="128">
        <f t="shared" si="5"/>
        <v>13211.357</v>
      </c>
      <c r="E108" s="128">
        <f>'[2]Thu '!D80</f>
        <v>411.96</v>
      </c>
      <c r="F108" s="125">
        <f t="shared" si="6"/>
        <v>12490.653</v>
      </c>
      <c r="G108" s="128">
        <f>'[2]Thu '!E80</f>
        <v>12490.653</v>
      </c>
      <c r="H108" s="128">
        <f>'[2]Thu '!F80</f>
        <v>0</v>
      </c>
      <c r="I108" s="131">
        <f>'[2]Thu '!$G$80</f>
        <v>308.74400000000003</v>
      </c>
      <c r="J108" s="125">
        <f t="shared" si="4"/>
        <v>13211.357000000002</v>
      </c>
      <c r="K108" s="128">
        <f>'[2]Phổ Yên'!$T$15</f>
        <v>12642.28</v>
      </c>
      <c r="L108" s="128"/>
      <c r="M108" s="128">
        <f>'[2]Phổ Yên'!$T$30</f>
        <v>260.33300000000003</v>
      </c>
      <c r="N108" s="128">
        <f>'[2]Phổ Yên'!$T$32</f>
        <v>308.74400000000003</v>
      </c>
    </row>
    <row r="109" spans="1:15" ht="24" customHeight="1">
      <c r="A109" s="126"/>
      <c r="B109" s="127" t="s">
        <v>546</v>
      </c>
      <c r="C109" s="128">
        <v>257</v>
      </c>
      <c r="D109" s="128">
        <f t="shared" si="5"/>
        <v>10338.504999999999</v>
      </c>
      <c r="E109" s="128">
        <f>'[2]Thu '!D81</f>
        <v>207.32</v>
      </c>
      <c r="F109" s="125">
        <f t="shared" si="6"/>
        <v>10064.73</v>
      </c>
      <c r="G109" s="128">
        <f>'[2]Thu '!E81</f>
        <v>10064.73</v>
      </c>
      <c r="H109" s="128">
        <f>'[2]Thu '!F81</f>
        <v>0</v>
      </c>
      <c r="I109" s="131">
        <f>'[2]Thu '!$G$81</f>
        <v>66.454999999999998</v>
      </c>
      <c r="J109" s="125">
        <f t="shared" si="4"/>
        <v>10338.504999999999</v>
      </c>
      <c r="K109" s="128">
        <f>'[2]Phổ Yên'!$U$15</f>
        <v>10068.407999999999</v>
      </c>
      <c r="L109" s="128"/>
      <c r="M109" s="128">
        <f>'[2]Phổ Yên'!$U$30</f>
        <v>203.642</v>
      </c>
      <c r="N109" s="128">
        <f>'[2]Phổ Yên'!$U$32</f>
        <v>66.454999999999998</v>
      </c>
    </row>
    <row r="110" spans="1:15" s="26" customFormat="1" ht="21.9" customHeight="1">
      <c r="A110" s="123">
        <v>23</v>
      </c>
      <c r="B110" s="124" t="s">
        <v>426</v>
      </c>
      <c r="C110" s="125">
        <f>SUM(C111:C115)</f>
        <v>5267</v>
      </c>
      <c r="D110" s="128">
        <f t="shared" si="5"/>
        <v>43205</v>
      </c>
      <c r="E110" s="125">
        <f>SUM(E111:E115)</f>
        <v>2809</v>
      </c>
      <c r="F110" s="125">
        <f t="shared" si="6"/>
        <v>40396</v>
      </c>
      <c r="G110" s="125">
        <f>SUM(G111:G115)</f>
        <v>40396</v>
      </c>
      <c r="H110" s="125">
        <f>SUM(H111:H115)</f>
        <v>0</v>
      </c>
      <c r="I110" s="125">
        <f>SUM(I111:I115)</f>
        <v>0</v>
      </c>
      <c r="J110" s="125">
        <f t="shared" si="4"/>
        <v>43205</v>
      </c>
      <c r="K110" s="125">
        <f>SUM(K111:K115)</f>
        <v>42697</v>
      </c>
      <c r="L110" s="125">
        <f>'[2]Tổng '!R30</f>
        <v>0</v>
      </c>
      <c r="M110" s="125">
        <f>SUM(M111:M115)</f>
        <v>508</v>
      </c>
      <c r="N110" s="125">
        <f>'[2]Tổng '!T30</f>
        <v>0</v>
      </c>
    </row>
    <row r="111" spans="1:15" ht="21.9" customHeight="1">
      <c r="A111" s="126"/>
      <c r="B111" s="127" t="s">
        <v>547</v>
      </c>
      <c r="C111" s="128">
        <v>1144</v>
      </c>
      <c r="D111" s="128">
        <f t="shared" si="5"/>
        <v>8372</v>
      </c>
      <c r="E111" s="128">
        <f>'[2]Thu '!D84</f>
        <v>787</v>
      </c>
      <c r="F111" s="125">
        <f t="shared" si="6"/>
        <v>7585</v>
      </c>
      <c r="G111" s="128">
        <f>'[2]Thu '!E84</f>
        <v>7585</v>
      </c>
      <c r="H111" s="128">
        <f>'[2]Thu '!F84</f>
        <v>0</v>
      </c>
      <c r="I111" s="131"/>
      <c r="J111" s="125">
        <f t="shared" si="4"/>
        <v>8372</v>
      </c>
      <c r="K111" s="128">
        <f>'[2]Phú Bình'!$D$15</f>
        <v>8276</v>
      </c>
      <c r="L111" s="128"/>
      <c r="M111" s="128">
        <f>'[2]Phú Bình'!$D$30</f>
        <v>96</v>
      </c>
      <c r="N111" s="128"/>
    </row>
    <row r="112" spans="1:15" ht="21.9" customHeight="1">
      <c r="A112" s="126"/>
      <c r="B112" s="127" t="s">
        <v>548</v>
      </c>
      <c r="C112" s="128">
        <v>106</v>
      </c>
      <c r="D112" s="128">
        <f t="shared" si="5"/>
        <v>8144</v>
      </c>
      <c r="E112" s="128">
        <f>'[2]Thu '!D85</f>
        <v>84</v>
      </c>
      <c r="F112" s="125">
        <f t="shared" si="6"/>
        <v>8060</v>
      </c>
      <c r="G112" s="128">
        <f>'[2]Thu '!E85</f>
        <v>8060</v>
      </c>
      <c r="H112" s="128">
        <f>'[2]Thu '!F85</f>
        <v>0</v>
      </c>
      <c r="I112" s="131"/>
      <c r="J112" s="125">
        <f t="shared" si="4"/>
        <v>8144</v>
      </c>
      <c r="K112" s="128">
        <f>'[2]Phú Bình'!$E$15</f>
        <v>8047</v>
      </c>
      <c r="L112" s="128"/>
      <c r="M112" s="128">
        <f>'[2]Phú Bình'!$E$30</f>
        <v>97</v>
      </c>
      <c r="N112" s="128"/>
    </row>
    <row r="113" spans="1:14" ht="21.9" customHeight="1">
      <c r="A113" s="126"/>
      <c r="B113" s="127" t="s">
        <v>549</v>
      </c>
      <c r="C113" s="128">
        <v>495</v>
      </c>
      <c r="D113" s="128">
        <f t="shared" si="5"/>
        <v>8794</v>
      </c>
      <c r="E113" s="128">
        <f>'[2]Thu '!D86</f>
        <v>360</v>
      </c>
      <c r="F113" s="125">
        <f t="shared" si="6"/>
        <v>8434</v>
      </c>
      <c r="G113" s="128">
        <f>'[2]Thu '!E86</f>
        <v>8434</v>
      </c>
      <c r="H113" s="128">
        <f>'[2]Thu '!F86</f>
        <v>0</v>
      </c>
      <c r="I113" s="131"/>
      <c r="J113" s="125">
        <f t="shared" si="4"/>
        <v>8794</v>
      </c>
      <c r="K113" s="128">
        <f>'[2]Phú Bình'!$F$15</f>
        <v>8692</v>
      </c>
      <c r="L113" s="128"/>
      <c r="M113" s="128">
        <f>'[2]Phú Bình'!$F$30</f>
        <v>102</v>
      </c>
      <c r="N113" s="128"/>
    </row>
    <row r="114" spans="1:14" ht="21.9" customHeight="1">
      <c r="A114" s="126"/>
      <c r="B114" s="127" t="s">
        <v>550</v>
      </c>
      <c r="C114" s="128">
        <v>379</v>
      </c>
      <c r="D114" s="128">
        <f t="shared" si="5"/>
        <v>8501</v>
      </c>
      <c r="E114" s="128">
        <f>'[2]Thu '!D87</f>
        <v>271</v>
      </c>
      <c r="F114" s="125">
        <f t="shared" si="6"/>
        <v>8230</v>
      </c>
      <c r="G114" s="128">
        <f>'[2]Thu '!E87</f>
        <v>8230</v>
      </c>
      <c r="H114" s="128">
        <f>'[2]Thu '!F87</f>
        <v>0</v>
      </c>
      <c r="I114" s="131"/>
      <c r="J114" s="125">
        <f t="shared" si="4"/>
        <v>8501</v>
      </c>
      <c r="K114" s="128">
        <f>'[2]Phú Bình'!$G$15</f>
        <v>8399</v>
      </c>
      <c r="L114" s="128"/>
      <c r="M114" s="128">
        <f>'[2]Phú Bình'!$G$30</f>
        <v>102</v>
      </c>
      <c r="N114" s="128"/>
    </row>
    <row r="115" spans="1:14" ht="21.9" customHeight="1">
      <c r="A115" s="126"/>
      <c r="B115" s="127" t="s">
        <v>487</v>
      </c>
      <c r="C115" s="128">
        <v>3143</v>
      </c>
      <c r="D115" s="128">
        <f t="shared" si="5"/>
        <v>9394</v>
      </c>
      <c r="E115" s="128">
        <f>'[2]Thu '!D88</f>
        <v>1307</v>
      </c>
      <c r="F115" s="125">
        <f t="shared" si="6"/>
        <v>8087</v>
      </c>
      <c r="G115" s="128">
        <f>'[2]Thu '!E88</f>
        <v>8087</v>
      </c>
      <c r="H115" s="128">
        <f>'[2]Thu '!F88</f>
        <v>0</v>
      </c>
      <c r="I115" s="131"/>
      <c r="J115" s="125">
        <f t="shared" si="4"/>
        <v>9394</v>
      </c>
      <c r="K115" s="128">
        <f>'[2]Phú Bình'!$H$15</f>
        <v>9283</v>
      </c>
      <c r="L115" s="128"/>
      <c r="M115" s="128">
        <f>'[2]Phú Bình'!$H$30</f>
        <v>111</v>
      </c>
      <c r="N115" s="128"/>
    </row>
    <row r="116" spans="1:14" s="26" customFormat="1" ht="21.9" customHeight="1">
      <c r="A116" s="123">
        <v>24</v>
      </c>
      <c r="B116" s="124" t="s">
        <v>427</v>
      </c>
      <c r="C116" s="125">
        <f>SUM(C117:C119)</f>
        <v>1026</v>
      </c>
      <c r="D116" s="128">
        <f t="shared" si="5"/>
        <v>27123</v>
      </c>
      <c r="E116" s="125">
        <f>SUM(E117:E119)</f>
        <v>739</v>
      </c>
      <c r="F116" s="125">
        <f t="shared" si="6"/>
        <v>26384</v>
      </c>
      <c r="G116" s="125">
        <f>SUM(G117:G119)</f>
        <v>26384</v>
      </c>
      <c r="H116" s="125">
        <f>SUM(H117:H119)</f>
        <v>0</v>
      </c>
      <c r="I116" s="125">
        <f>SUM(I117:I119)</f>
        <v>0</v>
      </c>
      <c r="J116" s="125">
        <f t="shared" si="4"/>
        <v>27123</v>
      </c>
      <c r="K116" s="125">
        <f>SUM(K117:K119)</f>
        <v>26807</v>
      </c>
      <c r="L116" s="125">
        <f>'[2]Tổng '!R31</f>
        <v>0</v>
      </c>
      <c r="M116" s="125">
        <f>SUM(M117:M119)</f>
        <v>316</v>
      </c>
      <c r="N116" s="125">
        <f>'[2]Tổng '!T31</f>
        <v>0</v>
      </c>
    </row>
    <row r="117" spans="1:14" ht="21.9" customHeight="1">
      <c r="A117" s="126"/>
      <c r="B117" s="127" t="s">
        <v>551</v>
      </c>
      <c r="C117" s="128">
        <v>227</v>
      </c>
      <c r="D117" s="128">
        <f t="shared" si="5"/>
        <v>9131</v>
      </c>
      <c r="E117" s="128">
        <f>'[2]Thu '!D89</f>
        <v>173</v>
      </c>
      <c r="F117" s="125">
        <f t="shared" si="6"/>
        <v>8958</v>
      </c>
      <c r="G117" s="128">
        <f>'[2]Thu '!E89</f>
        <v>8958</v>
      </c>
      <c r="H117" s="128">
        <f>'[2]Thu '!F89</f>
        <v>0</v>
      </c>
      <c r="I117" s="131"/>
      <c r="J117" s="125">
        <f t="shared" si="4"/>
        <v>9131</v>
      </c>
      <c r="K117" s="128">
        <f>'[2]Phú Bình'!$I$15</f>
        <v>9025</v>
      </c>
      <c r="L117" s="128"/>
      <c r="M117" s="128">
        <f>'[2]Phú Bình'!$I$30</f>
        <v>106</v>
      </c>
      <c r="N117" s="128"/>
    </row>
    <row r="118" spans="1:14" ht="21.9" customHeight="1">
      <c r="A118" s="126"/>
      <c r="B118" s="127" t="s">
        <v>484</v>
      </c>
      <c r="C118" s="128">
        <v>426</v>
      </c>
      <c r="D118" s="128">
        <f t="shared" si="5"/>
        <v>9749</v>
      </c>
      <c r="E118" s="128">
        <f>'[2]Thu '!D90</f>
        <v>270</v>
      </c>
      <c r="F118" s="125">
        <f t="shared" si="6"/>
        <v>9479</v>
      </c>
      <c r="G118" s="128">
        <f>'[2]Thu '!E90</f>
        <v>9479</v>
      </c>
      <c r="H118" s="128">
        <f>'[2]Thu '!F90</f>
        <v>0</v>
      </c>
      <c r="I118" s="131"/>
      <c r="J118" s="125">
        <f t="shared" si="4"/>
        <v>9749</v>
      </c>
      <c r="K118" s="128">
        <f>'[2]Phú Bình'!$J$15</f>
        <v>9635</v>
      </c>
      <c r="L118" s="128"/>
      <c r="M118" s="128">
        <f>'[2]Phú Bình'!$J$30</f>
        <v>114</v>
      </c>
      <c r="N118" s="128"/>
    </row>
    <row r="119" spans="1:14" ht="21.9" customHeight="1">
      <c r="A119" s="126"/>
      <c r="B119" s="127" t="s">
        <v>552</v>
      </c>
      <c r="C119" s="128">
        <v>373</v>
      </c>
      <c r="D119" s="128">
        <f t="shared" si="5"/>
        <v>8243</v>
      </c>
      <c r="E119" s="128">
        <f>'[2]Thu '!D91</f>
        <v>296</v>
      </c>
      <c r="F119" s="125">
        <f t="shared" si="6"/>
        <v>7947</v>
      </c>
      <c r="G119" s="128">
        <f>'[2]Thu '!E91</f>
        <v>7947</v>
      </c>
      <c r="H119" s="128">
        <f>'[2]Thu '!F91</f>
        <v>0</v>
      </c>
      <c r="I119" s="131"/>
      <c r="J119" s="125">
        <f t="shared" si="4"/>
        <v>8243</v>
      </c>
      <c r="K119" s="128">
        <f>'[2]Phú Bình'!$K$15</f>
        <v>8147</v>
      </c>
      <c r="L119" s="128"/>
      <c r="M119" s="128">
        <f>'[2]Phú Bình'!$K$30</f>
        <v>96</v>
      </c>
      <c r="N119" s="128"/>
    </row>
    <row r="120" spans="1:14" s="26" customFormat="1" ht="21.9" customHeight="1">
      <c r="A120" s="123">
        <v>25</v>
      </c>
      <c r="B120" s="124" t="s">
        <v>428</v>
      </c>
      <c r="C120" s="125">
        <f>SUM(C121:C124)</f>
        <v>2109</v>
      </c>
      <c r="D120" s="128">
        <f t="shared" si="5"/>
        <v>35523</v>
      </c>
      <c r="E120" s="125">
        <f>SUM(E121:E124)</f>
        <v>1514</v>
      </c>
      <c r="F120" s="125">
        <f t="shared" si="6"/>
        <v>34009</v>
      </c>
      <c r="G120" s="125">
        <f>SUM(G121:G124)</f>
        <v>34009</v>
      </c>
      <c r="H120" s="125">
        <f>SUM(H121:H124)</f>
        <v>0</v>
      </c>
      <c r="I120" s="125">
        <f>SUM(I121:I124)</f>
        <v>0</v>
      </c>
      <c r="J120" s="125">
        <f t="shared" si="4"/>
        <v>35523</v>
      </c>
      <c r="K120" s="125">
        <f>SUM(K121:K124)</f>
        <v>35104</v>
      </c>
      <c r="L120" s="125">
        <f>'[2]Tổng '!R32</f>
        <v>0</v>
      </c>
      <c r="M120" s="125">
        <f>SUM(M121:M124)</f>
        <v>419</v>
      </c>
      <c r="N120" s="125">
        <f>'[2]Tổng '!T32</f>
        <v>0</v>
      </c>
    </row>
    <row r="121" spans="1:14" ht="21.9" customHeight="1">
      <c r="A121" s="126"/>
      <c r="B121" s="127" t="s">
        <v>553</v>
      </c>
      <c r="C121" s="128">
        <v>1250</v>
      </c>
      <c r="D121" s="128">
        <f t="shared" si="5"/>
        <v>8216</v>
      </c>
      <c r="E121" s="128">
        <f>'[2]Thu '!D92</f>
        <v>860</v>
      </c>
      <c r="F121" s="125">
        <f t="shared" si="6"/>
        <v>7356</v>
      </c>
      <c r="G121" s="128">
        <f>'[2]Thu '!E92</f>
        <v>7356</v>
      </c>
      <c r="H121" s="128">
        <f>'[2]Thu '!F92</f>
        <v>0</v>
      </c>
      <c r="I121" s="131"/>
      <c r="J121" s="125">
        <f t="shared" si="4"/>
        <v>8216</v>
      </c>
      <c r="K121" s="128">
        <f>'[2]Phú Bình'!$L$15</f>
        <v>8121</v>
      </c>
      <c r="L121" s="128"/>
      <c r="M121" s="128">
        <f>'[2]Phú Bình'!$L$30</f>
        <v>95</v>
      </c>
      <c r="N121" s="128"/>
    </row>
    <row r="122" spans="1:14" ht="21.9" customHeight="1">
      <c r="A122" s="126"/>
      <c r="B122" s="127" t="s">
        <v>554</v>
      </c>
      <c r="C122" s="128">
        <v>250</v>
      </c>
      <c r="D122" s="128">
        <f t="shared" si="5"/>
        <v>8294</v>
      </c>
      <c r="E122" s="128">
        <f>'[2]Thu '!D93</f>
        <v>185</v>
      </c>
      <c r="F122" s="125">
        <f t="shared" si="6"/>
        <v>8109</v>
      </c>
      <c r="G122" s="128">
        <f>'[2]Thu '!E93</f>
        <v>8109</v>
      </c>
      <c r="H122" s="128">
        <f>'[2]Thu '!F93</f>
        <v>0</v>
      </c>
      <c r="I122" s="131"/>
      <c r="J122" s="125">
        <f t="shared" si="4"/>
        <v>8294</v>
      </c>
      <c r="K122" s="128">
        <f>'[2]Phú Bình'!$M$15</f>
        <v>8196</v>
      </c>
      <c r="L122" s="128"/>
      <c r="M122" s="128">
        <f>'[2]Phú Bình'!$M$30</f>
        <v>98</v>
      </c>
      <c r="N122" s="128"/>
    </row>
    <row r="123" spans="1:14" ht="21.9" customHeight="1">
      <c r="A123" s="126"/>
      <c r="B123" s="127" t="s">
        <v>555</v>
      </c>
      <c r="C123" s="128">
        <v>315</v>
      </c>
      <c r="D123" s="128">
        <f t="shared" si="5"/>
        <v>10129</v>
      </c>
      <c r="E123" s="128">
        <f>'[2]Thu '!D94</f>
        <v>245</v>
      </c>
      <c r="F123" s="125">
        <f t="shared" si="6"/>
        <v>9884</v>
      </c>
      <c r="G123" s="128">
        <f>'[2]Thu '!E94</f>
        <v>9884</v>
      </c>
      <c r="H123" s="128">
        <f>'[2]Thu '!F94</f>
        <v>0</v>
      </c>
      <c r="I123" s="131"/>
      <c r="J123" s="125">
        <f t="shared" si="4"/>
        <v>10129</v>
      </c>
      <c r="K123" s="128">
        <f>'[2]Phú Bình'!$N$15</f>
        <v>10007</v>
      </c>
      <c r="L123" s="128"/>
      <c r="M123" s="128">
        <f>'[2]Phú Bình'!$N$30</f>
        <v>122</v>
      </c>
      <c r="N123" s="128"/>
    </row>
    <row r="124" spans="1:14" ht="21.9" customHeight="1">
      <c r="A124" s="126"/>
      <c r="B124" s="127" t="s">
        <v>556</v>
      </c>
      <c r="C124" s="128">
        <v>294</v>
      </c>
      <c r="D124" s="128">
        <f t="shared" si="5"/>
        <v>8884</v>
      </c>
      <c r="E124" s="128">
        <f>'[2]Thu '!D95</f>
        <v>224</v>
      </c>
      <c r="F124" s="125">
        <f t="shared" si="6"/>
        <v>8660</v>
      </c>
      <c r="G124" s="128">
        <f>'[2]Thu '!E95</f>
        <v>8660</v>
      </c>
      <c r="H124" s="128">
        <f>'[2]Thu '!F95</f>
        <v>0</v>
      </c>
      <c r="I124" s="131"/>
      <c r="J124" s="125">
        <f t="shared" si="4"/>
        <v>8884</v>
      </c>
      <c r="K124" s="128">
        <f>'[2]Phú Bình'!$O$15</f>
        <v>8780</v>
      </c>
      <c r="L124" s="128"/>
      <c r="M124" s="128">
        <f>'[2]Phú Bình'!$O$30</f>
        <v>104</v>
      </c>
      <c r="N124" s="128"/>
    </row>
    <row r="125" spans="1:14" s="26" customFormat="1" ht="21.9" customHeight="1">
      <c r="A125" s="123">
        <v>26</v>
      </c>
      <c r="B125" s="124" t="s">
        <v>429</v>
      </c>
      <c r="C125" s="125">
        <f>SUM(C126:C130)</f>
        <v>2873</v>
      </c>
      <c r="D125" s="128">
        <f t="shared" si="5"/>
        <v>42818</v>
      </c>
      <c r="E125" s="125">
        <f>SUM(E126:E130)</f>
        <v>1983</v>
      </c>
      <c r="F125" s="125">
        <f t="shared" si="6"/>
        <v>40835</v>
      </c>
      <c r="G125" s="125">
        <f>SUM(G126:G130)</f>
        <v>40835</v>
      </c>
      <c r="H125" s="125">
        <f>SUM(H126:H130)</f>
        <v>0</v>
      </c>
      <c r="I125" s="125">
        <f>SUM(I126:I130)</f>
        <v>0</v>
      </c>
      <c r="J125" s="125">
        <f t="shared" si="4"/>
        <v>42818</v>
      </c>
      <c r="K125" s="125">
        <f>SUM(K126:K130)</f>
        <v>42302</v>
      </c>
      <c r="L125" s="125">
        <f>'[2]Tổng '!R33</f>
        <v>0</v>
      </c>
      <c r="M125" s="125">
        <f>SUM(M126:M130)</f>
        <v>516</v>
      </c>
      <c r="N125" s="125">
        <f>'[2]Tổng '!T33</f>
        <v>0</v>
      </c>
    </row>
    <row r="126" spans="1:14" ht="21.9" customHeight="1">
      <c r="A126" s="126"/>
      <c r="B126" s="127" t="s">
        <v>557</v>
      </c>
      <c r="C126" s="128">
        <v>1541</v>
      </c>
      <c r="D126" s="128">
        <f t="shared" si="5"/>
        <v>8741</v>
      </c>
      <c r="E126" s="128">
        <f>'[2]Thu '!D96</f>
        <v>1045</v>
      </c>
      <c r="F126" s="125">
        <f t="shared" si="6"/>
        <v>7696</v>
      </c>
      <c r="G126" s="128">
        <f>'[2]Thu '!E96</f>
        <v>7696</v>
      </c>
      <c r="H126" s="128">
        <f>'[2]Thu '!F96</f>
        <v>0</v>
      </c>
      <c r="I126" s="131"/>
      <c r="J126" s="125">
        <f t="shared" si="4"/>
        <v>8741</v>
      </c>
      <c r="K126" s="128">
        <f>'[2]Phú Bình'!$P$15</f>
        <v>8636</v>
      </c>
      <c r="L126" s="128"/>
      <c r="M126" s="128">
        <f>'[2]Phú Bình'!$P$30</f>
        <v>105</v>
      </c>
      <c r="N126" s="128"/>
    </row>
    <row r="127" spans="1:14" ht="21.9" customHeight="1">
      <c r="A127" s="126"/>
      <c r="B127" s="127" t="s">
        <v>558</v>
      </c>
      <c r="C127" s="128">
        <v>378</v>
      </c>
      <c r="D127" s="128">
        <f t="shared" si="5"/>
        <v>7838</v>
      </c>
      <c r="E127" s="128">
        <f>'[2]Thu '!D97</f>
        <v>270</v>
      </c>
      <c r="F127" s="125">
        <f t="shared" si="6"/>
        <v>7568</v>
      </c>
      <c r="G127" s="128">
        <f>'[2]Thu '!E97</f>
        <v>7568</v>
      </c>
      <c r="H127" s="128">
        <f>'[2]Thu '!F97</f>
        <v>0</v>
      </c>
      <c r="I127" s="131"/>
      <c r="J127" s="125">
        <f t="shared" si="4"/>
        <v>7838</v>
      </c>
      <c r="K127" s="128">
        <f>'[2]Phú Bình'!$Q$15</f>
        <v>7746</v>
      </c>
      <c r="L127" s="128"/>
      <c r="M127" s="128">
        <f>'[2]Phú Bình'!$Q$30</f>
        <v>92</v>
      </c>
      <c r="N127" s="128"/>
    </row>
    <row r="128" spans="1:14" ht="21.9" customHeight="1">
      <c r="A128" s="126"/>
      <c r="B128" s="127" t="s">
        <v>559</v>
      </c>
      <c r="C128" s="128">
        <v>214</v>
      </c>
      <c r="D128" s="128">
        <f t="shared" si="5"/>
        <v>7992</v>
      </c>
      <c r="E128" s="128">
        <f>'[2]Thu '!D98</f>
        <v>156</v>
      </c>
      <c r="F128" s="125">
        <f t="shared" si="6"/>
        <v>7836</v>
      </c>
      <c r="G128" s="128">
        <f>'[2]Thu '!E98</f>
        <v>7836</v>
      </c>
      <c r="H128" s="128">
        <f>'[2]Thu '!F98</f>
        <v>0</v>
      </c>
      <c r="I128" s="131"/>
      <c r="J128" s="125">
        <f t="shared" si="4"/>
        <v>8541</v>
      </c>
      <c r="K128" s="128">
        <f>'[2]Phú Bình'!$S$15</f>
        <v>8433</v>
      </c>
      <c r="L128" s="128"/>
      <c r="M128" s="128">
        <f>'[2]Phú Bình'!$S$30</f>
        <v>108</v>
      </c>
      <c r="N128" s="128"/>
    </row>
    <row r="129" spans="1:14" ht="21.9" customHeight="1">
      <c r="A129" s="126"/>
      <c r="B129" s="127" t="s">
        <v>560</v>
      </c>
      <c r="C129" s="128">
        <v>519</v>
      </c>
      <c r="D129" s="128">
        <f t="shared" si="5"/>
        <v>8541</v>
      </c>
      <c r="E129" s="128">
        <f>'[2]Thu '!D99</f>
        <v>165</v>
      </c>
      <c r="F129" s="125">
        <f t="shared" si="6"/>
        <v>8376</v>
      </c>
      <c r="G129" s="128">
        <f>'[2]Thu '!E99</f>
        <v>8376</v>
      </c>
      <c r="H129" s="128">
        <f>'[2]Thu '!F99</f>
        <v>0</v>
      </c>
      <c r="I129" s="131"/>
      <c r="J129" s="125">
        <f t="shared" si="4"/>
        <v>9706</v>
      </c>
      <c r="K129" s="128">
        <f>'[2]Phú Bình'!$T$15</f>
        <v>9591</v>
      </c>
      <c r="L129" s="128"/>
      <c r="M129" s="128">
        <f>'[2]Phú Bình'!$T$30</f>
        <v>115</v>
      </c>
      <c r="N129" s="128"/>
    </row>
    <row r="130" spans="1:14" ht="21.9" customHeight="1">
      <c r="A130" s="126"/>
      <c r="B130" s="127" t="s">
        <v>561</v>
      </c>
      <c r="C130" s="128">
        <v>221</v>
      </c>
      <c r="D130" s="128">
        <f t="shared" si="5"/>
        <v>9706</v>
      </c>
      <c r="E130" s="128">
        <f>'[2]Thu '!D100</f>
        <v>347</v>
      </c>
      <c r="F130" s="125">
        <f t="shared" si="6"/>
        <v>9359</v>
      </c>
      <c r="G130" s="128">
        <f>'[2]Thu '!E100</f>
        <v>9359</v>
      </c>
      <c r="H130" s="128">
        <f>'[2]Thu '!F100</f>
        <v>0</v>
      </c>
      <c r="I130" s="131"/>
      <c r="J130" s="125">
        <f t="shared" si="4"/>
        <v>7992</v>
      </c>
      <c r="K130" s="128">
        <f>'[2]Phú Bình'!$R$15</f>
        <v>7896</v>
      </c>
      <c r="L130" s="128"/>
      <c r="M130" s="128">
        <f>'[2]Phú Bình'!$R$30</f>
        <v>96</v>
      </c>
      <c r="N130" s="128"/>
    </row>
    <row r="131" spans="1:14" s="26" customFormat="1" ht="21.9" customHeight="1">
      <c r="A131" s="123">
        <v>27</v>
      </c>
      <c r="B131" s="124" t="s">
        <v>430</v>
      </c>
      <c r="C131" s="125">
        <f>SUM(C132:C134)</f>
        <v>925</v>
      </c>
      <c r="D131" s="128">
        <f t="shared" si="5"/>
        <v>25725</v>
      </c>
      <c r="E131" s="125">
        <f>SUM(E132:E134)</f>
        <v>671</v>
      </c>
      <c r="F131" s="125">
        <f t="shared" si="6"/>
        <v>25054</v>
      </c>
      <c r="G131" s="125">
        <f>SUM(G132:G134)</f>
        <v>25054</v>
      </c>
      <c r="H131" s="125">
        <f>SUM(H132:H134)</f>
        <v>0</v>
      </c>
      <c r="I131" s="125">
        <f>SUM(I132:I134)</f>
        <v>0</v>
      </c>
      <c r="J131" s="125">
        <f t="shared" si="4"/>
        <v>25725</v>
      </c>
      <c r="K131" s="125">
        <f>SUM(K132:K134)</f>
        <v>25414</v>
      </c>
      <c r="L131" s="125">
        <f>'[2]Tổng '!R34</f>
        <v>0</v>
      </c>
      <c r="M131" s="125">
        <f>SUM(M132:M134)</f>
        <v>311</v>
      </c>
      <c r="N131" s="125">
        <f>'[2]Tổng '!T34</f>
        <v>0</v>
      </c>
    </row>
    <row r="132" spans="1:14" ht="21.9" customHeight="1">
      <c r="A132" s="126"/>
      <c r="B132" s="127" t="s">
        <v>562</v>
      </c>
      <c r="C132" s="128">
        <v>389</v>
      </c>
      <c r="D132" s="128">
        <f t="shared" si="5"/>
        <v>9692</v>
      </c>
      <c r="E132" s="128">
        <f>'[2]Thu '!D101</f>
        <v>286</v>
      </c>
      <c r="F132" s="125">
        <f t="shared" si="6"/>
        <v>9406</v>
      </c>
      <c r="G132" s="128">
        <f>'[2]Thu '!E101</f>
        <v>9406</v>
      </c>
      <c r="H132" s="128">
        <f>'[2]Thu '!F101</f>
        <v>0</v>
      </c>
      <c r="I132" s="131"/>
      <c r="J132" s="125">
        <f t="shared" si="4"/>
        <v>9692</v>
      </c>
      <c r="K132" s="128">
        <f>'[2]Phú Bình'!$U$15</f>
        <v>9570</v>
      </c>
      <c r="L132" s="128"/>
      <c r="M132" s="128">
        <f>'[2]Phú Bình'!$U$30</f>
        <v>122</v>
      </c>
      <c r="N132" s="128"/>
    </row>
    <row r="133" spans="1:14" ht="21.9" customHeight="1">
      <c r="A133" s="126"/>
      <c r="B133" s="127" t="s">
        <v>563</v>
      </c>
      <c r="C133" s="128">
        <v>232</v>
      </c>
      <c r="D133" s="128">
        <f t="shared" si="5"/>
        <v>8628</v>
      </c>
      <c r="E133" s="128">
        <f>'[2]Thu '!D102</f>
        <v>167</v>
      </c>
      <c r="F133" s="125">
        <f t="shared" si="6"/>
        <v>8461</v>
      </c>
      <c r="G133" s="128">
        <f>'[2]Thu '!E102</f>
        <v>8461</v>
      </c>
      <c r="H133" s="128">
        <f>'[2]Thu '!F102</f>
        <v>0</v>
      </c>
      <c r="I133" s="131"/>
      <c r="J133" s="125">
        <f t="shared" si="4"/>
        <v>8628</v>
      </c>
      <c r="K133" s="128">
        <f>'[2]Phú Bình'!$V$15</f>
        <v>8529</v>
      </c>
      <c r="L133" s="128"/>
      <c r="M133" s="128">
        <f>'[2]Phú Bình'!$V$30</f>
        <v>99</v>
      </c>
      <c r="N133" s="128"/>
    </row>
    <row r="134" spans="1:14" ht="21.9" customHeight="1">
      <c r="A134" s="126"/>
      <c r="B134" s="127" t="s">
        <v>564</v>
      </c>
      <c r="C134" s="128">
        <v>304</v>
      </c>
      <c r="D134" s="128">
        <f t="shared" si="5"/>
        <v>7405</v>
      </c>
      <c r="E134" s="128">
        <f>'[2]Thu '!D103</f>
        <v>218</v>
      </c>
      <c r="F134" s="125">
        <f t="shared" si="6"/>
        <v>7187</v>
      </c>
      <c r="G134" s="128">
        <f>'[2]Thu '!E103</f>
        <v>7187</v>
      </c>
      <c r="H134" s="128">
        <f>'[2]Thu '!F103</f>
        <v>0</v>
      </c>
      <c r="I134" s="131"/>
      <c r="J134" s="125">
        <f t="shared" si="4"/>
        <v>7405</v>
      </c>
      <c r="K134" s="128">
        <f>'[2]Phú Bình'!$W$15</f>
        <v>7315</v>
      </c>
      <c r="L134" s="128"/>
      <c r="M134" s="128">
        <f>'[2]Phú Bình'!$W$30</f>
        <v>90</v>
      </c>
      <c r="N134" s="128"/>
    </row>
    <row r="135" spans="1:14" s="26" customFormat="1" ht="21.9" customHeight="1">
      <c r="A135" s="123">
        <v>28</v>
      </c>
      <c r="B135" s="124" t="s">
        <v>431</v>
      </c>
      <c r="C135" s="125">
        <f>C136+C137+C138+C139</f>
        <v>6016</v>
      </c>
      <c r="D135" s="128">
        <f t="shared" si="5"/>
        <v>29951.5</v>
      </c>
      <c r="E135" s="125">
        <f>E136+E137+E138+E139</f>
        <v>1161.5</v>
      </c>
      <c r="F135" s="125">
        <f t="shared" si="6"/>
        <v>28790</v>
      </c>
      <c r="G135" s="125">
        <f>G136+G137+G138+G139</f>
        <v>28790</v>
      </c>
      <c r="H135" s="125">
        <f>H136+H137+H138+H139</f>
        <v>0</v>
      </c>
      <c r="I135" s="125">
        <f>I136+I137+I138+I139</f>
        <v>0</v>
      </c>
      <c r="J135" s="125">
        <f t="shared" si="4"/>
        <v>29951</v>
      </c>
      <c r="K135" s="125">
        <f>K136+K137+K138+K139</f>
        <v>29364</v>
      </c>
      <c r="L135" s="125">
        <f>'[2]Tổng '!R35</f>
        <v>0</v>
      </c>
      <c r="M135" s="125">
        <f>SUM(M136:M139)</f>
        <v>587</v>
      </c>
      <c r="N135" s="125">
        <f>'[2]Tổng '!T35</f>
        <v>0</v>
      </c>
    </row>
    <row r="136" spans="1:14" ht="21.9" customHeight="1">
      <c r="A136" s="126"/>
      <c r="B136" s="127" t="s">
        <v>565</v>
      </c>
      <c r="C136" s="128">
        <v>548</v>
      </c>
      <c r="D136" s="128">
        <f t="shared" si="5"/>
        <v>6713.5</v>
      </c>
      <c r="E136" s="128">
        <f>'[2]Thu '!D105</f>
        <v>238.5</v>
      </c>
      <c r="F136" s="125">
        <f t="shared" si="6"/>
        <v>6475</v>
      </c>
      <c r="G136" s="128">
        <f>'[2]Thu '!E105</f>
        <v>6475</v>
      </c>
      <c r="H136" s="128">
        <f>'[2]Thu '!F105</f>
        <v>0</v>
      </c>
      <c r="I136" s="131"/>
      <c r="J136" s="125">
        <f t="shared" si="4"/>
        <v>6713.5</v>
      </c>
      <c r="K136" s="128">
        <f>'[2]Đồng Hỷ'!$D$15</f>
        <v>6581.5</v>
      </c>
      <c r="L136" s="128"/>
      <c r="M136" s="128">
        <f>'[2]Đồng Hỷ'!$D$30</f>
        <v>132</v>
      </c>
      <c r="N136" s="128"/>
    </row>
    <row r="137" spans="1:14" ht="21.9" customHeight="1">
      <c r="A137" s="126"/>
      <c r="B137" s="127" t="s">
        <v>566</v>
      </c>
      <c r="C137" s="128">
        <v>703</v>
      </c>
      <c r="D137" s="128">
        <f t="shared" si="5"/>
        <v>7185</v>
      </c>
      <c r="E137" s="128">
        <f>'[2]Thu '!D106</f>
        <v>203</v>
      </c>
      <c r="F137" s="125">
        <f t="shared" si="6"/>
        <v>6982</v>
      </c>
      <c r="G137" s="128">
        <f>'[2]Thu '!E106</f>
        <v>6982</v>
      </c>
      <c r="H137" s="128">
        <f>'[2]Thu '!F106</f>
        <v>0</v>
      </c>
      <c r="I137" s="131"/>
      <c r="J137" s="125">
        <f t="shared" si="4"/>
        <v>7185</v>
      </c>
      <c r="K137" s="128">
        <f>'[2]Đồng Hỷ'!$E$15</f>
        <v>7044</v>
      </c>
      <c r="L137" s="128"/>
      <c r="M137" s="128">
        <f>'[2]Đồng Hỷ'!$E$30</f>
        <v>141</v>
      </c>
      <c r="N137" s="128"/>
    </row>
    <row r="138" spans="1:14" ht="21.9" customHeight="1">
      <c r="A138" s="126"/>
      <c r="B138" s="127" t="s">
        <v>567</v>
      </c>
      <c r="C138" s="128">
        <v>525</v>
      </c>
      <c r="D138" s="128">
        <f t="shared" si="5"/>
        <v>7000.5</v>
      </c>
      <c r="E138" s="128">
        <f>'[2]Thu '!D108</f>
        <v>145</v>
      </c>
      <c r="F138" s="125">
        <f t="shared" si="6"/>
        <v>6855.5</v>
      </c>
      <c r="G138" s="128">
        <f>'[2]Thu '!E108</f>
        <v>6855.5</v>
      </c>
      <c r="H138" s="128">
        <f>'[2]Thu '!F108</f>
        <v>0</v>
      </c>
      <c r="I138" s="131"/>
      <c r="J138" s="125">
        <f t="shared" si="4"/>
        <v>7000</v>
      </c>
      <c r="K138" s="128">
        <f>'[2]Đồng Hỷ'!$G$15</f>
        <v>6864</v>
      </c>
      <c r="L138" s="128"/>
      <c r="M138" s="128">
        <f>'[2]Đồng Hỷ'!$G$30</f>
        <v>136</v>
      </c>
      <c r="N138" s="128"/>
    </row>
    <row r="139" spans="1:14" ht="21.9" customHeight="1">
      <c r="A139" s="126"/>
      <c r="B139" s="127" t="s">
        <v>568</v>
      </c>
      <c r="C139" s="128">
        <v>4240</v>
      </c>
      <c r="D139" s="128">
        <f t="shared" si="5"/>
        <v>9052.5</v>
      </c>
      <c r="E139" s="128">
        <f>'[2]Thu '!D107</f>
        <v>575</v>
      </c>
      <c r="F139" s="125">
        <f t="shared" si="6"/>
        <v>8477.5</v>
      </c>
      <c r="G139" s="128">
        <f>'[2]Thu '!E107</f>
        <v>8477.5</v>
      </c>
      <c r="H139" s="128">
        <f>'[2]Thu '!F107</f>
        <v>0</v>
      </c>
      <c r="I139" s="131"/>
      <c r="J139" s="125">
        <f t="shared" ref="J139:J202" si="7">SUM(K139:N139)</f>
        <v>9052.5</v>
      </c>
      <c r="K139" s="128">
        <f>'[2]Đồng Hỷ'!$F$15</f>
        <v>8874.5</v>
      </c>
      <c r="L139" s="128"/>
      <c r="M139" s="128">
        <f>'[2]Đồng Hỷ'!$F$30</f>
        <v>178</v>
      </c>
      <c r="N139" s="128"/>
    </row>
    <row r="140" spans="1:14" s="26" customFormat="1" ht="21.9" customHeight="1">
      <c r="A140" s="123">
        <v>29</v>
      </c>
      <c r="B140" s="124" t="s">
        <v>330</v>
      </c>
      <c r="C140" s="125">
        <f>SUM(C141:C142)</f>
        <v>651</v>
      </c>
      <c r="D140" s="128">
        <f t="shared" ref="D140:D203" si="8">E140+F140+I140</f>
        <v>14865.5</v>
      </c>
      <c r="E140" s="125">
        <f>SUM(E141:E142)</f>
        <v>321</v>
      </c>
      <c r="F140" s="125">
        <f t="shared" ref="F140:F203" si="9">SUM(G140:H140)</f>
        <v>14544.5</v>
      </c>
      <c r="G140" s="125">
        <f>SUM(G141:G142)</f>
        <v>14544.5</v>
      </c>
      <c r="H140" s="125">
        <f>SUM(H141:H142)</f>
        <v>0</v>
      </c>
      <c r="I140" s="125">
        <f>SUM(I141:I142)</f>
        <v>0</v>
      </c>
      <c r="J140" s="125">
        <f t="shared" si="7"/>
        <v>14865.5</v>
      </c>
      <c r="K140" s="125">
        <f>SUM(K141:K142)</f>
        <v>14573.5</v>
      </c>
      <c r="L140" s="125">
        <f>'[2]Tổng '!R36</f>
        <v>0</v>
      </c>
      <c r="M140" s="125">
        <f>SUM(M141:M142)</f>
        <v>292</v>
      </c>
      <c r="N140" s="125">
        <f>'[2]Tổng '!T36</f>
        <v>0</v>
      </c>
    </row>
    <row r="141" spans="1:14" ht="21.9" customHeight="1">
      <c r="A141" s="126"/>
      <c r="B141" s="127" t="s">
        <v>569</v>
      </c>
      <c r="C141" s="128">
        <v>464</v>
      </c>
      <c r="D141" s="128">
        <f t="shared" si="8"/>
        <v>6969</v>
      </c>
      <c r="E141" s="128">
        <f>'[2]Thu '!D110</f>
        <v>239.5</v>
      </c>
      <c r="F141" s="125">
        <f t="shared" si="9"/>
        <v>6729.5</v>
      </c>
      <c r="G141" s="128">
        <f>'[2]Thu '!E110</f>
        <v>6729.5</v>
      </c>
      <c r="H141" s="128">
        <f>'[2]Thu '!F110</f>
        <v>0</v>
      </c>
      <c r="I141" s="131"/>
      <c r="J141" s="125">
        <f t="shared" si="7"/>
        <v>6969</v>
      </c>
      <c r="K141" s="128">
        <f>'[2]Đồng Hỷ'!$I$15</f>
        <v>6832</v>
      </c>
      <c r="L141" s="128"/>
      <c r="M141" s="128">
        <f>'[2]Đồng Hỷ'!$I$30</f>
        <v>137</v>
      </c>
      <c r="N141" s="128"/>
    </row>
    <row r="142" spans="1:14" ht="21.9" customHeight="1">
      <c r="A142" s="126"/>
      <c r="B142" s="127" t="s">
        <v>494</v>
      </c>
      <c r="C142" s="128">
        <v>187</v>
      </c>
      <c r="D142" s="128">
        <f t="shared" si="8"/>
        <v>7896.5</v>
      </c>
      <c r="E142" s="128">
        <f>'[2]Thu '!D109</f>
        <v>81.5</v>
      </c>
      <c r="F142" s="125">
        <f t="shared" si="9"/>
        <v>7815</v>
      </c>
      <c r="G142" s="128">
        <f>'[2]Thu '!E109</f>
        <v>7815</v>
      </c>
      <c r="H142" s="128">
        <f>'[2]Thu '!F109</f>
        <v>0</v>
      </c>
      <c r="I142" s="131"/>
      <c r="J142" s="125">
        <f t="shared" si="7"/>
        <v>7896.5</v>
      </c>
      <c r="K142" s="128">
        <f>'[2]Đồng Hỷ'!$H$15</f>
        <v>7741.5</v>
      </c>
      <c r="L142" s="128"/>
      <c r="M142" s="128">
        <f>'[2]Đồng Hỷ'!$H$30</f>
        <v>155</v>
      </c>
      <c r="N142" s="128"/>
    </row>
    <row r="143" spans="1:14" s="26" customFormat="1" ht="21.9" customHeight="1">
      <c r="A143" s="123">
        <v>30</v>
      </c>
      <c r="B143" s="124" t="s">
        <v>432</v>
      </c>
      <c r="C143" s="125">
        <f>SUM(C144:C145)</f>
        <v>2259</v>
      </c>
      <c r="D143" s="128">
        <f t="shared" si="8"/>
        <v>21177</v>
      </c>
      <c r="E143" s="125">
        <f>SUM(E144:E145)</f>
        <v>1231.5</v>
      </c>
      <c r="F143" s="125">
        <f t="shared" si="9"/>
        <v>19945.5</v>
      </c>
      <c r="G143" s="125">
        <f>SUM(G144:G145)</f>
        <v>19945.5</v>
      </c>
      <c r="H143" s="125">
        <f>SUM(H144:H145)</f>
        <v>0</v>
      </c>
      <c r="I143" s="125">
        <f>SUM(I144:I145)</f>
        <v>0</v>
      </c>
      <c r="J143" s="125">
        <f t="shared" si="7"/>
        <v>21177</v>
      </c>
      <c r="K143" s="125">
        <f>SUM(K144:K145)</f>
        <v>20783</v>
      </c>
      <c r="L143" s="125">
        <f>'[2]Tổng '!R37</f>
        <v>0</v>
      </c>
      <c r="M143" s="125">
        <f>SUM(M144:M145)</f>
        <v>394</v>
      </c>
      <c r="N143" s="125">
        <f>'[2]Tổng '!T37</f>
        <v>0</v>
      </c>
    </row>
    <row r="144" spans="1:14" ht="21.9" customHeight="1">
      <c r="A144" s="126"/>
      <c r="B144" s="127" t="s">
        <v>570</v>
      </c>
      <c r="C144" s="128">
        <v>1621</v>
      </c>
      <c r="D144" s="128">
        <f t="shared" si="8"/>
        <v>12773.5</v>
      </c>
      <c r="E144" s="128">
        <f>'[2]Thu '!D112</f>
        <v>908.5</v>
      </c>
      <c r="F144" s="125">
        <f t="shared" si="9"/>
        <v>11865</v>
      </c>
      <c r="G144" s="128">
        <f>'[2]Thu '!E112</f>
        <v>11865</v>
      </c>
      <c r="H144" s="128">
        <f>'[2]Thu '!F112</f>
        <v>0</v>
      </c>
      <c r="I144" s="131"/>
      <c r="J144" s="125">
        <f t="shared" si="7"/>
        <v>12773.5</v>
      </c>
      <c r="K144" s="128">
        <f>'[2]Đồng Hỷ'!$K$15</f>
        <v>12544.5</v>
      </c>
      <c r="L144" s="128"/>
      <c r="M144" s="128">
        <f>'[2]Đồng Hỷ'!$K$30</f>
        <v>229</v>
      </c>
      <c r="N144" s="128"/>
    </row>
    <row r="145" spans="1:14" ht="21.9" customHeight="1">
      <c r="A145" s="126"/>
      <c r="B145" s="127" t="s">
        <v>571</v>
      </c>
      <c r="C145" s="128">
        <v>638</v>
      </c>
      <c r="D145" s="128">
        <f t="shared" si="8"/>
        <v>8403.5</v>
      </c>
      <c r="E145" s="128">
        <f>'[2]Thu '!D111</f>
        <v>323</v>
      </c>
      <c r="F145" s="125">
        <f t="shared" si="9"/>
        <v>8080.5</v>
      </c>
      <c r="G145" s="128">
        <f>'[2]Thu '!E111</f>
        <v>8080.5</v>
      </c>
      <c r="H145" s="128">
        <f>'[2]Thu '!F111</f>
        <v>0</v>
      </c>
      <c r="I145" s="131"/>
      <c r="J145" s="125">
        <f t="shared" si="7"/>
        <v>8403.5</v>
      </c>
      <c r="K145" s="128">
        <f>'[2]Đồng Hỷ'!$J$15</f>
        <v>8238.5</v>
      </c>
      <c r="L145" s="128"/>
      <c r="M145" s="128">
        <f>'[2]Đồng Hỷ'!$J$30</f>
        <v>165</v>
      </c>
      <c r="N145" s="128"/>
    </row>
    <row r="146" spans="1:14" s="26" customFormat="1" ht="21.9" customHeight="1">
      <c r="A146" s="123">
        <v>31</v>
      </c>
      <c r="B146" s="124" t="s">
        <v>433</v>
      </c>
      <c r="C146" s="125">
        <f>SUM(C147:C148)</f>
        <v>2145</v>
      </c>
      <c r="D146" s="128">
        <f t="shared" si="8"/>
        <v>16369</v>
      </c>
      <c r="E146" s="125">
        <f>SUM(E147:E148)</f>
        <v>1040</v>
      </c>
      <c r="F146" s="125">
        <f t="shared" si="9"/>
        <v>15329</v>
      </c>
      <c r="G146" s="125">
        <f>SUM(G147:G148)</f>
        <v>15329</v>
      </c>
      <c r="H146" s="125">
        <f>SUM(H147:H148)</f>
        <v>0</v>
      </c>
      <c r="I146" s="125">
        <f>SUM(I147:I148)</f>
        <v>0</v>
      </c>
      <c r="J146" s="125">
        <f t="shared" si="7"/>
        <v>16369</v>
      </c>
      <c r="K146" s="125">
        <f>SUM(K147:K148)</f>
        <v>16047</v>
      </c>
      <c r="L146" s="125">
        <f>'[2]Tổng '!R38</f>
        <v>0</v>
      </c>
      <c r="M146" s="125">
        <f>SUM(M147:M148)</f>
        <v>322</v>
      </c>
      <c r="N146" s="125">
        <f>'[2]Tổng '!T38</f>
        <v>0</v>
      </c>
    </row>
    <row r="147" spans="1:14" ht="21.9" customHeight="1">
      <c r="A147" s="126"/>
      <c r="B147" s="127" t="s">
        <v>572</v>
      </c>
      <c r="C147" s="128">
        <v>1615</v>
      </c>
      <c r="D147" s="128">
        <f t="shared" si="8"/>
        <v>9461.5</v>
      </c>
      <c r="E147" s="128">
        <f>'[2]Thu '!D113</f>
        <v>830</v>
      </c>
      <c r="F147" s="125">
        <f t="shared" si="9"/>
        <v>8631.5</v>
      </c>
      <c r="G147" s="128">
        <f>'[2]Thu '!E113</f>
        <v>8631.5</v>
      </c>
      <c r="H147" s="128">
        <f>'[2]Thu '!F113</f>
        <v>0</v>
      </c>
      <c r="I147" s="131"/>
      <c r="J147" s="125">
        <f t="shared" si="7"/>
        <v>9461.5</v>
      </c>
      <c r="K147" s="128">
        <f>'[2]Đồng Hỷ'!$L$15</f>
        <v>9275.5</v>
      </c>
      <c r="L147" s="128"/>
      <c r="M147" s="128">
        <f>'[2]Đồng Hỷ'!$L$30</f>
        <v>186</v>
      </c>
      <c r="N147" s="128"/>
    </row>
    <row r="148" spans="1:14" ht="21.9" customHeight="1">
      <c r="A148" s="126"/>
      <c r="B148" s="127" t="s">
        <v>573</v>
      </c>
      <c r="C148" s="128">
        <v>530</v>
      </c>
      <c r="D148" s="128">
        <f t="shared" si="8"/>
        <v>6907.5</v>
      </c>
      <c r="E148" s="128">
        <f>'[2]Thu '!D114</f>
        <v>210</v>
      </c>
      <c r="F148" s="125">
        <f t="shared" si="9"/>
        <v>6697.5</v>
      </c>
      <c r="G148" s="128">
        <f>'[2]Thu '!E114</f>
        <v>6697.5</v>
      </c>
      <c r="H148" s="128">
        <f>'[2]Thu '!F114</f>
        <v>0</v>
      </c>
      <c r="I148" s="131"/>
      <c r="J148" s="125">
        <f t="shared" si="7"/>
        <v>6907.5</v>
      </c>
      <c r="K148" s="128">
        <f>'[2]Đồng Hỷ'!$M$15</f>
        <v>6771.5</v>
      </c>
      <c r="L148" s="128"/>
      <c r="M148" s="128">
        <f>'[2]Đồng Hỷ'!$M$30</f>
        <v>136</v>
      </c>
      <c r="N148" s="128"/>
    </row>
    <row r="149" spans="1:14" s="26" customFormat="1" ht="21.9" customHeight="1">
      <c r="A149" s="123">
        <v>32</v>
      </c>
      <c r="B149" s="124" t="s">
        <v>434</v>
      </c>
      <c r="C149" s="125">
        <f>SUM(C150:C151)</f>
        <v>1470</v>
      </c>
      <c r="D149" s="128">
        <f t="shared" si="8"/>
        <v>18393</v>
      </c>
      <c r="E149" s="125">
        <f>SUM(E150:E151)</f>
        <v>635</v>
      </c>
      <c r="F149" s="125">
        <f t="shared" si="9"/>
        <v>17758</v>
      </c>
      <c r="G149" s="125">
        <f>SUM(G150:G151)</f>
        <v>17758</v>
      </c>
      <c r="H149" s="125">
        <f>SUM(H150:H151)</f>
        <v>0</v>
      </c>
      <c r="I149" s="125">
        <f>SUM(I150:I151)</f>
        <v>0</v>
      </c>
      <c r="J149" s="125">
        <f t="shared" si="7"/>
        <v>18393</v>
      </c>
      <c r="K149" s="125">
        <f>SUM(K150:K151)</f>
        <v>18032</v>
      </c>
      <c r="L149" s="125">
        <f>'[2]Tổng '!R39</f>
        <v>0</v>
      </c>
      <c r="M149" s="125">
        <f>SUM(M150:M151)</f>
        <v>361</v>
      </c>
      <c r="N149" s="125">
        <f>'[2]Tổng '!T39</f>
        <v>0</v>
      </c>
    </row>
    <row r="150" spans="1:14" ht="21.9" customHeight="1">
      <c r="A150" s="126"/>
      <c r="B150" s="127" t="s">
        <v>574</v>
      </c>
      <c r="C150" s="128">
        <v>735</v>
      </c>
      <c r="D150" s="128">
        <f t="shared" si="8"/>
        <v>9536.5</v>
      </c>
      <c r="E150" s="128">
        <f>'[2]Thu '!D115</f>
        <v>375</v>
      </c>
      <c r="F150" s="125">
        <f t="shared" si="9"/>
        <v>9161.5</v>
      </c>
      <c r="G150" s="128">
        <f>'[2]Thu '!E115</f>
        <v>9161.5</v>
      </c>
      <c r="H150" s="128">
        <f>'[2]Thu '!F115</f>
        <v>0</v>
      </c>
      <c r="I150" s="131"/>
      <c r="J150" s="125">
        <f t="shared" si="7"/>
        <v>9536.5</v>
      </c>
      <c r="K150" s="128">
        <f>'[2]Đồng Hỷ'!$N$15</f>
        <v>9349.5</v>
      </c>
      <c r="L150" s="128"/>
      <c r="M150" s="128">
        <f>'[2]Đồng Hỷ'!$N$30</f>
        <v>187</v>
      </c>
      <c r="N150" s="128"/>
    </row>
    <row r="151" spans="1:14" ht="21.9" customHeight="1">
      <c r="A151" s="126"/>
      <c r="B151" s="127" t="s">
        <v>575</v>
      </c>
      <c r="C151" s="128">
        <v>735</v>
      </c>
      <c r="D151" s="128">
        <f t="shared" si="8"/>
        <v>8856.5</v>
      </c>
      <c r="E151" s="128">
        <f>'[2]Thu '!D116</f>
        <v>260</v>
      </c>
      <c r="F151" s="125">
        <f t="shared" si="9"/>
        <v>8596.5</v>
      </c>
      <c r="G151" s="128">
        <f>'[2]Thu '!E116</f>
        <v>8596.5</v>
      </c>
      <c r="H151" s="128">
        <f>'[2]Thu '!F116</f>
        <v>0</v>
      </c>
      <c r="I151" s="131"/>
      <c r="J151" s="125">
        <f t="shared" si="7"/>
        <v>8856.5</v>
      </c>
      <c r="K151" s="128">
        <f>'[2]Đồng Hỷ'!$O$15</f>
        <v>8682.5</v>
      </c>
      <c r="L151" s="128"/>
      <c r="M151" s="128">
        <f>'[2]Đồng Hỷ'!$O$30</f>
        <v>174</v>
      </c>
      <c r="N151" s="128"/>
    </row>
    <row r="152" spans="1:14" s="26" customFormat="1" ht="21.9" customHeight="1">
      <c r="A152" s="123">
        <v>33</v>
      </c>
      <c r="B152" s="124" t="s">
        <v>435</v>
      </c>
      <c r="C152" s="125">
        <f>SUM(C153:C154)</f>
        <v>715</v>
      </c>
      <c r="D152" s="128">
        <f t="shared" si="8"/>
        <v>15728</v>
      </c>
      <c r="E152" s="125">
        <f>SUM(E153:E154)</f>
        <v>447</v>
      </c>
      <c r="F152" s="125">
        <f t="shared" si="9"/>
        <v>15281</v>
      </c>
      <c r="G152" s="125">
        <f>SUM(G153:G154)</f>
        <v>15281</v>
      </c>
      <c r="H152" s="125">
        <f>SUM(H153:H154)</f>
        <v>0</v>
      </c>
      <c r="I152" s="125">
        <f>SUM(I153:I154)</f>
        <v>0</v>
      </c>
      <c r="J152" s="125">
        <f t="shared" si="7"/>
        <v>15728</v>
      </c>
      <c r="K152" s="125">
        <f>SUM(K153:K154)</f>
        <v>15419</v>
      </c>
      <c r="L152" s="125">
        <f>'[2]Tổng '!R40</f>
        <v>0</v>
      </c>
      <c r="M152" s="125">
        <f>SUM(M153:M154)</f>
        <v>309</v>
      </c>
      <c r="N152" s="125">
        <f>'[2]Tổng '!T40</f>
        <v>0</v>
      </c>
    </row>
    <row r="153" spans="1:14" ht="21.9" customHeight="1">
      <c r="A153" s="126"/>
      <c r="B153" s="127" t="s">
        <v>576</v>
      </c>
      <c r="C153" s="128">
        <v>355</v>
      </c>
      <c r="D153" s="128">
        <f t="shared" si="8"/>
        <v>9424.5</v>
      </c>
      <c r="E153" s="128">
        <f>'[2]Thu '!D117</f>
        <v>249</v>
      </c>
      <c r="F153" s="125">
        <f t="shared" si="9"/>
        <v>9175.5</v>
      </c>
      <c r="G153" s="128">
        <f>'[2]Thu '!E117</f>
        <v>9175.5</v>
      </c>
      <c r="H153" s="128">
        <f>'[2]Thu '!F117</f>
        <v>0</v>
      </c>
      <c r="I153" s="131"/>
      <c r="J153" s="125">
        <f t="shared" si="7"/>
        <v>9424.5</v>
      </c>
      <c r="K153" s="128">
        <f>'[2]Đồng Hỷ'!$P$15</f>
        <v>9239.5</v>
      </c>
      <c r="L153" s="128"/>
      <c r="M153" s="128">
        <f>'[2]Đồng Hỷ'!$P$30</f>
        <v>185</v>
      </c>
      <c r="N153" s="128"/>
    </row>
    <row r="154" spans="1:14" ht="21.9" customHeight="1">
      <c r="A154" s="126"/>
      <c r="B154" s="127" t="s">
        <v>577</v>
      </c>
      <c r="C154" s="128">
        <v>360</v>
      </c>
      <c r="D154" s="128">
        <f t="shared" si="8"/>
        <v>6303.5</v>
      </c>
      <c r="E154" s="128">
        <f>'[2]Thu '!D118</f>
        <v>198</v>
      </c>
      <c r="F154" s="125">
        <f t="shared" si="9"/>
        <v>6105.5</v>
      </c>
      <c r="G154" s="128">
        <f>'[2]Thu '!E118</f>
        <v>6105.5</v>
      </c>
      <c r="H154" s="128">
        <f>'[2]Thu '!F118</f>
        <v>0</v>
      </c>
      <c r="I154" s="131"/>
      <c r="J154" s="125">
        <f t="shared" si="7"/>
        <v>6303.5</v>
      </c>
      <c r="K154" s="128">
        <f>'[2]Đồng Hỷ'!$Q$15</f>
        <v>6179.5</v>
      </c>
      <c r="L154" s="128"/>
      <c r="M154" s="128">
        <f>'[2]Đồng Hỷ'!$Q$30</f>
        <v>124</v>
      </c>
      <c r="N154" s="128"/>
    </row>
    <row r="155" spans="1:14" s="26" customFormat="1" ht="21.9" customHeight="1">
      <c r="A155" s="123">
        <v>34</v>
      </c>
      <c r="B155" s="124" t="s">
        <v>436</v>
      </c>
      <c r="C155" s="125">
        <f>SUM(C156:C158)</f>
        <v>8616</v>
      </c>
      <c r="D155" s="128">
        <f t="shared" si="8"/>
        <v>24774</v>
      </c>
      <c r="E155" s="125">
        <f>SUM(E156:E158)</f>
        <v>932</v>
      </c>
      <c r="F155" s="125">
        <f t="shared" si="9"/>
        <v>23842</v>
      </c>
      <c r="G155" s="125">
        <f>SUM(G156:G158)</f>
        <v>23842</v>
      </c>
      <c r="H155" s="125">
        <f>SUM(H156:H158)</f>
        <v>0</v>
      </c>
      <c r="I155" s="125">
        <f>SUM(I156:I158)</f>
        <v>0</v>
      </c>
      <c r="J155" s="125">
        <f t="shared" si="7"/>
        <v>24773</v>
      </c>
      <c r="K155" s="125">
        <f>SUM(K156:K158)</f>
        <v>24284</v>
      </c>
      <c r="L155" s="125">
        <f>'[2]Tổng '!R41</f>
        <v>0</v>
      </c>
      <c r="M155" s="125">
        <f>SUM(M156:M158)</f>
        <v>489</v>
      </c>
      <c r="N155" s="125">
        <f>'[2]Tổng '!T41</f>
        <v>0</v>
      </c>
    </row>
    <row r="156" spans="1:14" ht="21.9" customHeight="1">
      <c r="A156" s="126"/>
      <c r="B156" s="127" t="s">
        <v>578</v>
      </c>
      <c r="C156" s="128">
        <v>3890</v>
      </c>
      <c r="D156" s="128">
        <f t="shared" si="8"/>
        <v>9287</v>
      </c>
      <c r="E156" s="128">
        <f>'[2]Thu '!D120</f>
        <v>374</v>
      </c>
      <c r="F156" s="125">
        <f t="shared" si="9"/>
        <v>8913</v>
      </c>
      <c r="G156" s="128">
        <f>'[2]Thu '!E120</f>
        <v>8913</v>
      </c>
      <c r="H156" s="128">
        <f>'[2]Thu '!F120</f>
        <v>0</v>
      </c>
      <c r="I156" s="131"/>
      <c r="J156" s="125">
        <f t="shared" si="7"/>
        <v>9286</v>
      </c>
      <c r="K156" s="128">
        <f>'[2]Sông Công'!$D$15</f>
        <v>9103</v>
      </c>
      <c r="L156" s="128"/>
      <c r="M156" s="128">
        <f>'[2]Sông Công'!$D$30</f>
        <v>183</v>
      </c>
      <c r="N156" s="128"/>
    </row>
    <row r="157" spans="1:14" ht="21.9" customHeight="1">
      <c r="A157" s="126"/>
      <c r="B157" s="127" t="s">
        <v>579</v>
      </c>
      <c r="C157" s="128">
        <v>1826</v>
      </c>
      <c r="D157" s="128">
        <f t="shared" si="8"/>
        <v>7855</v>
      </c>
      <c r="E157" s="128">
        <f>'[2]Thu '!D121</f>
        <v>267</v>
      </c>
      <c r="F157" s="125">
        <f t="shared" si="9"/>
        <v>7588</v>
      </c>
      <c r="G157" s="128">
        <f>'[2]Thu '!E121</f>
        <v>7588</v>
      </c>
      <c r="H157" s="128">
        <f>'[2]Thu '!F121</f>
        <v>0</v>
      </c>
      <c r="I157" s="131"/>
      <c r="J157" s="125">
        <f t="shared" si="7"/>
        <v>7855</v>
      </c>
      <c r="K157" s="128">
        <f>'[2]Sông Công'!$E$15</f>
        <v>7700</v>
      </c>
      <c r="L157" s="128"/>
      <c r="M157" s="128">
        <f>'[2]Sông Công'!$E$30</f>
        <v>155</v>
      </c>
      <c r="N157" s="128"/>
    </row>
    <row r="158" spans="1:14" ht="21.9" customHeight="1">
      <c r="A158" s="126"/>
      <c r="B158" s="127" t="s">
        <v>580</v>
      </c>
      <c r="C158" s="128">
        <v>2900</v>
      </c>
      <c r="D158" s="128">
        <f t="shared" si="8"/>
        <v>7632</v>
      </c>
      <c r="E158" s="128">
        <f>'[2]Thu '!D122</f>
        <v>291</v>
      </c>
      <c r="F158" s="125">
        <f t="shared" si="9"/>
        <v>7341</v>
      </c>
      <c r="G158" s="128">
        <f>'[2]Thu '!E122</f>
        <v>7341</v>
      </c>
      <c r="H158" s="128">
        <f>'[2]Thu '!F122</f>
        <v>0</v>
      </c>
      <c r="I158" s="131"/>
      <c r="J158" s="125">
        <f t="shared" si="7"/>
        <v>7632</v>
      </c>
      <c r="K158" s="128">
        <f>'[2]Sông Công'!$F$15</f>
        <v>7481</v>
      </c>
      <c r="L158" s="128"/>
      <c r="M158" s="128">
        <f>'[2]Sông Công'!$F$30</f>
        <v>151</v>
      </c>
      <c r="N158" s="128"/>
    </row>
    <row r="159" spans="1:14" s="26" customFormat="1" ht="21.9" customHeight="1">
      <c r="A159" s="123">
        <v>35</v>
      </c>
      <c r="B159" s="124" t="s">
        <v>437</v>
      </c>
      <c r="C159" s="125">
        <f>SUM(C160:C162)</f>
        <v>8186</v>
      </c>
      <c r="D159" s="128">
        <f t="shared" si="8"/>
        <v>24466</v>
      </c>
      <c r="E159" s="125">
        <f>SUM(E160:E162)</f>
        <v>1415</v>
      </c>
      <c r="F159" s="125">
        <f t="shared" si="9"/>
        <v>23051</v>
      </c>
      <c r="G159" s="125">
        <f>SUM(G160:G162)</f>
        <v>23051</v>
      </c>
      <c r="H159" s="125">
        <f>SUM(H160:H162)</f>
        <v>0</v>
      </c>
      <c r="I159" s="125">
        <f>SUM(I160:I162)</f>
        <v>0</v>
      </c>
      <c r="J159" s="125">
        <f t="shared" si="7"/>
        <v>24465</v>
      </c>
      <c r="K159" s="125">
        <f>SUM(K160:K162)</f>
        <v>23983</v>
      </c>
      <c r="L159" s="125">
        <f>'[2]Tổng '!R42</f>
        <v>0</v>
      </c>
      <c r="M159" s="125">
        <f>SUM(M160:M162)</f>
        <v>482</v>
      </c>
      <c r="N159" s="125">
        <f>'[2]Tổng '!T42</f>
        <v>0</v>
      </c>
    </row>
    <row r="160" spans="1:14" ht="21.9" customHeight="1">
      <c r="A160" s="126"/>
      <c r="B160" s="127" t="s">
        <v>581</v>
      </c>
      <c r="C160" s="128">
        <v>4466</v>
      </c>
      <c r="D160" s="128">
        <f t="shared" si="8"/>
        <v>8537</v>
      </c>
      <c r="E160" s="128">
        <f>'[2]Thu '!D123</f>
        <v>546</v>
      </c>
      <c r="F160" s="125">
        <f t="shared" si="9"/>
        <v>7991</v>
      </c>
      <c r="G160" s="128">
        <f>'[2]Thu '!E123</f>
        <v>7991</v>
      </c>
      <c r="H160" s="128">
        <f>'[2]Thu '!F123</f>
        <v>0</v>
      </c>
      <c r="I160" s="131"/>
      <c r="J160" s="125">
        <f t="shared" si="7"/>
        <v>8537</v>
      </c>
      <c r="K160" s="128">
        <f>'[2]Sông Công'!$G$15</f>
        <v>8369</v>
      </c>
      <c r="L160" s="128"/>
      <c r="M160" s="128">
        <f>'[2]Sông Công'!$G$30</f>
        <v>168</v>
      </c>
      <c r="N160" s="128"/>
    </row>
    <row r="161" spans="1:14" ht="21.9" customHeight="1">
      <c r="A161" s="126"/>
      <c r="B161" s="127" t="s">
        <v>582</v>
      </c>
      <c r="C161" s="128">
        <v>2565</v>
      </c>
      <c r="D161" s="128">
        <f t="shared" si="8"/>
        <v>7894</v>
      </c>
      <c r="E161" s="128">
        <f>'[2]Thu '!D124</f>
        <v>158</v>
      </c>
      <c r="F161" s="125">
        <f t="shared" si="9"/>
        <v>7736</v>
      </c>
      <c r="G161" s="128">
        <f>'[2]Thu '!E124</f>
        <v>7736</v>
      </c>
      <c r="H161" s="128">
        <f>'[2]Thu '!F124</f>
        <v>0</v>
      </c>
      <c r="I161" s="131"/>
      <c r="J161" s="125">
        <f t="shared" si="7"/>
        <v>7894</v>
      </c>
      <c r="K161" s="128">
        <f>'[2]Sông Công'!$H$15</f>
        <v>7738</v>
      </c>
      <c r="L161" s="128"/>
      <c r="M161" s="128">
        <f>'[2]Sông Công'!$H$30</f>
        <v>156</v>
      </c>
      <c r="N161" s="128"/>
    </row>
    <row r="162" spans="1:14" ht="21.9" customHeight="1">
      <c r="A162" s="126"/>
      <c r="B162" s="127" t="s">
        <v>583</v>
      </c>
      <c r="C162" s="128">
        <v>1155</v>
      </c>
      <c r="D162" s="128">
        <f t="shared" si="8"/>
        <v>8035</v>
      </c>
      <c r="E162" s="128">
        <f>'[2]Thu '!D125</f>
        <v>711</v>
      </c>
      <c r="F162" s="125">
        <f t="shared" si="9"/>
        <v>7324</v>
      </c>
      <c r="G162" s="128">
        <f>'[2]Thu '!E125</f>
        <v>7324</v>
      </c>
      <c r="H162" s="128">
        <f>'[2]Thu '!F125</f>
        <v>0</v>
      </c>
      <c r="I162" s="131"/>
      <c r="J162" s="125">
        <f t="shared" si="7"/>
        <v>8034</v>
      </c>
      <c r="K162" s="128">
        <f>'[2]Sông Công'!$I$15</f>
        <v>7876</v>
      </c>
      <c r="L162" s="128"/>
      <c r="M162" s="128">
        <f>'[2]Sông Công'!$I$30</f>
        <v>158</v>
      </c>
      <c r="N162" s="128"/>
    </row>
    <row r="163" spans="1:14" s="26" customFormat="1" ht="21.9" customHeight="1">
      <c r="A163" s="123">
        <v>36</v>
      </c>
      <c r="B163" s="124" t="s">
        <v>438</v>
      </c>
      <c r="C163" s="125">
        <f>SUM(C164:C166)</f>
        <v>12366</v>
      </c>
      <c r="D163" s="128">
        <f t="shared" si="8"/>
        <v>26259</v>
      </c>
      <c r="E163" s="125">
        <f>SUM(E164:E166)</f>
        <v>1887</v>
      </c>
      <c r="F163" s="125">
        <f t="shared" si="9"/>
        <v>24372</v>
      </c>
      <c r="G163" s="125">
        <f>SUM(G164:G166)</f>
        <v>24372</v>
      </c>
      <c r="H163" s="125">
        <f>SUM(H164:H166)</f>
        <v>0</v>
      </c>
      <c r="I163" s="125">
        <f>SUM(I164:I166)</f>
        <v>0</v>
      </c>
      <c r="J163" s="125">
        <f t="shared" si="7"/>
        <v>26259</v>
      </c>
      <c r="K163" s="125">
        <f>SUM(K164:K166)</f>
        <v>25741</v>
      </c>
      <c r="L163" s="125">
        <f>'[2]Tổng '!R43</f>
        <v>0</v>
      </c>
      <c r="M163" s="125">
        <f>SUM(M164:M166)</f>
        <v>518</v>
      </c>
      <c r="N163" s="125">
        <f>'[2]Tổng '!T43</f>
        <v>0</v>
      </c>
    </row>
    <row r="164" spans="1:14" ht="21.9" customHeight="1">
      <c r="A164" s="126"/>
      <c r="B164" s="127" t="s">
        <v>584</v>
      </c>
      <c r="C164" s="128">
        <v>5550</v>
      </c>
      <c r="D164" s="128">
        <f t="shared" si="8"/>
        <v>8075</v>
      </c>
      <c r="E164" s="128">
        <f>'[2]Thu '!D126</f>
        <v>352</v>
      </c>
      <c r="F164" s="125">
        <f t="shared" si="9"/>
        <v>7723</v>
      </c>
      <c r="G164" s="128">
        <f>'[2]Thu '!E126</f>
        <v>7723</v>
      </c>
      <c r="H164" s="128">
        <f>'[2]Thu '!F126</f>
        <v>0</v>
      </c>
      <c r="I164" s="131"/>
      <c r="J164" s="125">
        <f t="shared" si="7"/>
        <v>8075</v>
      </c>
      <c r="K164" s="128">
        <f>'[2]Sông Công'!$J$15</f>
        <v>7915</v>
      </c>
      <c r="L164" s="128"/>
      <c r="M164" s="128">
        <f>'[2]Sông Công'!$J$30+1</f>
        <v>160</v>
      </c>
      <c r="N164" s="128"/>
    </row>
    <row r="165" spans="1:14" ht="21.9" customHeight="1">
      <c r="A165" s="126"/>
      <c r="B165" s="127" t="s">
        <v>585</v>
      </c>
      <c r="C165" s="128">
        <v>3526</v>
      </c>
      <c r="D165" s="128">
        <f t="shared" si="8"/>
        <v>10897</v>
      </c>
      <c r="E165" s="128">
        <f>'[2]Thu '!D127</f>
        <v>320</v>
      </c>
      <c r="F165" s="125">
        <f t="shared" si="9"/>
        <v>10577</v>
      </c>
      <c r="G165" s="128">
        <f>'[2]Thu '!E127</f>
        <v>10577</v>
      </c>
      <c r="H165" s="128">
        <f>'[2]Thu '!F127</f>
        <v>0</v>
      </c>
      <c r="I165" s="131"/>
      <c r="J165" s="125">
        <f t="shared" si="7"/>
        <v>10897</v>
      </c>
      <c r="K165" s="128">
        <f>'[2]Sông Công'!$K$15</f>
        <v>10683</v>
      </c>
      <c r="L165" s="128"/>
      <c r="M165" s="128">
        <f>'[2]Sông Công'!$K$30</f>
        <v>214</v>
      </c>
      <c r="N165" s="128"/>
    </row>
    <row r="166" spans="1:14" ht="21.9" customHeight="1">
      <c r="A166" s="126"/>
      <c r="B166" s="127" t="s">
        <v>586</v>
      </c>
      <c r="C166" s="128">
        <v>3290</v>
      </c>
      <c r="D166" s="128">
        <f t="shared" si="8"/>
        <v>7287</v>
      </c>
      <c r="E166" s="128">
        <f>'[2]Thu '!D128</f>
        <v>1215</v>
      </c>
      <c r="F166" s="125">
        <f t="shared" si="9"/>
        <v>6072</v>
      </c>
      <c r="G166" s="128">
        <f>'[2]Thu '!E128</f>
        <v>6072</v>
      </c>
      <c r="H166" s="128">
        <f>'[2]Thu '!F128</f>
        <v>0</v>
      </c>
      <c r="I166" s="131"/>
      <c r="J166" s="125">
        <f t="shared" si="7"/>
        <v>7287</v>
      </c>
      <c r="K166" s="128">
        <f>'[2]Sông Công'!$L$15</f>
        <v>7143</v>
      </c>
      <c r="L166" s="128"/>
      <c r="M166" s="128">
        <f>'[2]Sông Công'!$L$30</f>
        <v>144</v>
      </c>
      <c r="N166" s="128"/>
    </row>
    <row r="167" spans="1:14" s="26" customFormat="1" ht="21.9" customHeight="1">
      <c r="A167" s="123">
        <v>37</v>
      </c>
      <c r="B167" s="124" t="s">
        <v>439</v>
      </c>
      <c r="C167" s="125">
        <f>SUM(C168:C171)</f>
        <v>8058</v>
      </c>
      <c r="D167" s="128">
        <f t="shared" si="8"/>
        <v>46473</v>
      </c>
      <c r="E167" s="125">
        <f>SUM(E168:E171)</f>
        <v>3808</v>
      </c>
      <c r="F167" s="125">
        <f t="shared" si="9"/>
        <v>42665</v>
      </c>
      <c r="G167" s="125">
        <f>SUM(G168:G171)</f>
        <v>19356</v>
      </c>
      <c r="H167" s="125">
        <f>SUM(H168:H171)</f>
        <v>23309</v>
      </c>
      <c r="I167" s="125">
        <f>SUM(I168:I171)</f>
        <v>0</v>
      </c>
      <c r="J167" s="125">
        <f t="shared" si="7"/>
        <v>46473</v>
      </c>
      <c r="K167" s="125">
        <f>SUM(K168:K171)</f>
        <v>45579</v>
      </c>
      <c r="L167" s="125">
        <f>'[2]Tổng '!R44</f>
        <v>0</v>
      </c>
      <c r="M167" s="125">
        <f>SUM(M168:M171)</f>
        <v>894</v>
      </c>
      <c r="N167" s="125">
        <f>'[2]Tổng '!T44</f>
        <v>0</v>
      </c>
    </row>
    <row r="168" spans="1:14" ht="21.9" customHeight="1">
      <c r="A168" s="126"/>
      <c r="B168" s="127" t="s">
        <v>587</v>
      </c>
      <c r="C168" s="128">
        <v>427</v>
      </c>
      <c r="D168" s="128">
        <f t="shared" si="8"/>
        <v>9721</v>
      </c>
      <c r="E168" s="128">
        <f>'[2]Thu '!D131</f>
        <v>338</v>
      </c>
      <c r="F168" s="125">
        <f t="shared" si="9"/>
        <v>9383</v>
      </c>
      <c r="G168" s="128">
        <f>'[2]Thu '!E131</f>
        <v>5796</v>
      </c>
      <c r="H168" s="128">
        <f>'[2]Thu '!F131</f>
        <v>3587</v>
      </c>
      <c r="I168" s="131"/>
      <c r="J168" s="125">
        <f t="shared" si="7"/>
        <v>9721</v>
      </c>
      <c r="K168" s="128">
        <f>'[2]Phú Lương'!$D$15</f>
        <v>9533</v>
      </c>
      <c r="L168" s="128"/>
      <c r="M168" s="128">
        <f>'[2]Phú Lương'!$D$30</f>
        <v>188</v>
      </c>
      <c r="N168" s="128"/>
    </row>
    <row r="169" spans="1:14" ht="21.9" customHeight="1">
      <c r="A169" s="126"/>
      <c r="B169" s="127" t="s">
        <v>588</v>
      </c>
      <c r="C169" s="128">
        <v>1028</v>
      </c>
      <c r="D169" s="128">
        <f t="shared" si="8"/>
        <v>11636</v>
      </c>
      <c r="E169" s="128">
        <f>'[2]Thu '!D132</f>
        <v>715</v>
      </c>
      <c r="F169" s="125">
        <f t="shared" si="9"/>
        <v>10921</v>
      </c>
      <c r="G169" s="128">
        <f>'[2]Thu '!E132</f>
        <v>5997</v>
      </c>
      <c r="H169" s="128">
        <f>'[2]Thu '!F132</f>
        <v>4924</v>
      </c>
      <c r="I169" s="131"/>
      <c r="J169" s="125">
        <f t="shared" si="7"/>
        <v>11636</v>
      </c>
      <c r="K169" s="128">
        <f>'[2]Phú Lương'!$E$15</f>
        <v>11417</v>
      </c>
      <c r="L169" s="128"/>
      <c r="M169" s="128">
        <f>'[2]Phú Lương'!$E$30</f>
        <v>219</v>
      </c>
      <c r="N169" s="128"/>
    </row>
    <row r="170" spans="1:14" ht="21.9" customHeight="1">
      <c r="A170" s="126"/>
      <c r="B170" s="127" t="s">
        <v>589</v>
      </c>
      <c r="C170" s="128">
        <v>4903</v>
      </c>
      <c r="D170" s="128">
        <f t="shared" si="8"/>
        <v>13613</v>
      </c>
      <c r="E170" s="128">
        <f>'[2]Thu '!D133</f>
        <v>2093</v>
      </c>
      <c r="F170" s="125">
        <f t="shared" si="9"/>
        <v>11520</v>
      </c>
      <c r="G170" s="128">
        <f>'[2]Thu '!E133</f>
        <v>4031</v>
      </c>
      <c r="H170" s="128">
        <f>'[2]Thu '!F133</f>
        <v>7489</v>
      </c>
      <c r="I170" s="131"/>
      <c r="J170" s="125">
        <f t="shared" si="7"/>
        <v>13613</v>
      </c>
      <c r="K170" s="128">
        <f>'[2]Phú Lương'!$F$15</f>
        <v>13349</v>
      </c>
      <c r="L170" s="128"/>
      <c r="M170" s="128">
        <f>'[2]Phú Lương'!$F$30</f>
        <v>264</v>
      </c>
      <c r="N170" s="128"/>
    </row>
    <row r="171" spans="1:14" ht="21.9" customHeight="1">
      <c r="A171" s="126"/>
      <c r="B171" s="127" t="s">
        <v>590</v>
      </c>
      <c r="C171" s="128">
        <v>1700</v>
      </c>
      <c r="D171" s="128">
        <f t="shared" si="8"/>
        <v>11503</v>
      </c>
      <c r="E171" s="128">
        <f>'[2]Thu '!D134</f>
        <v>662</v>
      </c>
      <c r="F171" s="125">
        <f t="shared" si="9"/>
        <v>10841</v>
      </c>
      <c r="G171" s="128">
        <f>'[2]Thu '!E134</f>
        <v>3532</v>
      </c>
      <c r="H171" s="128">
        <f>'[2]Thu '!F134</f>
        <v>7309</v>
      </c>
      <c r="I171" s="131"/>
      <c r="J171" s="125">
        <f t="shared" si="7"/>
        <v>11503</v>
      </c>
      <c r="K171" s="128">
        <f>'[2]Phú Lương'!$G$15</f>
        <v>11280</v>
      </c>
      <c r="L171" s="128"/>
      <c r="M171" s="128">
        <f>'[2]Phú Lương'!$G$30</f>
        <v>223</v>
      </c>
      <c r="N171" s="128"/>
    </row>
    <row r="172" spans="1:14" s="26" customFormat="1" ht="21.9" customHeight="1">
      <c r="A172" s="123">
        <v>38</v>
      </c>
      <c r="B172" s="124" t="s">
        <v>440</v>
      </c>
      <c r="C172" s="125">
        <f>SUM(C173:C176)</f>
        <v>4125</v>
      </c>
      <c r="D172" s="128">
        <f t="shared" si="8"/>
        <v>42541</v>
      </c>
      <c r="E172" s="125">
        <f>SUM(E173:E176)</f>
        <v>2903</v>
      </c>
      <c r="F172" s="125">
        <f t="shared" si="9"/>
        <v>39638</v>
      </c>
      <c r="G172" s="125">
        <f>SUM(G173:G176)</f>
        <v>21834</v>
      </c>
      <c r="H172" s="125">
        <f>SUM(H173:H176)</f>
        <v>17804</v>
      </c>
      <c r="I172" s="125">
        <f>SUM(I173:I176)</f>
        <v>0</v>
      </c>
      <c r="J172" s="125">
        <f t="shared" si="7"/>
        <v>42541</v>
      </c>
      <c r="K172" s="125">
        <f>SUM(K173:K176)</f>
        <v>41717</v>
      </c>
      <c r="L172" s="125">
        <f>'[2]Tổng '!R45</f>
        <v>0</v>
      </c>
      <c r="M172" s="125">
        <f>SUM(M173:M176)</f>
        <v>824</v>
      </c>
      <c r="N172" s="125">
        <f>'[2]Tổng '!T45</f>
        <v>0</v>
      </c>
    </row>
    <row r="173" spans="1:14" ht="21.9" customHeight="1">
      <c r="A173" s="126"/>
      <c r="B173" s="127" t="s">
        <v>591</v>
      </c>
      <c r="C173" s="128">
        <v>1110</v>
      </c>
      <c r="D173" s="128">
        <f t="shared" si="8"/>
        <v>10959</v>
      </c>
      <c r="E173" s="128">
        <f>'[2]Thu '!D135</f>
        <v>783</v>
      </c>
      <c r="F173" s="125">
        <f t="shared" si="9"/>
        <v>10176</v>
      </c>
      <c r="G173" s="128">
        <f>'[2]Thu '!E135</f>
        <v>5689</v>
      </c>
      <c r="H173" s="128">
        <f>'[2]Thu '!F135</f>
        <v>4487</v>
      </c>
      <c r="I173" s="131"/>
      <c r="J173" s="125">
        <f t="shared" si="7"/>
        <v>10959</v>
      </c>
      <c r="K173" s="128">
        <f>'[2]Phú Lương'!$H$15</f>
        <v>10747</v>
      </c>
      <c r="L173" s="128"/>
      <c r="M173" s="128">
        <f>'[2]Phú Lương'!$H$30</f>
        <v>212</v>
      </c>
      <c r="N173" s="128"/>
    </row>
    <row r="174" spans="1:14" ht="21.9" customHeight="1">
      <c r="A174" s="126"/>
      <c r="B174" s="127" t="s">
        <v>592</v>
      </c>
      <c r="C174" s="128">
        <v>1756</v>
      </c>
      <c r="D174" s="128">
        <f t="shared" si="8"/>
        <v>10762</v>
      </c>
      <c r="E174" s="128">
        <f>'[2]Thu '!D136</f>
        <v>1219</v>
      </c>
      <c r="F174" s="125">
        <f t="shared" si="9"/>
        <v>9543</v>
      </c>
      <c r="G174" s="128">
        <f>'[2]Thu '!E136</f>
        <v>5078</v>
      </c>
      <c r="H174" s="128">
        <f>'[2]Thu '!F136</f>
        <v>4465</v>
      </c>
      <c r="I174" s="131"/>
      <c r="J174" s="125">
        <f t="shared" si="7"/>
        <v>10762</v>
      </c>
      <c r="K174" s="128">
        <f>'[2]Phú Lương'!$I$15</f>
        <v>10554</v>
      </c>
      <c r="L174" s="128"/>
      <c r="M174" s="128">
        <f>'[2]Phú Lương'!$I$30</f>
        <v>208</v>
      </c>
      <c r="N174" s="128"/>
    </row>
    <row r="175" spans="1:14" ht="21.9" customHeight="1">
      <c r="A175" s="126"/>
      <c r="B175" s="127" t="s">
        <v>593</v>
      </c>
      <c r="C175" s="128">
        <v>795</v>
      </c>
      <c r="D175" s="128">
        <f t="shared" si="8"/>
        <v>11591</v>
      </c>
      <c r="E175" s="128">
        <f>'[2]Thu '!D137</f>
        <v>556</v>
      </c>
      <c r="F175" s="125">
        <f t="shared" si="9"/>
        <v>11035</v>
      </c>
      <c r="G175" s="128">
        <f>'[2]Thu '!E137</f>
        <v>6048</v>
      </c>
      <c r="H175" s="128">
        <f>'[2]Thu '!F137</f>
        <v>4987</v>
      </c>
      <c r="I175" s="131"/>
      <c r="J175" s="125">
        <f t="shared" si="7"/>
        <v>11591</v>
      </c>
      <c r="K175" s="128">
        <f>'[2]Phú Lương'!$J$15</f>
        <v>11366</v>
      </c>
      <c r="L175" s="128"/>
      <c r="M175" s="128">
        <f>'[2]Phú Lương'!$J$30</f>
        <v>225</v>
      </c>
      <c r="N175" s="128"/>
    </row>
    <row r="176" spans="1:14" ht="21.9" customHeight="1">
      <c r="A176" s="126"/>
      <c r="B176" s="127" t="s">
        <v>594</v>
      </c>
      <c r="C176" s="128">
        <v>464</v>
      </c>
      <c r="D176" s="128">
        <f t="shared" si="8"/>
        <v>9229</v>
      </c>
      <c r="E176" s="128">
        <f>'[2]Thu '!D138</f>
        <v>345</v>
      </c>
      <c r="F176" s="125">
        <f t="shared" si="9"/>
        <v>8884</v>
      </c>
      <c r="G176" s="128">
        <f>'[2]Thu '!E138</f>
        <v>5019</v>
      </c>
      <c r="H176" s="128">
        <f>'[2]Thu '!F138</f>
        <v>3865</v>
      </c>
      <c r="I176" s="131"/>
      <c r="J176" s="125">
        <f t="shared" si="7"/>
        <v>9229</v>
      </c>
      <c r="K176" s="128">
        <f>'[2]Phú Lương'!$K$15</f>
        <v>9050</v>
      </c>
      <c r="L176" s="128"/>
      <c r="M176" s="128">
        <f>'[2]Phú Lương'!$K$30</f>
        <v>179</v>
      </c>
      <c r="N176" s="128"/>
    </row>
    <row r="177" spans="1:14" s="26" customFormat="1" ht="21.9" customHeight="1">
      <c r="A177" s="123">
        <v>39</v>
      </c>
      <c r="B177" s="124" t="s">
        <v>441</v>
      </c>
      <c r="C177" s="125">
        <f>SUM(C178:C180)</f>
        <v>2787</v>
      </c>
      <c r="D177" s="128">
        <f t="shared" si="8"/>
        <v>28748</v>
      </c>
      <c r="E177" s="125">
        <f>SUM(E178:E180)</f>
        <v>2101</v>
      </c>
      <c r="F177" s="125">
        <f t="shared" si="9"/>
        <v>26647</v>
      </c>
      <c r="G177" s="125">
        <f>SUM(G178:G180)</f>
        <v>15966</v>
      </c>
      <c r="H177" s="125">
        <f>SUM(H178:H180)</f>
        <v>10681</v>
      </c>
      <c r="I177" s="125">
        <f>SUM(I178:I180)</f>
        <v>0</v>
      </c>
      <c r="J177" s="125">
        <f t="shared" si="7"/>
        <v>28748</v>
      </c>
      <c r="K177" s="125">
        <f>SUM(K178:K180)</f>
        <v>28193</v>
      </c>
      <c r="L177" s="125">
        <f>'[2]Tổng '!R46</f>
        <v>0</v>
      </c>
      <c r="M177" s="125">
        <f>SUM(M178:M180)</f>
        <v>555</v>
      </c>
      <c r="N177" s="125">
        <f>'[2]Tổng '!T46</f>
        <v>0</v>
      </c>
    </row>
    <row r="178" spans="1:14" ht="21.9" customHeight="1">
      <c r="A178" s="126"/>
      <c r="B178" s="127" t="s">
        <v>595</v>
      </c>
      <c r="C178" s="128">
        <v>1380</v>
      </c>
      <c r="D178" s="128">
        <f t="shared" si="8"/>
        <v>9485</v>
      </c>
      <c r="E178" s="128">
        <f>'[2]Thu '!D139</f>
        <v>1012</v>
      </c>
      <c r="F178" s="125">
        <f t="shared" si="9"/>
        <v>8473</v>
      </c>
      <c r="G178" s="128">
        <f>'[2]Thu '!E139</f>
        <v>5020</v>
      </c>
      <c r="H178" s="128">
        <f>'[2]Thu '!F139</f>
        <v>3453</v>
      </c>
      <c r="I178" s="131"/>
      <c r="J178" s="125">
        <f t="shared" si="7"/>
        <v>9485</v>
      </c>
      <c r="K178" s="128">
        <f>'[2]Phú Lương'!$L$15</f>
        <v>9303</v>
      </c>
      <c r="L178" s="128"/>
      <c r="M178" s="128">
        <f>'[2]Phú Lương'!$L$30</f>
        <v>182</v>
      </c>
      <c r="N178" s="128"/>
    </row>
    <row r="179" spans="1:14" ht="21.9" customHeight="1">
      <c r="A179" s="126"/>
      <c r="B179" s="127" t="s">
        <v>596</v>
      </c>
      <c r="C179" s="128">
        <v>1070</v>
      </c>
      <c r="D179" s="128">
        <f t="shared" si="8"/>
        <v>9954</v>
      </c>
      <c r="E179" s="128">
        <f>'[2]Thu '!D140</f>
        <v>815</v>
      </c>
      <c r="F179" s="125">
        <f t="shared" si="9"/>
        <v>9139</v>
      </c>
      <c r="G179" s="128">
        <f>'[2]Thu '!E140</f>
        <v>5183</v>
      </c>
      <c r="H179" s="128">
        <f>'[2]Thu '!F140</f>
        <v>3956</v>
      </c>
      <c r="I179" s="131"/>
      <c r="J179" s="125">
        <f t="shared" si="7"/>
        <v>9954</v>
      </c>
      <c r="K179" s="128">
        <f>'[2]Phú Lương'!$N$15</f>
        <v>9761</v>
      </c>
      <c r="L179" s="128"/>
      <c r="M179" s="128">
        <f>'[2]Phú Lương'!$N$30</f>
        <v>193</v>
      </c>
      <c r="N179" s="128"/>
    </row>
    <row r="180" spans="1:14" ht="21.9" customHeight="1">
      <c r="A180" s="126"/>
      <c r="B180" s="127" t="s">
        <v>597</v>
      </c>
      <c r="C180" s="128">
        <v>337</v>
      </c>
      <c r="D180" s="128">
        <f t="shared" si="8"/>
        <v>9309</v>
      </c>
      <c r="E180" s="128">
        <f>'[2]Thu '!D141</f>
        <v>274</v>
      </c>
      <c r="F180" s="125">
        <f t="shared" si="9"/>
        <v>9035</v>
      </c>
      <c r="G180" s="128">
        <f>'[2]Thu '!E141</f>
        <v>5763</v>
      </c>
      <c r="H180" s="128">
        <f>'[2]Thu '!F141</f>
        <v>3272</v>
      </c>
      <c r="I180" s="131"/>
      <c r="J180" s="125">
        <f t="shared" si="7"/>
        <v>9309</v>
      </c>
      <c r="K180" s="128">
        <f>'[2]Phú Lương'!$M$15</f>
        <v>9129</v>
      </c>
      <c r="L180" s="128"/>
      <c r="M180" s="128">
        <f>'[2]Phú Lương'!$M$30</f>
        <v>180</v>
      </c>
      <c r="N180" s="128"/>
    </row>
    <row r="181" spans="1:14" s="26" customFormat="1" ht="21.9" customHeight="1">
      <c r="A181" s="123">
        <v>40</v>
      </c>
      <c r="B181" s="124" t="s">
        <v>442</v>
      </c>
      <c r="C181" s="125">
        <f>SUM(C182:C184)</f>
        <v>950</v>
      </c>
      <c r="D181" s="128">
        <f t="shared" si="8"/>
        <v>22946</v>
      </c>
      <c r="E181" s="125">
        <f>SUM(E182:E184)</f>
        <v>742</v>
      </c>
      <c r="F181" s="125">
        <f t="shared" si="9"/>
        <v>22204</v>
      </c>
      <c r="G181" s="125">
        <f>SUM(G182:G184)</f>
        <v>14112</v>
      </c>
      <c r="H181" s="125">
        <f>SUM(H182:H184)</f>
        <v>8092</v>
      </c>
      <c r="I181" s="125">
        <f>SUM(I182:I184)</f>
        <v>0</v>
      </c>
      <c r="J181" s="125">
        <f t="shared" si="7"/>
        <v>22946</v>
      </c>
      <c r="K181" s="125">
        <f>SUM(K182:K184)</f>
        <v>22503</v>
      </c>
      <c r="L181" s="125">
        <f>'[2]Tổng '!R47</f>
        <v>0</v>
      </c>
      <c r="M181" s="125">
        <f>SUM(M182:M184)</f>
        <v>443</v>
      </c>
      <c r="N181" s="125">
        <f>'[2]Tổng '!T47</f>
        <v>0</v>
      </c>
    </row>
    <row r="182" spans="1:14" ht="21.9" customHeight="1">
      <c r="A182" s="126"/>
      <c r="B182" s="127" t="s">
        <v>598</v>
      </c>
      <c r="C182" s="128">
        <v>273</v>
      </c>
      <c r="D182" s="128">
        <f t="shared" si="8"/>
        <v>7401</v>
      </c>
      <c r="E182" s="128">
        <f>'[2]Thu '!D142</f>
        <v>227</v>
      </c>
      <c r="F182" s="125">
        <f t="shared" si="9"/>
        <v>7174</v>
      </c>
      <c r="G182" s="128">
        <f>'[2]Thu '!E142</f>
        <v>4543</v>
      </c>
      <c r="H182" s="128">
        <f>'[2]Thu '!F142</f>
        <v>2631</v>
      </c>
      <c r="I182" s="131"/>
      <c r="J182" s="125">
        <f t="shared" si="7"/>
        <v>7401</v>
      </c>
      <c r="K182" s="128">
        <f>'[2]Phú Lương'!$O$15</f>
        <v>7258</v>
      </c>
      <c r="L182" s="128"/>
      <c r="M182" s="128">
        <f>'[2]Phú Lương'!$O$30</f>
        <v>143</v>
      </c>
      <c r="N182" s="128"/>
    </row>
    <row r="183" spans="1:14" ht="21.9" customHeight="1">
      <c r="A183" s="126"/>
      <c r="B183" s="127" t="s">
        <v>599</v>
      </c>
      <c r="C183" s="128">
        <v>390</v>
      </c>
      <c r="D183" s="128">
        <f t="shared" si="8"/>
        <v>7704</v>
      </c>
      <c r="E183" s="128">
        <f>'[2]Thu '!D143</f>
        <v>291</v>
      </c>
      <c r="F183" s="125">
        <f t="shared" si="9"/>
        <v>7413</v>
      </c>
      <c r="G183" s="128">
        <f>'[2]Thu '!E143</f>
        <v>4632</v>
      </c>
      <c r="H183" s="128">
        <f>'[2]Thu '!F143</f>
        <v>2781</v>
      </c>
      <c r="I183" s="131"/>
      <c r="J183" s="125">
        <f t="shared" si="7"/>
        <v>7704</v>
      </c>
      <c r="K183" s="128">
        <f>'[2]Phú Lương'!$P$15</f>
        <v>7555</v>
      </c>
      <c r="L183" s="128"/>
      <c r="M183" s="128">
        <f>'[2]Phú Lương'!$P$30</f>
        <v>149</v>
      </c>
      <c r="N183" s="128"/>
    </row>
    <row r="184" spans="1:14" ht="21.9" customHeight="1">
      <c r="A184" s="126"/>
      <c r="B184" s="127" t="s">
        <v>600</v>
      </c>
      <c r="C184" s="128">
        <v>287</v>
      </c>
      <c r="D184" s="128">
        <f t="shared" si="8"/>
        <v>7841</v>
      </c>
      <c r="E184" s="128">
        <f>'[2]Thu '!D144</f>
        <v>224</v>
      </c>
      <c r="F184" s="125">
        <f t="shared" si="9"/>
        <v>7617</v>
      </c>
      <c r="G184" s="128">
        <f>'[2]Thu '!E144</f>
        <v>4937</v>
      </c>
      <c r="H184" s="128">
        <f>'[2]Thu '!F144</f>
        <v>2680</v>
      </c>
      <c r="I184" s="131"/>
      <c r="J184" s="125">
        <f t="shared" si="7"/>
        <v>7841</v>
      </c>
      <c r="K184" s="128">
        <f>'[2]Phú Lương'!$Q$15</f>
        <v>7690</v>
      </c>
      <c r="L184" s="128"/>
      <c r="M184" s="128">
        <f>'[2]Phú Lương'!$Q$30</f>
        <v>151</v>
      </c>
      <c r="N184" s="128"/>
    </row>
    <row r="185" spans="1:14" s="26" customFormat="1" ht="21.9" customHeight="1">
      <c r="A185" s="123">
        <v>41</v>
      </c>
      <c r="B185" s="124" t="s">
        <v>443</v>
      </c>
      <c r="C185" s="125">
        <f>SUM(C186:C189)</f>
        <v>8663</v>
      </c>
      <c r="D185" s="128">
        <f t="shared" si="8"/>
        <v>39736</v>
      </c>
      <c r="E185" s="125">
        <f>SUM(E186:E189)</f>
        <v>3223.2999999999997</v>
      </c>
      <c r="F185" s="125">
        <f t="shared" si="9"/>
        <v>36512.699999999997</v>
      </c>
      <c r="G185" s="125">
        <f>SUM(G186:G189)</f>
        <v>19395.88</v>
      </c>
      <c r="H185" s="125">
        <f>SUM(H186:H189)</f>
        <v>17116.82</v>
      </c>
      <c r="I185" s="125">
        <f>SUM(I186:I189)</f>
        <v>0</v>
      </c>
      <c r="J185" s="125">
        <f t="shared" si="7"/>
        <v>39736</v>
      </c>
      <c r="K185" s="125">
        <f>SUM(K186:K189)</f>
        <v>37160</v>
      </c>
      <c r="L185" s="125">
        <f>SUM(L186:L189)</f>
        <v>2154</v>
      </c>
      <c r="M185" s="125">
        <f>SUM(M186:M189)</f>
        <v>422</v>
      </c>
      <c r="N185" s="125">
        <f>'[2]Tổng '!T48</f>
        <v>0</v>
      </c>
    </row>
    <row r="186" spans="1:14" ht="21.9" customHeight="1">
      <c r="A186" s="126"/>
      <c r="B186" s="127" t="s">
        <v>601</v>
      </c>
      <c r="C186" s="128">
        <v>78</v>
      </c>
      <c r="D186" s="128">
        <f t="shared" si="8"/>
        <v>7148</v>
      </c>
      <c r="E186" s="128">
        <f>'[2]Thu '!D146</f>
        <v>56.4</v>
      </c>
      <c r="F186" s="125">
        <f t="shared" si="9"/>
        <v>7091.6</v>
      </c>
      <c r="G186" s="128">
        <f>'[2]Thu '!E146</f>
        <v>4693</v>
      </c>
      <c r="H186" s="128">
        <f>'[2]Thu '!F146</f>
        <v>2398.6</v>
      </c>
      <c r="I186" s="131"/>
      <c r="J186" s="125">
        <f t="shared" si="7"/>
        <v>7148</v>
      </c>
      <c r="K186" s="128">
        <f>'[2]Định Hoá - xã '!$D$15</f>
        <v>7069</v>
      </c>
      <c r="L186" s="128">
        <f>'[2]Định Hoá - xã '!$D$10</f>
        <v>0</v>
      </c>
      <c r="M186" s="128">
        <f>'[2]Định Hoá - xã '!$D$30</f>
        <v>79</v>
      </c>
      <c r="N186" s="128"/>
    </row>
    <row r="187" spans="1:14" ht="21.9" customHeight="1">
      <c r="A187" s="126"/>
      <c r="B187" s="127" t="s">
        <v>602</v>
      </c>
      <c r="C187" s="128">
        <v>117</v>
      </c>
      <c r="D187" s="128">
        <f t="shared" si="8"/>
        <v>7150</v>
      </c>
      <c r="E187" s="128">
        <f>'[2]Thu '!D147</f>
        <v>84.24</v>
      </c>
      <c r="F187" s="125">
        <f t="shared" si="9"/>
        <v>7065.76</v>
      </c>
      <c r="G187" s="128">
        <f>'[2]Thu '!E147</f>
        <v>4582.4799999999996</v>
      </c>
      <c r="H187" s="128">
        <f>'[2]Thu '!F147</f>
        <v>2483.2800000000002</v>
      </c>
      <c r="I187" s="131"/>
      <c r="J187" s="125">
        <f t="shared" si="7"/>
        <v>7150</v>
      </c>
      <c r="K187" s="128">
        <f>'[2]Định Hoá - xã '!$E$15</f>
        <v>7050</v>
      </c>
      <c r="L187" s="128">
        <f>'[2]Định Hoá - xã '!$E$10</f>
        <v>21</v>
      </c>
      <c r="M187" s="128">
        <f>'[2]Định Hoá - xã '!$E$30</f>
        <v>79</v>
      </c>
      <c r="N187" s="128"/>
    </row>
    <row r="188" spans="1:14" ht="21.9" customHeight="1">
      <c r="A188" s="126"/>
      <c r="B188" s="127" t="s">
        <v>603</v>
      </c>
      <c r="C188" s="128">
        <v>344</v>
      </c>
      <c r="D188" s="128">
        <f t="shared" si="8"/>
        <v>8390</v>
      </c>
      <c r="E188" s="128">
        <f>'[2]Thu '!D148</f>
        <v>273</v>
      </c>
      <c r="F188" s="125">
        <f t="shared" si="9"/>
        <v>8117</v>
      </c>
      <c r="G188" s="128">
        <f>'[2]Thu '!E148</f>
        <v>5285.6</v>
      </c>
      <c r="H188" s="128">
        <f>'[2]Thu '!F148</f>
        <v>2831.4</v>
      </c>
      <c r="I188" s="131"/>
      <c r="J188" s="125">
        <f t="shared" si="7"/>
        <v>8390</v>
      </c>
      <c r="K188" s="128">
        <f>'[2]Định Hoá - xã '!$F$15</f>
        <v>8165</v>
      </c>
      <c r="L188" s="128">
        <f>'[2]Định Hoá - xã '!$F$10</f>
        <v>135</v>
      </c>
      <c r="M188" s="128">
        <f>'[2]Định Hoá - xã '!$F$30</f>
        <v>90</v>
      </c>
      <c r="N188" s="128"/>
    </row>
    <row r="189" spans="1:14" ht="21.9" customHeight="1">
      <c r="A189" s="126"/>
      <c r="B189" s="127" t="s">
        <v>604</v>
      </c>
      <c r="C189" s="128">
        <v>8124</v>
      </c>
      <c r="D189" s="128">
        <f t="shared" si="8"/>
        <v>17048</v>
      </c>
      <c r="E189" s="128">
        <f>'[2]Thu '!D149</f>
        <v>2809.66</v>
      </c>
      <c r="F189" s="125">
        <f t="shared" si="9"/>
        <v>14238.34</v>
      </c>
      <c r="G189" s="128">
        <f>'[2]Thu '!E149</f>
        <v>4834.8</v>
      </c>
      <c r="H189" s="128">
        <f>'[2]Thu '!F149</f>
        <v>9403.5400000000009</v>
      </c>
      <c r="I189" s="131"/>
      <c r="J189" s="125">
        <f t="shared" si="7"/>
        <v>17048</v>
      </c>
      <c r="K189" s="128">
        <f>'[2]Định Hoá - xã '!$G$15</f>
        <v>14876</v>
      </c>
      <c r="L189" s="128">
        <f>'[2]Định Hoá - xã '!$G$10</f>
        <v>1998</v>
      </c>
      <c r="M189" s="128">
        <f>'[2]Định Hoá - xã '!$G$30</f>
        <v>174</v>
      </c>
      <c r="N189" s="128"/>
    </row>
    <row r="190" spans="1:14" s="26" customFormat="1" ht="21.9" customHeight="1">
      <c r="A190" s="123">
        <v>42</v>
      </c>
      <c r="B190" s="124" t="s">
        <v>444</v>
      </c>
      <c r="C190" s="125">
        <f>SUM(C191:C194)</f>
        <v>1396</v>
      </c>
      <c r="D190" s="128">
        <f t="shared" si="8"/>
        <v>31266</v>
      </c>
      <c r="E190" s="125">
        <f>SUM(E191:E194)</f>
        <v>1039.3200000000002</v>
      </c>
      <c r="F190" s="125">
        <f t="shared" si="9"/>
        <v>30226.68</v>
      </c>
      <c r="G190" s="125">
        <f>SUM(G191:G194)</f>
        <v>19280.2</v>
      </c>
      <c r="H190" s="125">
        <f>SUM(H191:H194)</f>
        <v>10946.48</v>
      </c>
      <c r="I190" s="125">
        <f>SUM(I191:I194)</f>
        <v>0</v>
      </c>
      <c r="J190" s="125">
        <f t="shared" si="7"/>
        <v>31266</v>
      </c>
      <c r="K190" s="125">
        <f>SUM(K191:K194)</f>
        <v>30333</v>
      </c>
      <c r="L190" s="125">
        <f>SUM(L191:L194)</f>
        <v>582</v>
      </c>
      <c r="M190" s="125">
        <f>SUM(M191:M194)</f>
        <v>351</v>
      </c>
      <c r="N190" s="125">
        <f>'[2]Tổng '!T49</f>
        <v>0</v>
      </c>
    </row>
    <row r="191" spans="1:14" ht="21.9" customHeight="1">
      <c r="A191" s="126"/>
      <c r="B191" s="127" t="s">
        <v>605</v>
      </c>
      <c r="C191" s="128">
        <v>598</v>
      </c>
      <c r="D191" s="128">
        <f t="shared" si="8"/>
        <v>7853</v>
      </c>
      <c r="E191" s="128">
        <f>'[2]Thu '!D150</f>
        <v>427</v>
      </c>
      <c r="F191" s="125">
        <f t="shared" si="9"/>
        <v>7426</v>
      </c>
      <c r="G191" s="128">
        <f>'[2]Thu '!E150</f>
        <v>4680</v>
      </c>
      <c r="H191" s="128">
        <f>'[2]Thu '!F150</f>
        <v>2746</v>
      </c>
      <c r="I191" s="131"/>
      <c r="J191" s="125">
        <f t="shared" si="7"/>
        <v>7853</v>
      </c>
      <c r="K191" s="128">
        <f>'[2]Định Hoá - xã '!$H$15</f>
        <v>7557</v>
      </c>
      <c r="L191" s="128">
        <f>'[2]Định Hoá - xã '!$H$10</f>
        <v>210</v>
      </c>
      <c r="M191" s="128">
        <f>'[2]Định Hoá - xã '!$H$30</f>
        <v>86</v>
      </c>
      <c r="N191" s="128"/>
    </row>
    <row r="192" spans="1:14" ht="21.9" customHeight="1">
      <c r="A192" s="126"/>
      <c r="B192" s="127" t="s">
        <v>606</v>
      </c>
      <c r="C192" s="128">
        <v>455</v>
      </c>
      <c r="D192" s="128">
        <f t="shared" si="8"/>
        <v>7732</v>
      </c>
      <c r="E192" s="128">
        <f>'[2]Thu '!D151</f>
        <v>320.68</v>
      </c>
      <c r="F192" s="125">
        <f t="shared" si="9"/>
        <v>7411.32</v>
      </c>
      <c r="G192" s="128">
        <f>'[2]Thu '!E151</f>
        <v>4730.6000000000004</v>
      </c>
      <c r="H192" s="128">
        <f>'[2]Thu '!F151</f>
        <v>2680.72</v>
      </c>
      <c r="I192" s="131"/>
      <c r="J192" s="125">
        <f t="shared" si="7"/>
        <v>7732</v>
      </c>
      <c r="K192" s="128">
        <f>'[2]Định Hoá - xã '!$I$15</f>
        <v>7433</v>
      </c>
      <c r="L192" s="128">
        <f>'[2]Định Hoá - xã '!$I$10</f>
        <v>210</v>
      </c>
      <c r="M192" s="128">
        <f>'[2]Định Hoá - xã '!$I$30</f>
        <v>89</v>
      </c>
      <c r="N192" s="128"/>
    </row>
    <row r="193" spans="1:14" ht="21.9" customHeight="1">
      <c r="A193" s="126"/>
      <c r="B193" s="127" t="s">
        <v>607</v>
      </c>
      <c r="C193" s="128">
        <v>183</v>
      </c>
      <c r="D193" s="128">
        <f t="shared" si="8"/>
        <v>7735</v>
      </c>
      <c r="E193" s="128">
        <f>'[2]Thu '!D152</f>
        <v>158.12</v>
      </c>
      <c r="F193" s="125">
        <f t="shared" si="9"/>
        <v>7576.88</v>
      </c>
      <c r="G193" s="128">
        <f>'[2]Thu '!E152</f>
        <v>4859.8</v>
      </c>
      <c r="H193" s="128">
        <f>'[2]Thu '!F152</f>
        <v>2717.08</v>
      </c>
      <c r="I193" s="131"/>
      <c r="J193" s="125">
        <f t="shared" si="7"/>
        <v>7735</v>
      </c>
      <c r="K193" s="128">
        <f>'[2]Định Hoá - xã '!$J$15</f>
        <v>7542</v>
      </c>
      <c r="L193" s="128">
        <f>'[2]Định Hoá - xã '!$J$10</f>
        <v>108</v>
      </c>
      <c r="M193" s="128">
        <f>'[2]Định Hoá - xã '!$J$30</f>
        <v>85</v>
      </c>
      <c r="N193" s="128"/>
    </row>
    <row r="194" spans="1:14" ht="21.9" customHeight="1">
      <c r="A194" s="126"/>
      <c r="B194" s="127" t="s">
        <v>608</v>
      </c>
      <c r="C194" s="128">
        <v>160</v>
      </c>
      <c r="D194" s="128">
        <f t="shared" si="8"/>
        <v>7946</v>
      </c>
      <c r="E194" s="128">
        <f>'[2]Thu '!D153</f>
        <v>133.52000000000001</v>
      </c>
      <c r="F194" s="125">
        <f t="shared" si="9"/>
        <v>7812.48</v>
      </c>
      <c r="G194" s="128">
        <f>'[2]Thu '!E153</f>
        <v>5009.8</v>
      </c>
      <c r="H194" s="128">
        <f>'[2]Thu '!F153</f>
        <v>2802.68</v>
      </c>
      <c r="I194" s="131"/>
      <c r="J194" s="125">
        <f t="shared" si="7"/>
        <v>7946</v>
      </c>
      <c r="K194" s="128">
        <f>'[2]Định Hoá - xã '!$K$15</f>
        <v>7801</v>
      </c>
      <c r="L194" s="128">
        <f>'[2]Định Hoá - xã '!$K$10</f>
        <v>54</v>
      </c>
      <c r="M194" s="128">
        <f>'[2]Định Hoá - xã '!$K$30</f>
        <v>91</v>
      </c>
      <c r="N194" s="128"/>
    </row>
    <row r="195" spans="1:14" s="26" customFormat="1" ht="21.9" customHeight="1">
      <c r="A195" s="123">
        <v>43</v>
      </c>
      <c r="B195" s="124" t="s">
        <v>445</v>
      </c>
      <c r="C195" s="125">
        <f>SUM(C196:C198)</f>
        <v>2815</v>
      </c>
      <c r="D195" s="128">
        <f t="shared" si="8"/>
        <v>23840</v>
      </c>
      <c r="E195" s="125">
        <f>SUM(E196:E198)</f>
        <v>1978.12</v>
      </c>
      <c r="F195" s="125">
        <f t="shared" si="9"/>
        <v>21861.88</v>
      </c>
      <c r="G195" s="125">
        <f>SUM(G196:G198)</f>
        <v>13931.600000000002</v>
      </c>
      <c r="H195" s="125">
        <f>SUM(H196:H198)</f>
        <v>7930.28</v>
      </c>
      <c r="I195" s="125">
        <f>SUM(I196:I198)</f>
        <v>0</v>
      </c>
      <c r="J195" s="125">
        <f t="shared" si="7"/>
        <v>23840</v>
      </c>
      <c r="K195" s="125">
        <f>SUM(K196:K198)</f>
        <v>22648</v>
      </c>
      <c r="L195" s="125">
        <f>SUM(L196:L198)</f>
        <v>930</v>
      </c>
      <c r="M195" s="125">
        <f>SUM(M196:M198)</f>
        <v>262</v>
      </c>
      <c r="N195" s="125">
        <f>'[2]Tổng '!T50</f>
        <v>0</v>
      </c>
    </row>
    <row r="196" spans="1:14" ht="21.9" customHeight="1">
      <c r="A196" s="126"/>
      <c r="B196" s="127" t="s">
        <v>609</v>
      </c>
      <c r="C196" s="128">
        <v>1715</v>
      </c>
      <c r="D196" s="128">
        <f t="shared" si="8"/>
        <v>8801</v>
      </c>
      <c r="E196" s="128">
        <f>'[2]Thu '!D154</f>
        <v>1194</v>
      </c>
      <c r="F196" s="125">
        <f t="shared" si="9"/>
        <v>7607</v>
      </c>
      <c r="G196" s="128">
        <f>'[2]Thu '!E154</f>
        <v>4653.6000000000004</v>
      </c>
      <c r="H196" s="128">
        <f>'[2]Thu '!F154</f>
        <v>2953.4</v>
      </c>
      <c r="I196" s="131"/>
      <c r="J196" s="125">
        <f t="shared" si="7"/>
        <v>8801</v>
      </c>
      <c r="K196" s="128">
        <f>'[2]Định Hoá - xã '!$L$15</f>
        <v>8010</v>
      </c>
      <c r="L196" s="128">
        <f>'[2]Định Hoá - xã '!$L$10</f>
        <v>700</v>
      </c>
      <c r="M196" s="128">
        <f>'[2]Định Hoá - xã '!$L$30</f>
        <v>91</v>
      </c>
      <c r="N196" s="128"/>
    </row>
    <row r="197" spans="1:14" ht="21.9" customHeight="1">
      <c r="A197" s="126"/>
      <c r="B197" s="127" t="s">
        <v>610</v>
      </c>
      <c r="C197" s="128">
        <v>515</v>
      </c>
      <c r="D197" s="128">
        <f t="shared" si="8"/>
        <v>6892</v>
      </c>
      <c r="E197" s="128">
        <f>'[2]Thu '!D155</f>
        <v>371.12</v>
      </c>
      <c r="F197" s="125">
        <f t="shared" si="9"/>
        <v>6520.88</v>
      </c>
      <c r="G197" s="128">
        <f>'[2]Thu '!E155</f>
        <v>4141.8</v>
      </c>
      <c r="H197" s="128">
        <f>'[2]Thu '!F155</f>
        <v>2379.08</v>
      </c>
      <c r="I197" s="131"/>
      <c r="J197" s="125">
        <f t="shared" si="7"/>
        <v>6892</v>
      </c>
      <c r="K197" s="128">
        <f>'[2]Định Hoá - xã '!$M$15</f>
        <v>6673</v>
      </c>
      <c r="L197" s="128">
        <f>'[2]Định Hoá - xã '!$M$10</f>
        <v>140</v>
      </c>
      <c r="M197" s="128">
        <f>'[2]Định Hoá - xã '!$M$30</f>
        <v>79</v>
      </c>
      <c r="N197" s="128"/>
    </row>
    <row r="198" spans="1:14" ht="21.9" customHeight="1">
      <c r="A198" s="126"/>
      <c r="B198" s="127" t="s">
        <v>611</v>
      </c>
      <c r="C198" s="128">
        <v>585</v>
      </c>
      <c r="D198" s="128">
        <f t="shared" si="8"/>
        <v>8147</v>
      </c>
      <c r="E198" s="128">
        <f>'[2]Thu '!D156</f>
        <v>413</v>
      </c>
      <c r="F198" s="125">
        <f t="shared" si="9"/>
        <v>7734</v>
      </c>
      <c r="G198" s="128">
        <f>'[2]Thu '!E156</f>
        <v>5136.2</v>
      </c>
      <c r="H198" s="128">
        <f>'[2]Thu '!F156</f>
        <v>2597.8000000000002</v>
      </c>
      <c r="I198" s="131"/>
      <c r="J198" s="125">
        <f t="shared" si="7"/>
        <v>8147</v>
      </c>
      <c r="K198" s="128">
        <f>'[2]Định Hoá - xã '!$N$15</f>
        <v>7965</v>
      </c>
      <c r="L198" s="128">
        <f>'[2]Định Hoá - xã '!$N$10</f>
        <v>90</v>
      </c>
      <c r="M198" s="128">
        <f>'[2]Định Hoá - xã '!$N$30</f>
        <v>92</v>
      </c>
      <c r="N198" s="128"/>
    </row>
    <row r="199" spans="1:14" s="26" customFormat="1" ht="21.9" customHeight="1">
      <c r="A199" s="123">
        <v>44</v>
      </c>
      <c r="B199" s="124" t="s">
        <v>446</v>
      </c>
      <c r="C199" s="125">
        <f>SUM(C200:C202)</f>
        <v>671</v>
      </c>
      <c r="D199" s="128">
        <f t="shared" si="8"/>
        <v>23487.719999999998</v>
      </c>
      <c r="E199" s="125">
        <f>SUM(E200:E202)</f>
        <v>568.96</v>
      </c>
      <c r="F199" s="125">
        <f t="shared" si="9"/>
        <v>22918.76</v>
      </c>
      <c r="G199" s="125">
        <f>SUM(G200:G202)</f>
        <v>14613.8</v>
      </c>
      <c r="H199" s="125">
        <f>SUM(H200:H202)</f>
        <v>8304.9599999999991</v>
      </c>
      <c r="I199" s="125">
        <f>SUM(I200:I202)</f>
        <v>0</v>
      </c>
      <c r="J199" s="125">
        <f t="shared" si="7"/>
        <v>23488</v>
      </c>
      <c r="K199" s="125">
        <f>SUM(K200:K202)</f>
        <v>22925</v>
      </c>
      <c r="L199" s="125">
        <f>SUM(L200:L202)</f>
        <v>297</v>
      </c>
      <c r="M199" s="125">
        <f>SUM(M200:M202)</f>
        <v>266</v>
      </c>
      <c r="N199" s="125">
        <f>'[2]Tổng '!T51</f>
        <v>0</v>
      </c>
    </row>
    <row r="200" spans="1:14" ht="21.9" customHeight="1">
      <c r="A200" s="126"/>
      <c r="B200" s="127" t="s">
        <v>612</v>
      </c>
      <c r="C200" s="128">
        <v>123</v>
      </c>
      <c r="D200" s="128">
        <f t="shared" si="8"/>
        <v>7816.72</v>
      </c>
      <c r="E200" s="128">
        <f>'[2]Thu '!D157</f>
        <v>102.92</v>
      </c>
      <c r="F200" s="125">
        <f t="shared" si="9"/>
        <v>7713.8</v>
      </c>
      <c r="G200" s="128">
        <f>'[2]Thu '!E157</f>
        <v>4745</v>
      </c>
      <c r="H200" s="128">
        <f>'[2]Thu '!F157</f>
        <v>2968.8</v>
      </c>
      <c r="I200" s="131"/>
      <c r="J200" s="125">
        <f t="shared" si="7"/>
        <v>7817</v>
      </c>
      <c r="K200" s="128">
        <f>'[2]Định Hoá - xã '!$O$15</f>
        <v>7683</v>
      </c>
      <c r="L200" s="128">
        <f>'[2]Định Hoá - xã '!$O$10</f>
        <v>45</v>
      </c>
      <c r="M200" s="128">
        <f>'[2]Định Hoá - xã '!$O$30+1</f>
        <v>89</v>
      </c>
      <c r="N200" s="128"/>
    </row>
    <row r="201" spans="1:14" ht="21.9" customHeight="1">
      <c r="A201" s="126"/>
      <c r="B201" s="127" t="s">
        <v>613</v>
      </c>
      <c r="C201" s="128">
        <v>286</v>
      </c>
      <c r="D201" s="128">
        <f t="shared" si="8"/>
        <v>7718</v>
      </c>
      <c r="E201" s="128">
        <f>'[2]Thu '!D158</f>
        <v>244.24</v>
      </c>
      <c r="F201" s="125">
        <f t="shared" si="9"/>
        <v>7473.76</v>
      </c>
      <c r="G201" s="128">
        <f>'[2]Thu '!E158</f>
        <v>4979.3999999999996</v>
      </c>
      <c r="H201" s="128">
        <f>'[2]Thu '!F158</f>
        <v>2494.36</v>
      </c>
      <c r="I201" s="131"/>
      <c r="J201" s="125">
        <f t="shared" si="7"/>
        <v>7718</v>
      </c>
      <c r="K201" s="128">
        <f>'[2]Định Hoá - xã '!$P$15</f>
        <v>7468</v>
      </c>
      <c r="L201" s="128">
        <f>'[2]Định Hoá - xã '!$P$10</f>
        <v>162</v>
      </c>
      <c r="M201" s="128">
        <f>'[2]Định Hoá - xã '!$P$30</f>
        <v>88</v>
      </c>
      <c r="N201" s="128"/>
    </row>
    <row r="202" spans="1:14" ht="21.9" customHeight="1">
      <c r="A202" s="126"/>
      <c r="B202" s="127" t="s">
        <v>476</v>
      </c>
      <c r="C202" s="128">
        <v>262</v>
      </c>
      <c r="D202" s="128">
        <f t="shared" si="8"/>
        <v>7953</v>
      </c>
      <c r="E202" s="128">
        <f>'[2]Thu '!D159</f>
        <v>221.8</v>
      </c>
      <c r="F202" s="125">
        <f t="shared" si="9"/>
        <v>7731.2</v>
      </c>
      <c r="G202" s="128">
        <f>'[2]Thu '!E159</f>
        <v>4889.3999999999996</v>
      </c>
      <c r="H202" s="128">
        <f>'[2]Thu '!F159</f>
        <v>2841.8</v>
      </c>
      <c r="I202" s="131"/>
      <c r="J202" s="125">
        <f t="shared" si="7"/>
        <v>7953</v>
      </c>
      <c r="K202" s="128">
        <f>'[2]Định Hoá - xã '!$Q$15</f>
        <v>7774</v>
      </c>
      <c r="L202" s="128">
        <f>'[2]Định Hoá - xã '!$Q$10</f>
        <v>90</v>
      </c>
      <c r="M202" s="128">
        <f>'[2]Định Hoá - xã '!$Q$30</f>
        <v>89</v>
      </c>
      <c r="N202" s="128"/>
    </row>
    <row r="203" spans="1:14" s="26" customFormat="1" ht="21.9" customHeight="1">
      <c r="A203" s="123">
        <v>45</v>
      </c>
      <c r="B203" s="124" t="s">
        <v>447</v>
      </c>
      <c r="C203" s="125">
        <f>SUM(C204:C205)</f>
        <v>555</v>
      </c>
      <c r="D203" s="128">
        <f t="shared" si="8"/>
        <v>17060</v>
      </c>
      <c r="E203" s="125">
        <f>SUM(E204:E205)</f>
        <v>399.32</v>
      </c>
      <c r="F203" s="125">
        <f t="shared" si="9"/>
        <v>16660.68</v>
      </c>
      <c r="G203" s="125">
        <f>SUM(G204:G205)</f>
        <v>10342.599999999999</v>
      </c>
      <c r="H203" s="125">
        <f>SUM(H204:H205)</f>
        <v>6318.08</v>
      </c>
      <c r="I203" s="125">
        <f>SUM(I204:I205)</f>
        <v>0</v>
      </c>
      <c r="J203" s="125">
        <f t="shared" ref="J203:J235" si="10">SUM(K203:N203)</f>
        <v>17060</v>
      </c>
      <c r="K203" s="125">
        <f>SUM(K204:K205)</f>
        <v>16734</v>
      </c>
      <c r="L203" s="125">
        <f>SUM(L204:L205)</f>
        <v>140</v>
      </c>
      <c r="M203" s="125">
        <f>SUM(M204:M205)</f>
        <v>186</v>
      </c>
      <c r="N203" s="125">
        <f>'[2]Tổng '!T52</f>
        <v>0</v>
      </c>
    </row>
    <row r="204" spans="1:14" ht="21.9" customHeight="1">
      <c r="A204" s="126"/>
      <c r="B204" s="127" t="s">
        <v>614</v>
      </c>
      <c r="C204" s="128">
        <v>314</v>
      </c>
      <c r="D204" s="128">
        <f t="shared" ref="D204:D235" si="11">E204+F204+I204</f>
        <v>9106</v>
      </c>
      <c r="E204" s="128">
        <f>'[2]Thu '!D160</f>
        <v>223.6</v>
      </c>
      <c r="F204" s="125">
        <f t="shared" ref="F204:F235" si="12">SUM(G204:H204)</f>
        <v>8882.4</v>
      </c>
      <c r="G204" s="128">
        <f>'[2]Thu '!E160</f>
        <v>5296.2</v>
      </c>
      <c r="H204" s="128">
        <f>'[2]Thu '!F160</f>
        <v>3586.2</v>
      </c>
      <c r="I204" s="131"/>
      <c r="J204" s="125">
        <f t="shared" si="10"/>
        <v>9106</v>
      </c>
      <c r="K204" s="128">
        <f>'[2]Định Hoá - xã '!$R$15</f>
        <v>8953</v>
      </c>
      <c r="L204" s="128">
        <f>'[2]Định Hoá - xã '!$R$10</f>
        <v>56</v>
      </c>
      <c r="M204" s="128">
        <f>'[2]Định Hoá - xã '!$R$30</f>
        <v>97</v>
      </c>
      <c r="N204" s="128"/>
    </row>
    <row r="205" spans="1:14" ht="21.9" customHeight="1">
      <c r="A205" s="126"/>
      <c r="B205" s="127" t="s">
        <v>615</v>
      </c>
      <c r="C205" s="128">
        <v>241</v>
      </c>
      <c r="D205" s="128">
        <f t="shared" si="11"/>
        <v>7954</v>
      </c>
      <c r="E205" s="128">
        <f>'[2]Thu '!D161</f>
        <v>175.72</v>
      </c>
      <c r="F205" s="125">
        <f t="shared" si="12"/>
        <v>7778.28</v>
      </c>
      <c r="G205" s="128">
        <f>'[2]Thu '!E161</f>
        <v>5046.3999999999996</v>
      </c>
      <c r="H205" s="128">
        <f>'[2]Thu '!F161</f>
        <v>2731.88</v>
      </c>
      <c r="I205" s="131"/>
      <c r="J205" s="125">
        <f t="shared" si="10"/>
        <v>7954</v>
      </c>
      <c r="K205" s="128">
        <f>'[2]Định Hoá - xã '!$S$15</f>
        <v>7781</v>
      </c>
      <c r="L205" s="128">
        <f>'[2]Định Hoá - xã '!$S$10</f>
        <v>84</v>
      </c>
      <c r="M205" s="128">
        <f>'[2]Định Hoá - xã '!$S$30</f>
        <v>89</v>
      </c>
      <c r="N205" s="128"/>
    </row>
    <row r="206" spans="1:14" s="26" customFormat="1" ht="21.9" customHeight="1">
      <c r="A206" s="123">
        <v>46</v>
      </c>
      <c r="B206" s="124" t="s">
        <v>448</v>
      </c>
      <c r="C206" s="125">
        <f>SUM(C207:C208)</f>
        <v>730</v>
      </c>
      <c r="D206" s="128">
        <f t="shared" si="11"/>
        <v>16579</v>
      </c>
      <c r="E206" s="125">
        <f>SUM(E207:E208)</f>
        <v>527.28</v>
      </c>
      <c r="F206" s="125">
        <f t="shared" si="12"/>
        <v>16051.72</v>
      </c>
      <c r="G206" s="125">
        <f>SUM(G207:G208)</f>
        <v>10283</v>
      </c>
      <c r="H206" s="125">
        <f>SUM(H207:H208)</f>
        <v>5768.7199999999993</v>
      </c>
      <c r="I206" s="125">
        <f>SUM(I207:I208)</f>
        <v>0</v>
      </c>
      <c r="J206" s="125">
        <f t="shared" si="10"/>
        <v>16579</v>
      </c>
      <c r="K206" s="125">
        <f>SUM(K207:K208)</f>
        <v>16133</v>
      </c>
      <c r="L206" s="125">
        <f>SUM(L207:L208)</f>
        <v>259</v>
      </c>
      <c r="M206" s="125">
        <f>SUM(M207:M208)</f>
        <v>187</v>
      </c>
      <c r="N206" s="125">
        <f>'[2]Tổng '!T53</f>
        <v>0</v>
      </c>
    </row>
    <row r="207" spans="1:14" ht="21.9" customHeight="1">
      <c r="A207" s="126"/>
      <c r="B207" s="127" t="s">
        <v>616</v>
      </c>
      <c r="C207" s="128">
        <v>348</v>
      </c>
      <c r="D207" s="128">
        <f t="shared" si="11"/>
        <v>8178.0000000000009</v>
      </c>
      <c r="E207" s="128">
        <f>'[2]Thu '!D162</f>
        <v>251.72</v>
      </c>
      <c r="F207" s="125">
        <f t="shared" si="12"/>
        <v>7926.2800000000007</v>
      </c>
      <c r="G207" s="128">
        <f>'[2]Thu '!E162</f>
        <v>5221.8</v>
      </c>
      <c r="H207" s="128">
        <f>'[2]Thu '!F162</f>
        <v>2704.48</v>
      </c>
      <c r="I207" s="131"/>
      <c r="J207" s="125">
        <f t="shared" si="10"/>
        <v>8178</v>
      </c>
      <c r="K207" s="128">
        <f>'[2]Định Hoá - xã '!$T$15</f>
        <v>7963</v>
      </c>
      <c r="L207" s="128">
        <f>'[2]Định Hoá - xã '!$T$10</f>
        <v>119</v>
      </c>
      <c r="M207" s="128">
        <f>'[2]Định Hoá - xã '!$T$30</f>
        <v>96</v>
      </c>
      <c r="N207" s="128"/>
    </row>
    <row r="208" spans="1:14" ht="21.9" customHeight="1">
      <c r="A208" s="126"/>
      <c r="B208" s="127" t="s">
        <v>617</v>
      </c>
      <c r="C208" s="128">
        <v>382</v>
      </c>
      <c r="D208" s="128">
        <f t="shared" si="11"/>
        <v>8401</v>
      </c>
      <c r="E208" s="128">
        <f>'[2]Thu '!D163</f>
        <v>275.56</v>
      </c>
      <c r="F208" s="125">
        <f t="shared" si="12"/>
        <v>8125.44</v>
      </c>
      <c r="G208" s="128">
        <f>'[2]Thu '!E163</f>
        <v>5061.2</v>
      </c>
      <c r="H208" s="128">
        <f>'[2]Thu '!F163</f>
        <v>3064.24</v>
      </c>
      <c r="I208" s="131"/>
      <c r="J208" s="125">
        <f t="shared" si="10"/>
        <v>8401</v>
      </c>
      <c r="K208" s="128">
        <f>'[2]Định Hoá - xã '!$U$15</f>
        <v>8170</v>
      </c>
      <c r="L208" s="128">
        <f>'[2]Định Hoá - xã '!$U$10</f>
        <v>140</v>
      </c>
      <c r="M208" s="128">
        <f>'[2]Định Hoá - xã '!$U$30</f>
        <v>91</v>
      </c>
      <c r="N208" s="128"/>
    </row>
    <row r="209" spans="1:14" s="26" customFormat="1" ht="21.9" customHeight="1">
      <c r="A209" s="123">
        <v>47</v>
      </c>
      <c r="B209" s="124" t="s">
        <v>449</v>
      </c>
      <c r="C209" s="125">
        <f>SUM(C210:C211)</f>
        <v>769</v>
      </c>
      <c r="D209" s="128">
        <f t="shared" si="11"/>
        <v>17646</v>
      </c>
      <c r="E209" s="125">
        <f>SUM(E210:E211)</f>
        <v>559</v>
      </c>
      <c r="F209" s="125">
        <f t="shared" si="12"/>
        <v>17087</v>
      </c>
      <c r="G209" s="125">
        <f>SUM(G210:G211)</f>
        <v>12745</v>
      </c>
      <c r="H209" s="125">
        <f>SUM(H210:H211)</f>
        <v>4342</v>
      </c>
      <c r="I209" s="125">
        <f>SUM(I210:I211)</f>
        <v>0</v>
      </c>
      <c r="J209" s="125">
        <f t="shared" si="10"/>
        <v>17646</v>
      </c>
      <c r="K209" s="125">
        <f>SUM(K210:K211)</f>
        <v>17220</v>
      </c>
      <c r="L209" s="125">
        <f>SUM(L210:L211)</f>
        <v>205</v>
      </c>
      <c r="M209" s="125">
        <f>SUM(M210:M211)</f>
        <v>221</v>
      </c>
      <c r="N209" s="125">
        <f>'[2]Tổng '!T54</f>
        <v>0</v>
      </c>
    </row>
    <row r="210" spans="1:14" ht="21.9" customHeight="1">
      <c r="A210" s="126"/>
      <c r="B210" s="127" t="s">
        <v>618</v>
      </c>
      <c r="C210" s="128">
        <v>534</v>
      </c>
      <c r="D210" s="128">
        <f t="shared" si="11"/>
        <v>9239</v>
      </c>
      <c r="E210" s="128">
        <f>'[2]Thu '!D164</f>
        <v>391.8</v>
      </c>
      <c r="F210" s="125">
        <f t="shared" si="12"/>
        <v>8847.2000000000007</v>
      </c>
      <c r="G210" s="128">
        <f>'[2]Thu '!E164</f>
        <v>6763</v>
      </c>
      <c r="H210" s="128">
        <f>'[2]Thu '!F164</f>
        <v>2084.1999999999998</v>
      </c>
      <c r="I210" s="131"/>
      <c r="J210" s="125">
        <f t="shared" si="10"/>
        <v>9239</v>
      </c>
      <c r="K210" s="128">
        <f>'[2]Định Hoá - xã '!$V$15</f>
        <v>8990</v>
      </c>
      <c r="L210" s="128">
        <f>'[2]Định Hoá - xã '!$V$10</f>
        <v>135</v>
      </c>
      <c r="M210" s="128">
        <f>'[2]Định Hoá - xã '!$V$30</f>
        <v>114</v>
      </c>
      <c r="N210" s="128"/>
    </row>
    <row r="211" spans="1:14" ht="21.9" customHeight="1">
      <c r="A211" s="126"/>
      <c r="B211" s="127" t="s">
        <v>619</v>
      </c>
      <c r="C211" s="128">
        <v>235</v>
      </c>
      <c r="D211" s="128">
        <f t="shared" si="11"/>
        <v>8407</v>
      </c>
      <c r="E211" s="128">
        <f>'[2]Thu '!D165</f>
        <v>167.2</v>
      </c>
      <c r="F211" s="125">
        <f t="shared" si="12"/>
        <v>8239.7999999999993</v>
      </c>
      <c r="G211" s="128">
        <f>'[2]Thu '!E165</f>
        <v>5982</v>
      </c>
      <c r="H211" s="128">
        <f>'[2]Thu '!F165</f>
        <v>2257.8000000000002</v>
      </c>
      <c r="I211" s="131"/>
      <c r="J211" s="125">
        <f t="shared" si="10"/>
        <v>8407</v>
      </c>
      <c r="K211" s="128">
        <f>'[2]Định Hoá - xã '!$W$15</f>
        <v>8230</v>
      </c>
      <c r="L211" s="128">
        <f>'[2]Định Hoá - xã '!$W$10</f>
        <v>70</v>
      </c>
      <c r="M211" s="128">
        <f>'[2]Định Hoá - xã '!$W$30</f>
        <v>107</v>
      </c>
      <c r="N211" s="128"/>
    </row>
    <row r="212" spans="1:14" s="26" customFormat="1" ht="21.9" customHeight="1">
      <c r="A212" s="123">
        <v>48</v>
      </c>
      <c r="B212" s="124" t="s">
        <v>450</v>
      </c>
      <c r="C212" s="125">
        <f>SUM(C213:C214)</f>
        <v>297</v>
      </c>
      <c r="D212" s="128">
        <f t="shared" si="11"/>
        <v>16748</v>
      </c>
      <c r="E212" s="125">
        <f>SUM(E213:E214)</f>
        <v>236.07999999999998</v>
      </c>
      <c r="F212" s="125">
        <f t="shared" si="12"/>
        <v>16511.919999999998</v>
      </c>
      <c r="G212" s="125">
        <f>SUM(G213:G214)</f>
        <v>10601.599999999999</v>
      </c>
      <c r="H212" s="125">
        <f>SUM(H213:H214)</f>
        <v>5910.32</v>
      </c>
      <c r="I212" s="125">
        <f>SUM(I213:I214)</f>
        <v>0</v>
      </c>
      <c r="J212" s="125">
        <f t="shared" si="10"/>
        <v>16748</v>
      </c>
      <c r="K212" s="125">
        <f>SUM(K213:K214)</f>
        <v>16445</v>
      </c>
      <c r="L212" s="125">
        <f>SUM(L213:L214)</f>
        <v>115</v>
      </c>
      <c r="M212" s="125">
        <f>SUM(M213:M214)</f>
        <v>188</v>
      </c>
      <c r="N212" s="125">
        <f>'[2]Tổng '!T55</f>
        <v>0</v>
      </c>
    </row>
    <row r="213" spans="1:14" ht="21.9" customHeight="1">
      <c r="A213" s="126"/>
      <c r="B213" s="127" t="s">
        <v>620</v>
      </c>
      <c r="C213" s="128">
        <v>216</v>
      </c>
      <c r="D213" s="128">
        <f t="shared" si="11"/>
        <v>8269</v>
      </c>
      <c r="E213" s="128">
        <f>'[2]Thu '!D166</f>
        <v>165.44</v>
      </c>
      <c r="F213" s="125">
        <f t="shared" si="12"/>
        <v>8103.5599999999995</v>
      </c>
      <c r="G213" s="128">
        <f>'[2]Thu '!E166</f>
        <v>5183.2</v>
      </c>
      <c r="H213" s="128">
        <f>'[2]Thu '!F166</f>
        <v>2920.36</v>
      </c>
      <c r="I213" s="131"/>
      <c r="J213" s="125">
        <f t="shared" si="10"/>
        <v>8269</v>
      </c>
      <c r="K213" s="128">
        <f>'[2]Định Hoá - xã '!$X$15</f>
        <v>8108</v>
      </c>
      <c r="L213" s="128">
        <f>'[2]Định Hoá - xã '!$X$10</f>
        <v>70</v>
      </c>
      <c r="M213" s="128">
        <f>'[2]Định Hoá - xã '!$X$30</f>
        <v>91</v>
      </c>
      <c r="N213" s="128"/>
    </row>
    <row r="214" spans="1:14" ht="21.9" customHeight="1">
      <c r="A214" s="126"/>
      <c r="B214" s="127" t="s">
        <v>621</v>
      </c>
      <c r="C214" s="128">
        <v>81</v>
      </c>
      <c r="D214" s="128">
        <f t="shared" si="11"/>
        <v>8479</v>
      </c>
      <c r="E214" s="128">
        <f>'[2]Thu '!D167</f>
        <v>70.64</v>
      </c>
      <c r="F214" s="125">
        <f t="shared" si="12"/>
        <v>8408.36</v>
      </c>
      <c r="G214" s="128">
        <f>'[2]Thu '!E167</f>
        <v>5418.4</v>
      </c>
      <c r="H214" s="128">
        <f>'[2]Thu '!F167</f>
        <v>2989.96</v>
      </c>
      <c r="I214" s="131"/>
      <c r="J214" s="125">
        <f t="shared" si="10"/>
        <v>8479</v>
      </c>
      <c r="K214" s="128">
        <f>'[2]Định Hoá - xã '!$Y$15</f>
        <v>8337</v>
      </c>
      <c r="L214" s="128">
        <f>'[2]Định Hoá - xã '!$Y$10</f>
        <v>45</v>
      </c>
      <c r="M214" s="128">
        <f>'[2]Định Hoá - xã '!$Y$30</f>
        <v>97</v>
      </c>
      <c r="N214" s="128"/>
    </row>
    <row r="215" spans="1:14" s="26" customFormat="1" ht="21.9" customHeight="1">
      <c r="A215" s="123">
        <v>49</v>
      </c>
      <c r="B215" s="124" t="s">
        <v>451</v>
      </c>
      <c r="C215" s="125">
        <f>SUM(C216:C218)</f>
        <v>5196</v>
      </c>
      <c r="D215" s="128">
        <f t="shared" si="11"/>
        <v>25677</v>
      </c>
      <c r="E215" s="125">
        <f>SUM(E216:E218)</f>
        <v>1938</v>
      </c>
      <c r="F215" s="125">
        <f t="shared" si="12"/>
        <v>23739</v>
      </c>
      <c r="G215" s="125">
        <f>SUM(G216:G218)</f>
        <v>13705</v>
      </c>
      <c r="H215" s="125">
        <f>SUM(H216:H218)</f>
        <v>10034</v>
      </c>
      <c r="I215" s="125">
        <f>SUM(I216:I218)</f>
        <v>0</v>
      </c>
      <c r="J215" s="125">
        <f t="shared" si="10"/>
        <v>25677</v>
      </c>
      <c r="K215" s="125">
        <f>SUM(K216:K218)</f>
        <v>24761</v>
      </c>
      <c r="L215" s="125">
        <f>SUM(L216:L218)</f>
        <v>607</v>
      </c>
      <c r="M215" s="125">
        <f>SUM(M216:M218)</f>
        <v>309</v>
      </c>
      <c r="N215" s="125">
        <f>'[2]Tổng '!T56</f>
        <v>0</v>
      </c>
    </row>
    <row r="216" spans="1:14" ht="21.9" customHeight="1">
      <c r="A216" s="126"/>
      <c r="B216" s="127" t="s">
        <v>622</v>
      </c>
      <c r="C216" s="128">
        <v>1868</v>
      </c>
      <c r="D216" s="128">
        <f t="shared" si="11"/>
        <v>9090</v>
      </c>
      <c r="E216" s="128">
        <f>'[2]Thu '!D169</f>
        <v>740</v>
      </c>
      <c r="F216" s="125">
        <f t="shared" si="12"/>
        <v>8350</v>
      </c>
      <c r="G216" s="128">
        <f>'[2]Thu '!E169</f>
        <v>4777</v>
      </c>
      <c r="H216" s="128">
        <f>'[2]Thu '!F169</f>
        <v>3573</v>
      </c>
      <c r="I216" s="131"/>
      <c r="J216" s="125">
        <f t="shared" si="10"/>
        <v>9090</v>
      </c>
      <c r="K216" s="128">
        <f>'[2]Võ Nhai'!$D$15</f>
        <v>8645</v>
      </c>
      <c r="L216" s="128">
        <f>'[2]Võ Nhai'!$D$10</f>
        <v>337</v>
      </c>
      <c r="M216" s="128">
        <f>'[2]Võ Nhai'!$D$30</f>
        <v>108</v>
      </c>
      <c r="N216" s="128"/>
    </row>
    <row r="217" spans="1:14" ht="21.9" customHeight="1">
      <c r="A217" s="126"/>
      <c r="B217" s="127" t="s">
        <v>623</v>
      </c>
      <c r="C217" s="128">
        <v>875</v>
      </c>
      <c r="D217" s="128">
        <f t="shared" si="11"/>
        <v>8675</v>
      </c>
      <c r="E217" s="128">
        <f>'[2]Thu '!D170</f>
        <v>410</v>
      </c>
      <c r="F217" s="125">
        <f t="shared" si="12"/>
        <v>8265</v>
      </c>
      <c r="G217" s="128">
        <f>'[2]Thu '!E170</f>
        <v>4813</v>
      </c>
      <c r="H217" s="128">
        <f>'[2]Thu '!F170</f>
        <v>3452</v>
      </c>
      <c r="I217" s="131"/>
      <c r="J217" s="125">
        <f t="shared" si="10"/>
        <v>8675</v>
      </c>
      <c r="K217" s="128">
        <f>'[2]Võ Nhai'!$E$15</f>
        <v>8435</v>
      </c>
      <c r="L217" s="128">
        <f>'[2]Võ Nhai'!$E$10</f>
        <v>135</v>
      </c>
      <c r="M217" s="128">
        <f>'[2]Võ Nhai'!$E$30</f>
        <v>105</v>
      </c>
      <c r="N217" s="128"/>
    </row>
    <row r="218" spans="1:14" ht="21.9" customHeight="1">
      <c r="A218" s="126"/>
      <c r="B218" s="127" t="s">
        <v>624</v>
      </c>
      <c r="C218" s="128">
        <v>2453</v>
      </c>
      <c r="D218" s="128">
        <f t="shared" si="11"/>
        <v>7912</v>
      </c>
      <c r="E218" s="128">
        <f>'[2]Thu '!D171</f>
        <v>788</v>
      </c>
      <c r="F218" s="125">
        <f t="shared" si="12"/>
        <v>7124</v>
      </c>
      <c r="G218" s="128">
        <f>'[2]Thu '!E171</f>
        <v>4115</v>
      </c>
      <c r="H218" s="128">
        <f>'[2]Thu '!F171</f>
        <v>3009</v>
      </c>
      <c r="I218" s="131"/>
      <c r="J218" s="125">
        <f t="shared" si="10"/>
        <v>7912</v>
      </c>
      <c r="K218" s="128">
        <f>'[2]Võ Nhai'!$F$15</f>
        <v>7681</v>
      </c>
      <c r="L218" s="128">
        <f>'[2]Võ Nhai'!$F$10</f>
        <v>135</v>
      </c>
      <c r="M218" s="128">
        <f>'[2]Võ Nhai'!$F$30</f>
        <v>96</v>
      </c>
      <c r="N218" s="128"/>
    </row>
    <row r="219" spans="1:14" s="26" customFormat="1" ht="21.9" customHeight="1">
      <c r="A219" s="123">
        <v>50</v>
      </c>
      <c r="B219" s="124" t="s">
        <v>452</v>
      </c>
      <c r="C219" s="125">
        <f>SUM(C220:C222)</f>
        <v>2909</v>
      </c>
      <c r="D219" s="128">
        <f t="shared" si="11"/>
        <v>28172</v>
      </c>
      <c r="E219" s="125">
        <f>SUM(E220:E222)</f>
        <v>1359</v>
      </c>
      <c r="F219" s="125">
        <f t="shared" si="12"/>
        <v>26813</v>
      </c>
      <c r="G219" s="125">
        <f>SUM(G220:G222)</f>
        <v>16110</v>
      </c>
      <c r="H219" s="125">
        <f>SUM(H220:H222)</f>
        <v>10703</v>
      </c>
      <c r="I219" s="125">
        <f>SUM(I220:I222)</f>
        <v>0</v>
      </c>
      <c r="J219" s="125">
        <f t="shared" si="10"/>
        <v>28174</v>
      </c>
      <c r="K219" s="125">
        <f>SUM(K220:K222)</f>
        <v>27153</v>
      </c>
      <c r="L219" s="125">
        <f>SUM(L220:L222)</f>
        <v>675</v>
      </c>
      <c r="M219" s="125">
        <f>SUM(M220:M222)</f>
        <v>346</v>
      </c>
      <c r="N219" s="125">
        <f>'[2]Tổng '!T57</f>
        <v>0</v>
      </c>
    </row>
    <row r="220" spans="1:14" ht="21.9" customHeight="1">
      <c r="A220" s="126"/>
      <c r="B220" s="127" t="s">
        <v>625</v>
      </c>
      <c r="C220" s="128">
        <v>700</v>
      </c>
      <c r="D220" s="128">
        <f t="shared" si="11"/>
        <v>9474</v>
      </c>
      <c r="E220" s="128">
        <f>'[2]Thu '!D172</f>
        <v>327</v>
      </c>
      <c r="F220" s="125">
        <f t="shared" si="12"/>
        <v>9147</v>
      </c>
      <c r="G220" s="128">
        <f>'[2]Thu '!E172</f>
        <v>5245</v>
      </c>
      <c r="H220" s="128">
        <f>'[2]Thu '!F172</f>
        <v>3902</v>
      </c>
      <c r="I220" s="131"/>
      <c r="J220" s="125">
        <f t="shared" si="10"/>
        <v>9475</v>
      </c>
      <c r="K220" s="128">
        <f>'[2]Võ Nhai'!$G$15</f>
        <v>9272</v>
      </c>
      <c r="L220" s="128">
        <f>'[2]Võ Nhai'!$G$10</f>
        <v>90</v>
      </c>
      <c r="M220" s="128">
        <f>'[2]Võ Nhai'!$G$30</f>
        <v>113</v>
      </c>
      <c r="N220" s="128"/>
    </row>
    <row r="221" spans="1:14" ht="21.9" customHeight="1">
      <c r="A221" s="126"/>
      <c r="B221" s="127" t="s">
        <v>626</v>
      </c>
      <c r="C221" s="128">
        <v>1011</v>
      </c>
      <c r="D221" s="128">
        <f t="shared" si="11"/>
        <v>9616</v>
      </c>
      <c r="E221" s="128">
        <f>'[2]Thu '!D173</f>
        <v>461</v>
      </c>
      <c r="F221" s="125">
        <f t="shared" si="12"/>
        <v>9155</v>
      </c>
      <c r="G221" s="128">
        <f>'[2]Thu '!E173</f>
        <v>5473</v>
      </c>
      <c r="H221" s="128">
        <f>'[2]Thu '!F173</f>
        <v>3682</v>
      </c>
      <c r="I221" s="131"/>
      <c r="J221" s="125">
        <f t="shared" si="10"/>
        <v>9617</v>
      </c>
      <c r="K221" s="128">
        <f>'[2]Võ Nhai'!$H$15</f>
        <v>9319</v>
      </c>
      <c r="L221" s="128">
        <f>'[2]Võ Nhai'!$H$10</f>
        <v>180</v>
      </c>
      <c r="M221" s="128">
        <f>'[2]Võ Nhai'!$H$30</f>
        <v>118</v>
      </c>
      <c r="N221" s="128"/>
    </row>
    <row r="222" spans="1:14" ht="21.9" customHeight="1">
      <c r="A222" s="126"/>
      <c r="B222" s="127" t="s">
        <v>627</v>
      </c>
      <c r="C222" s="128">
        <v>1198</v>
      </c>
      <c r="D222" s="128">
        <f t="shared" si="11"/>
        <v>9082</v>
      </c>
      <c r="E222" s="128">
        <f>'[2]Thu '!D174</f>
        <v>571</v>
      </c>
      <c r="F222" s="125">
        <f t="shared" si="12"/>
        <v>8511</v>
      </c>
      <c r="G222" s="128">
        <f>'[2]Thu '!E174</f>
        <v>5392</v>
      </c>
      <c r="H222" s="128">
        <f>'[2]Thu '!F174</f>
        <v>3119</v>
      </c>
      <c r="I222" s="131"/>
      <c r="J222" s="125">
        <f t="shared" si="10"/>
        <v>9082</v>
      </c>
      <c r="K222" s="128">
        <f>'[2]Võ Nhai'!$I$15</f>
        <v>8562</v>
      </c>
      <c r="L222" s="128">
        <f>'[2]Võ Nhai'!$I$10</f>
        <v>405</v>
      </c>
      <c r="M222" s="128">
        <f>'[2]Võ Nhai'!$I$30</f>
        <v>115</v>
      </c>
      <c r="N222" s="128"/>
    </row>
    <row r="223" spans="1:14" s="26" customFormat="1" ht="21.9" customHeight="1">
      <c r="A223" s="123">
        <v>51</v>
      </c>
      <c r="B223" s="124" t="s">
        <v>453</v>
      </c>
      <c r="C223" s="125">
        <f>SUM(C224:C225)</f>
        <v>325</v>
      </c>
      <c r="D223" s="128">
        <f t="shared" si="11"/>
        <v>16197</v>
      </c>
      <c r="E223" s="125">
        <f>SUM(E224:E225)</f>
        <v>170</v>
      </c>
      <c r="F223" s="125">
        <f t="shared" si="12"/>
        <v>16027</v>
      </c>
      <c r="G223" s="125">
        <f>SUM(G224:G225)</f>
        <v>10067</v>
      </c>
      <c r="H223" s="125">
        <f>SUM(H224:H225)</f>
        <v>5960</v>
      </c>
      <c r="I223" s="125">
        <f>SUM(I224:I225)</f>
        <v>0</v>
      </c>
      <c r="J223" s="125">
        <f t="shared" si="10"/>
        <v>16197</v>
      </c>
      <c r="K223" s="125">
        <f>SUM(K224:K225)</f>
        <v>15986</v>
      </c>
      <c r="L223" s="125">
        <f>SUM(L224:L225)</f>
        <v>0</v>
      </c>
      <c r="M223" s="125">
        <f>SUM(M224:M225)</f>
        <v>211</v>
      </c>
      <c r="N223" s="125">
        <f>'[2]Tổng '!T58</f>
        <v>0</v>
      </c>
    </row>
    <row r="224" spans="1:14" ht="21.9" customHeight="1">
      <c r="A224" s="126"/>
      <c r="B224" s="127" t="s">
        <v>628</v>
      </c>
      <c r="C224" s="128">
        <v>110</v>
      </c>
      <c r="D224" s="128">
        <f t="shared" si="11"/>
        <v>8526</v>
      </c>
      <c r="E224" s="128">
        <f>'[2]Thu '!D175</f>
        <v>63</v>
      </c>
      <c r="F224" s="125">
        <f t="shared" si="12"/>
        <v>8463</v>
      </c>
      <c r="G224" s="128">
        <f>'[2]Thu '!E175</f>
        <v>5075</v>
      </c>
      <c r="H224" s="128">
        <f>'[2]Thu '!F175</f>
        <v>3388</v>
      </c>
      <c r="I224" s="131"/>
      <c r="J224" s="125">
        <f t="shared" si="10"/>
        <v>8525</v>
      </c>
      <c r="K224" s="128">
        <f>'[2]Võ Nhai'!$J$15</f>
        <v>8417</v>
      </c>
      <c r="L224" s="128">
        <f>'[2]Võ Nhai'!$J$10</f>
        <v>0</v>
      </c>
      <c r="M224" s="128">
        <f>'[2]Võ Nhai'!$J$30</f>
        <v>108</v>
      </c>
      <c r="N224" s="128"/>
    </row>
    <row r="225" spans="1:14" ht="21.9" customHeight="1">
      <c r="A225" s="126"/>
      <c r="B225" s="127" t="s">
        <v>629</v>
      </c>
      <c r="C225" s="128">
        <v>215</v>
      </c>
      <c r="D225" s="128">
        <f t="shared" si="11"/>
        <v>7671</v>
      </c>
      <c r="E225" s="128">
        <f>'[2]Thu '!D176</f>
        <v>107</v>
      </c>
      <c r="F225" s="125">
        <f t="shared" si="12"/>
        <v>7564</v>
      </c>
      <c r="G225" s="128">
        <f>'[2]Thu '!E176</f>
        <v>4992</v>
      </c>
      <c r="H225" s="128">
        <f>'[2]Thu '!F176</f>
        <v>2572</v>
      </c>
      <c r="I225" s="131"/>
      <c r="J225" s="125">
        <f t="shared" si="10"/>
        <v>7672</v>
      </c>
      <c r="K225" s="128">
        <f>'[2]Võ Nhai'!$K$15</f>
        <v>7569</v>
      </c>
      <c r="L225" s="128">
        <f>'[2]Võ Nhai'!$K$10</f>
        <v>0</v>
      </c>
      <c r="M225" s="128">
        <f>'[2]Võ Nhai'!$K$30+1</f>
        <v>103</v>
      </c>
      <c r="N225" s="128"/>
    </row>
    <row r="226" spans="1:14" s="26" customFormat="1" ht="21.9" customHeight="1">
      <c r="A226" s="123">
        <v>52</v>
      </c>
      <c r="B226" s="124" t="s">
        <v>454</v>
      </c>
      <c r="C226" s="125">
        <f>SUM(C227:C228)</f>
        <v>304</v>
      </c>
      <c r="D226" s="128">
        <f t="shared" si="11"/>
        <v>15301</v>
      </c>
      <c r="E226" s="125">
        <f>SUM(E227:E228)</f>
        <v>125</v>
      </c>
      <c r="F226" s="125">
        <f t="shared" si="12"/>
        <v>15176</v>
      </c>
      <c r="G226" s="125">
        <f>SUM(G227:G228)</f>
        <v>9749</v>
      </c>
      <c r="H226" s="125">
        <f>SUM(H227:H228)</f>
        <v>5427</v>
      </c>
      <c r="I226" s="125">
        <f>SUM(I227:I228)</f>
        <v>0</v>
      </c>
      <c r="J226" s="125">
        <f t="shared" si="10"/>
        <v>15301</v>
      </c>
      <c r="K226" s="125">
        <f>SUM(K227:K228)</f>
        <v>15051</v>
      </c>
      <c r="L226" s="125">
        <f>SUM(L227:L228)</f>
        <v>45</v>
      </c>
      <c r="M226" s="125">
        <f>SUM(M227:M228)</f>
        <v>205</v>
      </c>
      <c r="N226" s="125">
        <f>'[2]Tổng '!T59</f>
        <v>0</v>
      </c>
    </row>
    <row r="227" spans="1:14" ht="21.9" customHeight="1">
      <c r="A227" s="126"/>
      <c r="B227" s="127" t="s">
        <v>630</v>
      </c>
      <c r="C227" s="128">
        <v>219</v>
      </c>
      <c r="D227" s="128">
        <f t="shared" si="11"/>
        <v>8363</v>
      </c>
      <c r="E227" s="128">
        <f>'[2]Thu '!D177</f>
        <v>90</v>
      </c>
      <c r="F227" s="125">
        <f t="shared" si="12"/>
        <v>8273</v>
      </c>
      <c r="G227" s="128">
        <f>'[2]Thu '!E177</f>
        <v>5231</v>
      </c>
      <c r="H227" s="128">
        <f>'[2]Thu '!F177</f>
        <v>3042</v>
      </c>
      <c r="I227" s="131"/>
      <c r="J227" s="125">
        <f t="shared" si="10"/>
        <v>8363</v>
      </c>
      <c r="K227" s="128">
        <f>'[2]Võ Nhai'!$L$15</f>
        <v>8210</v>
      </c>
      <c r="L227" s="128">
        <f>'[2]Võ Nhai'!$L$10</f>
        <v>45</v>
      </c>
      <c r="M227" s="128">
        <f>'[2]Võ Nhai'!$L$30</f>
        <v>108</v>
      </c>
      <c r="N227" s="128"/>
    </row>
    <row r="228" spans="1:14" ht="21.9" customHeight="1">
      <c r="A228" s="126"/>
      <c r="B228" s="127" t="s">
        <v>631</v>
      </c>
      <c r="C228" s="128">
        <v>85</v>
      </c>
      <c r="D228" s="128">
        <f t="shared" si="11"/>
        <v>6938</v>
      </c>
      <c r="E228" s="128">
        <f>'[2]Thu '!D178</f>
        <v>35</v>
      </c>
      <c r="F228" s="125">
        <f t="shared" si="12"/>
        <v>6903</v>
      </c>
      <c r="G228" s="128">
        <f>'[2]Thu '!E178</f>
        <v>4518</v>
      </c>
      <c r="H228" s="128">
        <f>'[2]Thu '!F178</f>
        <v>2385</v>
      </c>
      <c r="I228" s="131"/>
      <c r="J228" s="125">
        <f t="shared" si="10"/>
        <v>6938</v>
      </c>
      <c r="K228" s="128">
        <f>'[2]Võ Nhai'!$M$15</f>
        <v>6841</v>
      </c>
      <c r="L228" s="128">
        <f>'[2]Võ Nhai'!$M$10</f>
        <v>0</v>
      </c>
      <c r="M228" s="128">
        <f>'[2]Võ Nhai'!$M$30+1</f>
        <v>97</v>
      </c>
      <c r="N228" s="128"/>
    </row>
    <row r="229" spans="1:14" s="26" customFormat="1" ht="21.9" customHeight="1">
      <c r="A229" s="123">
        <v>53</v>
      </c>
      <c r="B229" s="124" t="s">
        <v>455</v>
      </c>
      <c r="C229" s="125">
        <f>SUM(C230:C231)</f>
        <v>3192</v>
      </c>
      <c r="D229" s="128">
        <f t="shared" si="11"/>
        <v>17652</v>
      </c>
      <c r="E229" s="125">
        <f>SUM(E230:E231)</f>
        <v>1267</v>
      </c>
      <c r="F229" s="125">
        <f t="shared" si="12"/>
        <v>16385</v>
      </c>
      <c r="G229" s="125">
        <f>SUM(G230:G231)</f>
        <v>9831</v>
      </c>
      <c r="H229" s="125">
        <f>SUM(H230:H231)</f>
        <v>6554</v>
      </c>
      <c r="I229" s="125">
        <f>SUM(I230:I231)</f>
        <v>0</v>
      </c>
      <c r="J229" s="125">
        <f t="shared" si="10"/>
        <v>17653</v>
      </c>
      <c r="K229" s="125">
        <f>SUM(K230:K231)</f>
        <v>16850</v>
      </c>
      <c r="L229" s="125">
        <f>SUM(L230:L231)</f>
        <v>585</v>
      </c>
      <c r="M229" s="125">
        <f>SUM(M230:M231)</f>
        <v>218</v>
      </c>
      <c r="N229" s="125">
        <f>'[2]Tổng '!T60</f>
        <v>0</v>
      </c>
    </row>
    <row r="230" spans="1:14" ht="21.9" customHeight="1">
      <c r="A230" s="126"/>
      <c r="B230" s="127" t="s">
        <v>632</v>
      </c>
      <c r="C230" s="128">
        <v>2598</v>
      </c>
      <c r="D230" s="128">
        <f t="shared" si="11"/>
        <v>10530</v>
      </c>
      <c r="E230" s="128">
        <f>'[2]Thu '!D179</f>
        <v>1023</v>
      </c>
      <c r="F230" s="125">
        <f t="shared" si="12"/>
        <v>9507</v>
      </c>
      <c r="G230" s="128">
        <f>'[2]Thu '!E179</f>
        <v>5386</v>
      </c>
      <c r="H230" s="128">
        <f>'[2]Thu '!F179</f>
        <v>4121</v>
      </c>
      <c r="I230" s="131"/>
      <c r="J230" s="125">
        <f t="shared" si="10"/>
        <v>10530</v>
      </c>
      <c r="K230" s="128">
        <f>'[2]Võ Nhai'!$N$15</f>
        <v>9956</v>
      </c>
      <c r="L230" s="128">
        <f>'[2]Võ Nhai'!$N$10</f>
        <v>450</v>
      </c>
      <c r="M230" s="128">
        <f>'[2]Võ Nhai'!$N$30</f>
        <v>124</v>
      </c>
      <c r="N230" s="128"/>
    </row>
    <row r="231" spans="1:14" ht="21.9" customHeight="1">
      <c r="A231" s="126"/>
      <c r="B231" s="127" t="s">
        <v>633</v>
      </c>
      <c r="C231" s="128">
        <v>594</v>
      </c>
      <c r="D231" s="128">
        <f t="shared" si="11"/>
        <v>7122</v>
      </c>
      <c r="E231" s="128">
        <f>'[2]Thu '!D180</f>
        <v>244</v>
      </c>
      <c r="F231" s="125">
        <f t="shared" si="12"/>
        <v>6878</v>
      </c>
      <c r="G231" s="128">
        <f>'[2]Thu '!E180</f>
        <v>4445</v>
      </c>
      <c r="H231" s="128">
        <f>'[2]Thu '!F180</f>
        <v>2433</v>
      </c>
      <c r="I231" s="131"/>
      <c r="J231" s="125">
        <f t="shared" si="10"/>
        <v>7123</v>
      </c>
      <c r="K231" s="128">
        <f>'[2]Võ Nhai'!$O$15</f>
        <v>6894</v>
      </c>
      <c r="L231" s="128">
        <f>'[2]Võ Nhai'!$O$10</f>
        <v>135</v>
      </c>
      <c r="M231" s="128">
        <f>'[2]Võ Nhai'!$O$30</f>
        <v>94</v>
      </c>
      <c r="N231" s="128"/>
    </row>
    <row r="232" spans="1:14" s="26" customFormat="1" ht="21.9" customHeight="1">
      <c r="A232" s="123">
        <v>54</v>
      </c>
      <c r="B232" s="124" t="s">
        <v>456</v>
      </c>
      <c r="C232" s="125">
        <f>SUM(C233:C234)</f>
        <v>2013</v>
      </c>
      <c r="D232" s="128">
        <f t="shared" si="11"/>
        <v>19147</v>
      </c>
      <c r="E232" s="125">
        <f>SUM(E233:E234)</f>
        <v>825</v>
      </c>
      <c r="F232" s="125">
        <f t="shared" si="12"/>
        <v>18322</v>
      </c>
      <c r="G232" s="125">
        <f>SUM(G233:G234)</f>
        <v>10650</v>
      </c>
      <c r="H232" s="125">
        <f>SUM(H233:H234)</f>
        <v>7672</v>
      </c>
      <c r="I232" s="125">
        <f>SUM(I233:I234)</f>
        <v>0</v>
      </c>
      <c r="J232" s="125">
        <f t="shared" si="10"/>
        <v>19147</v>
      </c>
      <c r="K232" s="125">
        <f>SUM(K233:K234)</f>
        <v>18571</v>
      </c>
      <c r="L232" s="125">
        <f>SUM(L233:L234)</f>
        <v>338</v>
      </c>
      <c r="M232" s="125">
        <f>SUM(M233:M234)</f>
        <v>238</v>
      </c>
      <c r="N232" s="125"/>
    </row>
    <row r="233" spans="1:14" ht="21.9" customHeight="1">
      <c r="A233" s="126"/>
      <c r="B233" s="127" t="s">
        <v>634</v>
      </c>
      <c r="C233" s="128">
        <v>1680</v>
      </c>
      <c r="D233" s="128">
        <f t="shared" si="11"/>
        <v>10332</v>
      </c>
      <c r="E233" s="128">
        <f>'[2]Thu '!D181</f>
        <v>690</v>
      </c>
      <c r="F233" s="125">
        <f t="shared" si="12"/>
        <v>9642</v>
      </c>
      <c r="G233" s="128">
        <f>'[2]Thu '!E181</f>
        <v>5629</v>
      </c>
      <c r="H233" s="128">
        <f>'[2]Thu '!F181</f>
        <v>4013</v>
      </c>
      <c r="I233" s="131"/>
      <c r="J233" s="125">
        <f t="shared" si="10"/>
        <v>10333</v>
      </c>
      <c r="K233" s="128">
        <f>'[2]Võ Nhai'!$P$15</f>
        <v>9890</v>
      </c>
      <c r="L233" s="128">
        <f>'[2]Võ Nhai'!$P$10</f>
        <v>315</v>
      </c>
      <c r="M233" s="128">
        <f>'[2]Võ Nhai'!$P$30+1</f>
        <v>128</v>
      </c>
      <c r="N233" s="128"/>
    </row>
    <row r="234" spans="1:14" ht="21.9" customHeight="1">
      <c r="A234" s="126"/>
      <c r="B234" s="127" t="s">
        <v>635</v>
      </c>
      <c r="C234" s="128">
        <v>333</v>
      </c>
      <c r="D234" s="128">
        <f t="shared" si="11"/>
        <v>8815</v>
      </c>
      <c r="E234" s="128">
        <f>'[2]Thu '!D182</f>
        <v>135</v>
      </c>
      <c r="F234" s="125">
        <f t="shared" si="12"/>
        <v>8680</v>
      </c>
      <c r="G234" s="128">
        <f>'[2]Thu '!E182</f>
        <v>5021</v>
      </c>
      <c r="H234" s="128">
        <f>'[2]Thu '!F182</f>
        <v>3659</v>
      </c>
      <c r="I234" s="131"/>
      <c r="J234" s="125">
        <f t="shared" si="10"/>
        <v>8814</v>
      </c>
      <c r="K234" s="128">
        <f>'[2]Võ Nhai'!$Q$15</f>
        <v>8681</v>
      </c>
      <c r="L234" s="128">
        <f>'[2]Võ Nhai'!$Q$10</f>
        <v>23</v>
      </c>
      <c r="M234" s="128">
        <f>'[2]Võ Nhai'!$Q$30</f>
        <v>110</v>
      </c>
      <c r="N234" s="128"/>
    </row>
    <row r="235" spans="1:14" s="26" customFormat="1" ht="21.9" customHeight="1">
      <c r="A235" s="123">
        <v>55</v>
      </c>
      <c r="B235" s="124" t="s">
        <v>457</v>
      </c>
      <c r="C235" s="125" t="e">
        <f>#REF!</f>
        <v>#REF!</v>
      </c>
      <c r="D235" s="128">
        <f t="shared" si="11"/>
        <v>8464</v>
      </c>
      <c r="E235" s="125">
        <f>'[2]Thu '!D183</f>
        <v>52</v>
      </c>
      <c r="F235" s="125">
        <f t="shared" si="12"/>
        <v>8412</v>
      </c>
      <c r="G235" s="125">
        <f>'[2]Thu '!E183</f>
        <v>5191</v>
      </c>
      <c r="H235" s="125">
        <f>'[2]Thu '!F183</f>
        <v>3221</v>
      </c>
      <c r="I235" s="136">
        <f>'[2]Tổng '!J62</f>
        <v>0</v>
      </c>
      <c r="J235" s="125">
        <f t="shared" si="10"/>
        <v>8464</v>
      </c>
      <c r="K235" s="125">
        <f>'[2]Võ Nhai'!$R$15</f>
        <v>8355</v>
      </c>
      <c r="L235" s="125">
        <f>'[2]Tổng '!R62</f>
        <v>0</v>
      </c>
      <c r="M235" s="125">
        <f>'[2]Tổng '!S62</f>
        <v>109</v>
      </c>
      <c r="N235" s="125">
        <f>'[2]Tổng '!T62</f>
        <v>0</v>
      </c>
    </row>
    <row r="236" spans="1:14" ht="11.25" customHeight="1">
      <c r="A236" s="128"/>
      <c r="B236" s="128"/>
      <c r="C236" s="125"/>
      <c r="D236" s="125"/>
      <c r="E236" s="128"/>
      <c r="F236" s="128"/>
      <c r="G236" s="128"/>
      <c r="H236" s="128"/>
      <c r="I236" s="128"/>
      <c r="J236" s="128"/>
      <c r="K236" s="128"/>
      <c r="L236" s="128"/>
      <c r="M236" s="128"/>
      <c r="N236" s="128"/>
    </row>
    <row r="237" spans="1:14" ht="35.25" customHeight="1">
      <c r="A237" s="133"/>
      <c r="B237" s="596"/>
      <c r="C237" s="596"/>
      <c r="D237" s="596"/>
      <c r="E237" s="596"/>
      <c r="F237" s="134"/>
      <c r="G237" s="133"/>
      <c r="H237" s="133"/>
      <c r="I237" s="133"/>
      <c r="J237" s="133"/>
      <c r="K237" s="133"/>
      <c r="L237" s="133"/>
      <c r="M237" s="133"/>
      <c r="N237" s="133"/>
    </row>
    <row r="238" spans="1:14">
      <c r="B238" s="133"/>
      <c r="C238" s="135"/>
    </row>
    <row r="247" s="1" customFormat="1"/>
  </sheetData>
  <mergeCells count="20">
    <mergeCell ref="A1:N1"/>
    <mergeCell ref="A2:N2"/>
    <mergeCell ref="K4:N4"/>
    <mergeCell ref="D5:I5"/>
    <mergeCell ref="J5:N5"/>
    <mergeCell ref="E6:I6"/>
    <mergeCell ref="K6:N6"/>
    <mergeCell ref="F7:H7"/>
    <mergeCell ref="B237:E237"/>
    <mergeCell ref="A5:A8"/>
    <mergeCell ref="B5:B8"/>
    <mergeCell ref="C5:C8"/>
    <mergeCell ref="D6:D8"/>
    <mergeCell ref="E7:E8"/>
    <mergeCell ref="I7:I8"/>
    <mergeCell ref="J6:J8"/>
    <mergeCell ref="K7:K8"/>
    <mergeCell ref="L7:L8"/>
    <mergeCell ref="M7:M8"/>
    <mergeCell ref="N7:N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4"/>
  <sheetViews>
    <sheetView topLeftCell="A22" workbookViewId="0">
      <selection activeCell="C37" sqref="C37"/>
    </sheetView>
  </sheetViews>
  <sheetFormatPr defaultColWidth="8.88671875" defaultRowHeight="14.4"/>
  <cols>
    <col min="1" max="1" width="7.109375" customWidth="1"/>
    <col min="2" max="2" width="65" customWidth="1"/>
    <col min="3" max="3" width="20.21875" style="100" customWidth="1"/>
    <col min="4" max="4" width="14.33203125" customWidth="1"/>
  </cols>
  <sheetData>
    <row r="1" spans="1:4" ht="15.6">
      <c r="A1" s="610" t="s">
        <v>636</v>
      </c>
      <c r="B1" s="610"/>
      <c r="C1" s="610"/>
    </row>
    <row r="2" spans="1:4" ht="15.6">
      <c r="A2" s="611" t="s">
        <v>637</v>
      </c>
      <c r="B2" s="611"/>
      <c r="C2" s="611"/>
    </row>
    <row r="3" spans="1:4" ht="15.6">
      <c r="A3" s="5"/>
      <c r="B3" s="5"/>
      <c r="C3" s="101"/>
    </row>
    <row r="4" spans="1:4" ht="15.6">
      <c r="A4" s="612" t="s">
        <v>638</v>
      </c>
      <c r="B4" s="612"/>
      <c r="C4" s="612"/>
    </row>
    <row r="5" spans="1:4" ht="15.6">
      <c r="A5" s="102" t="s">
        <v>3</v>
      </c>
      <c r="B5" s="102" t="s">
        <v>4</v>
      </c>
      <c r="C5" s="103" t="s">
        <v>639</v>
      </c>
    </row>
    <row r="6" spans="1:4" ht="15.6">
      <c r="A6" s="102" t="s">
        <v>7</v>
      </c>
      <c r="B6" s="102" t="s">
        <v>22</v>
      </c>
      <c r="C6" s="103">
        <v>1</v>
      </c>
    </row>
    <row r="7" spans="1:4" ht="15.6">
      <c r="A7" s="102"/>
      <c r="B7" s="104" t="s">
        <v>640</v>
      </c>
      <c r="C7" s="103" t="e">
        <f>C8+C9</f>
        <v>#REF!</v>
      </c>
      <c r="D7" t="e">
        <f>#REF!</f>
        <v>#REF!</v>
      </c>
    </row>
    <row r="8" spans="1:4" ht="24.75" customHeight="1">
      <c r="A8" s="102" t="s">
        <v>7</v>
      </c>
      <c r="B8" s="104" t="s">
        <v>641</v>
      </c>
      <c r="C8" s="103" t="e">
        <f>#REF!+#REF!</f>
        <v>#REF!</v>
      </c>
      <c r="D8" s="105" t="e">
        <f>C7-D7</f>
        <v>#REF!</v>
      </c>
    </row>
    <row r="9" spans="1:4" ht="24.75" customHeight="1">
      <c r="A9" s="102" t="s">
        <v>22</v>
      </c>
      <c r="B9" s="104" t="s">
        <v>642</v>
      </c>
      <c r="C9" s="103" t="e">
        <f>C10+C27+C40+C41+C42+C43</f>
        <v>#REF!</v>
      </c>
    </row>
    <row r="10" spans="1:4" ht="15.6">
      <c r="A10" s="102" t="s">
        <v>9</v>
      </c>
      <c r="B10" s="104" t="s">
        <v>643</v>
      </c>
      <c r="C10" s="103" t="e">
        <f>C11+C26</f>
        <v>#REF!</v>
      </c>
    </row>
    <row r="11" spans="1:4" ht="15.6">
      <c r="A11" s="106">
        <v>1</v>
      </c>
      <c r="B11" s="107" t="s">
        <v>644</v>
      </c>
      <c r="C11" s="108" t="e">
        <f>#REF!+#REF!+#REF!+#REF!</f>
        <v>#REF!</v>
      </c>
    </row>
    <row r="12" spans="1:4" ht="15.6">
      <c r="A12" s="106" t="s">
        <v>645</v>
      </c>
      <c r="B12" s="107" t="s">
        <v>646</v>
      </c>
      <c r="C12" s="108"/>
    </row>
    <row r="13" spans="1:4" ht="15.6">
      <c r="A13" s="106" t="s">
        <v>645</v>
      </c>
      <c r="B13" s="107" t="s">
        <v>647</v>
      </c>
      <c r="C13" s="108"/>
    </row>
    <row r="14" spans="1:4" ht="15.6">
      <c r="A14" s="106" t="s">
        <v>645</v>
      </c>
      <c r="B14" s="107" t="s">
        <v>152</v>
      </c>
      <c r="C14" s="108"/>
    </row>
    <row r="15" spans="1:4" ht="15.6">
      <c r="A15" s="106" t="s">
        <v>645</v>
      </c>
      <c r="B15" s="107" t="s">
        <v>648</v>
      </c>
      <c r="C15" s="108"/>
    </row>
    <row r="16" spans="1:4" ht="15.6">
      <c r="A16" s="106" t="s">
        <v>645</v>
      </c>
      <c r="B16" s="107" t="s">
        <v>649</v>
      </c>
      <c r="C16" s="108"/>
    </row>
    <row r="17" spans="1:3" ht="15.6">
      <c r="A17" s="106" t="s">
        <v>645</v>
      </c>
      <c r="B17" s="107" t="s">
        <v>650</v>
      </c>
      <c r="C17" s="108"/>
    </row>
    <row r="18" spans="1:3" ht="15.6">
      <c r="A18" s="106" t="s">
        <v>645</v>
      </c>
      <c r="B18" s="107" t="s">
        <v>651</v>
      </c>
      <c r="C18" s="108"/>
    </row>
    <row r="19" spans="1:3" ht="15.6">
      <c r="A19" s="106" t="s">
        <v>645</v>
      </c>
      <c r="B19" s="107" t="s">
        <v>652</v>
      </c>
      <c r="C19" s="108"/>
    </row>
    <row r="20" spans="1:3" ht="15.6">
      <c r="A20" s="106" t="s">
        <v>645</v>
      </c>
      <c r="B20" s="107" t="s">
        <v>653</v>
      </c>
      <c r="C20" s="108"/>
    </row>
    <row r="21" spans="1:3" ht="15.6">
      <c r="A21" s="106" t="s">
        <v>645</v>
      </c>
      <c r="B21" s="107" t="s">
        <v>654</v>
      </c>
      <c r="C21" s="108"/>
    </row>
    <row r="22" spans="1:3" ht="15.6">
      <c r="A22" s="106" t="s">
        <v>645</v>
      </c>
      <c r="B22" s="107" t="s">
        <v>655</v>
      </c>
      <c r="C22" s="108"/>
    </row>
    <row r="23" spans="1:3" ht="15.6">
      <c r="A23" s="106" t="s">
        <v>645</v>
      </c>
      <c r="B23" s="107" t="s">
        <v>656</v>
      </c>
      <c r="C23" s="108"/>
    </row>
    <row r="24" spans="1:3" ht="15.6">
      <c r="A24" s="106" t="s">
        <v>645</v>
      </c>
      <c r="B24" s="107" t="s">
        <v>104</v>
      </c>
      <c r="C24" s="108"/>
    </row>
    <row r="25" spans="1:3" ht="31.2">
      <c r="A25" s="106">
        <v>2</v>
      </c>
      <c r="B25" s="107" t="s">
        <v>657</v>
      </c>
      <c r="C25" s="108"/>
    </row>
    <row r="26" spans="1:3" ht="15.6">
      <c r="A26" s="106">
        <v>3</v>
      </c>
      <c r="B26" s="107" t="s">
        <v>658</v>
      </c>
      <c r="C26" s="108" t="e">
        <f>#REF!</f>
        <v>#REF!</v>
      </c>
    </row>
    <row r="27" spans="1:3" ht="15.6">
      <c r="A27" s="102" t="s">
        <v>14</v>
      </c>
      <c r="B27" s="104" t="s">
        <v>28</v>
      </c>
      <c r="C27" s="103" t="e">
        <f>SUM(C28:C39)</f>
        <v>#REF!</v>
      </c>
    </row>
    <row r="28" spans="1:3" ht="15.6">
      <c r="A28" s="106" t="s">
        <v>645</v>
      </c>
      <c r="B28" s="109" t="s">
        <v>112</v>
      </c>
      <c r="C28" s="108" t="e">
        <f>#REF!</f>
        <v>#REF!</v>
      </c>
    </row>
    <row r="29" spans="1:3" ht="15.6">
      <c r="A29" s="106" t="s">
        <v>645</v>
      </c>
      <c r="B29" s="109" t="s">
        <v>113</v>
      </c>
      <c r="C29" s="108" t="e">
        <f>#REF!</f>
        <v>#REF!</v>
      </c>
    </row>
    <row r="30" spans="1:3" ht="15.6">
      <c r="A30" s="106" t="s">
        <v>645</v>
      </c>
      <c r="B30" s="109" t="s">
        <v>114</v>
      </c>
      <c r="C30" s="108" t="e">
        <f>#REF!</f>
        <v>#REF!</v>
      </c>
    </row>
    <row r="31" spans="1:3" ht="15.6">
      <c r="A31" s="106" t="s">
        <v>645</v>
      </c>
      <c r="B31" s="109" t="s">
        <v>659</v>
      </c>
      <c r="C31" s="108" t="e">
        <f>#REF!</f>
        <v>#REF!</v>
      </c>
    </row>
    <row r="32" spans="1:3" ht="15.6">
      <c r="A32" s="106" t="s">
        <v>645</v>
      </c>
      <c r="B32" s="109" t="s">
        <v>117</v>
      </c>
      <c r="C32" s="108" t="e">
        <f>#REF!</f>
        <v>#REF!</v>
      </c>
    </row>
    <row r="33" spans="1:3" ht="15.6">
      <c r="A33" s="106" t="s">
        <v>645</v>
      </c>
      <c r="B33" s="109" t="s">
        <v>118</v>
      </c>
      <c r="C33" s="108" t="e">
        <f>#REF!</f>
        <v>#REF!</v>
      </c>
    </row>
    <row r="34" spans="1:3" ht="15.6">
      <c r="A34" s="106" t="s">
        <v>645</v>
      </c>
      <c r="B34" s="109" t="s">
        <v>349</v>
      </c>
      <c r="C34" s="108" t="e">
        <f>#REF!</f>
        <v>#REF!</v>
      </c>
    </row>
    <row r="35" spans="1:3" ht="15.6">
      <c r="A35" s="106" t="s">
        <v>645</v>
      </c>
      <c r="B35" s="109" t="s">
        <v>120</v>
      </c>
      <c r="C35" s="108" t="e">
        <f>#REF!</f>
        <v>#REF!</v>
      </c>
    </row>
    <row r="36" spans="1:3" ht="15.6">
      <c r="A36" s="106" t="s">
        <v>645</v>
      </c>
      <c r="B36" s="109" t="s">
        <v>660</v>
      </c>
      <c r="C36" s="108" t="e">
        <f>#REF!</f>
        <v>#REF!</v>
      </c>
    </row>
    <row r="37" spans="1:3" ht="15.6">
      <c r="A37" s="106" t="s">
        <v>645</v>
      </c>
      <c r="B37" s="109" t="s">
        <v>661</v>
      </c>
      <c r="C37" s="108" t="e">
        <f>#REF!</f>
        <v>#REF!</v>
      </c>
    </row>
    <row r="38" spans="1:3" ht="15.6">
      <c r="A38" s="106" t="s">
        <v>645</v>
      </c>
      <c r="B38" s="109" t="s">
        <v>662</v>
      </c>
      <c r="C38" s="108" t="e">
        <f>#REF!</f>
        <v>#REF!</v>
      </c>
    </row>
    <row r="39" spans="1:3" ht="15.6">
      <c r="A39" s="106" t="s">
        <v>645</v>
      </c>
      <c r="B39" s="109" t="s">
        <v>663</v>
      </c>
      <c r="C39" s="108" t="e">
        <f>#REF!</f>
        <v>#REF!</v>
      </c>
    </row>
    <row r="40" spans="1:3" s="99" customFormat="1" ht="20.25" customHeight="1">
      <c r="A40" s="102" t="s">
        <v>18</v>
      </c>
      <c r="B40" s="104" t="s">
        <v>664</v>
      </c>
      <c r="C40" s="103" t="e">
        <f>#REF!</f>
        <v>#REF!</v>
      </c>
    </row>
    <row r="41" spans="1:3" s="99" customFormat="1" ht="20.25" customHeight="1">
      <c r="A41" s="102" t="s">
        <v>125</v>
      </c>
      <c r="B41" s="104" t="s">
        <v>665</v>
      </c>
      <c r="C41" s="103" t="e">
        <f>#REF!</f>
        <v>#REF!</v>
      </c>
    </row>
    <row r="42" spans="1:3" s="99" customFormat="1" ht="20.25" customHeight="1">
      <c r="A42" s="102" t="s">
        <v>126</v>
      </c>
      <c r="B42" s="104" t="s">
        <v>34</v>
      </c>
      <c r="C42" s="103" t="e">
        <f>#REF!</f>
        <v>#REF!</v>
      </c>
    </row>
    <row r="43" spans="1:3" s="99" customFormat="1" ht="20.25" customHeight="1">
      <c r="A43" s="102" t="s">
        <v>127</v>
      </c>
      <c r="B43" s="104" t="s">
        <v>36</v>
      </c>
      <c r="C43" s="103" t="e">
        <f>#REF!</f>
        <v>#REF!</v>
      </c>
    </row>
    <row r="44" spans="1:3" ht="20.25" customHeight="1">
      <c r="A44" s="102" t="s">
        <v>43</v>
      </c>
      <c r="B44" s="104" t="s">
        <v>666</v>
      </c>
      <c r="C44" s="108"/>
    </row>
  </sheetData>
  <mergeCells count="3">
    <mergeCell ref="A1:C1"/>
    <mergeCell ref="A2:C2"/>
    <mergeCell ref="A4:C4"/>
  </mergeCells>
  <pageMargins left="0.7" right="0.7" top="0.75" bottom="0.75" header="0.3" footer="0.3"/>
  <pageSetup paperSize="9" orientation="portrait" horizontalDpi="12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1048379"/>
  <sheetViews>
    <sheetView topLeftCell="A7" zoomScale="90" zoomScaleNormal="90" workbookViewId="0">
      <pane xSplit="3" ySplit="4" topLeftCell="D30" activePane="bottomRight" state="frozen"/>
      <selection pane="topRight"/>
      <selection pane="bottomLeft"/>
      <selection pane="bottomRight" activeCell="F135" sqref="F135"/>
    </sheetView>
  </sheetViews>
  <sheetFormatPr defaultColWidth="9.109375" defaultRowHeight="15.6"/>
  <cols>
    <col min="1" max="1" width="3.88671875" style="1" customWidth="1"/>
    <col min="2" max="2" width="29.33203125" style="1" customWidth="1"/>
    <col min="3" max="3" width="10.21875" style="1" customWidth="1"/>
    <col min="4" max="4" width="10.33203125" style="1" customWidth="1"/>
    <col min="5" max="5" width="12.109375" style="1" customWidth="1"/>
    <col min="6" max="6" width="11.88671875" style="1" customWidth="1"/>
    <col min="7" max="7" width="8.77734375" style="1" customWidth="1"/>
    <col min="8" max="8" width="8.88671875" style="1" customWidth="1"/>
    <col min="9" max="9" width="8.109375" style="1" customWidth="1"/>
    <col min="10" max="10" width="10.88671875" style="1" customWidth="1"/>
    <col min="11" max="11" width="11" style="1" customWidth="1"/>
    <col min="12" max="12" width="9" style="1" customWidth="1"/>
    <col min="13" max="13" width="10.21875" style="1" customWidth="1"/>
    <col min="14" max="14" width="8.21875" style="1" customWidth="1"/>
    <col min="15" max="15" width="12.109375" style="1" customWidth="1"/>
    <col min="16" max="16" width="8.33203125" style="1" customWidth="1"/>
    <col min="17" max="17" width="9.88671875" style="1" customWidth="1"/>
    <col min="18" max="18" width="11.21875" style="1" customWidth="1"/>
    <col min="19" max="19" width="8.77734375" style="1" customWidth="1"/>
    <col min="20" max="20" width="9.109375" style="1" customWidth="1"/>
    <col min="21" max="21" width="9.33203125" style="70" hidden="1" customWidth="1"/>
    <col min="22" max="22" width="8" style="1" customWidth="1"/>
    <col min="23" max="25" width="8.88671875" style="1" hidden="1" customWidth="1"/>
    <col min="26" max="26" width="10.88671875" style="1" hidden="1" customWidth="1"/>
    <col min="27" max="27" width="8.88671875" style="29" hidden="1" customWidth="1"/>
    <col min="28" max="28" width="27.109375" style="71" customWidth="1"/>
    <col min="29" max="29" width="11.77734375" style="1" hidden="1" customWidth="1"/>
    <col min="30" max="33" width="13.21875" style="1" hidden="1" customWidth="1"/>
    <col min="34" max="34" width="9.109375" style="1" hidden="1" customWidth="1"/>
    <col min="35" max="35" width="15.21875" style="1" hidden="1" customWidth="1"/>
    <col min="36" max="36" width="13.33203125" style="1" hidden="1" customWidth="1"/>
    <col min="37" max="37" width="12.77734375" style="1" hidden="1" customWidth="1"/>
    <col min="38" max="38" width="9.109375" style="1" hidden="1" customWidth="1"/>
    <col min="39" max="41" width="9.109375" style="1" customWidth="1"/>
    <col min="42" max="16384" width="9.109375" style="1"/>
  </cols>
  <sheetData>
    <row r="1" spans="1:37" ht="21.75" customHeight="1">
      <c r="A1" s="40"/>
      <c r="R1" s="611" t="s">
        <v>667</v>
      </c>
      <c r="S1" s="611"/>
      <c r="T1" s="611"/>
      <c r="AA1" s="615"/>
    </row>
    <row r="2" spans="1:37">
      <c r="A2" s="611" t="s">
        <v>668</v>
      </c>
      <c r="B2" s="611"/>
      <c r="C2" s="611"/>
      <c r="D2" s="611"/>
      <c r="E2" s="611"/>
      <c r="F2" s="611"/>
      <c r="G2" s="611"/>
      <c r="H2" s="611"/>
      <c r="I2" s="611"/>
      <c r="J2" s="611"/>
      <c r="K2" s="611"/>
      <c r="L2" s="611"/>
      <c r="M2" s="611"/>
      <c r="N2" s="611"/>
      <c r="O2" s="611"/>
      <c r="P2" s="611"/>
      <c r="Q2" s="611"/>
      <c r="R2" s="611"/>
      <c r="S2" s="611"/>
      <c r="T2" s="611"/>
      <c r="AA2" s="615"/>
    </row>
    <row r="3" spans="1:37">
      <c r="A3" s="611" t="s">
        <v>669</v>
      </c>
      <c r="B3" s="611"/>
      <c r="C3" s="611"/>
      <c r="D3" s="611"/>
      <c r="E3" s="611"/>
      <c r="F3" s="611"/>
      <c r="G3" s="611"/>
      <c r="H3" s="611"/>
      <c r="I3" s="611"/>
      <c r="J3" s="611"/>
      <c r="K3" s="611"/>
      <c r="L3" s="611"/>
      <c r="M3" s="611"/>
      <c r="N3" s="611"/>
      <c r="O3" s="611"/>
      <c r="P3" s="611"/>
      <c r="Q3" s="611"/>
      <c r="R3" s="611"/>
      <c r="S3" s="611"/>
      <c r="T3" s="611"/>
      <c r="AA3" s="78"/>
    </row>
    <row r="4" spans="1:37">
      <c r="A4" s="618" t="s">
        <v>670</v>
      </c>
      <c r="B4" s="618"/>
      <c r="C4" s="618"/>
      <c r="D4" s="618"/>
      <c r="E4" s="618"/>
      <c r="F4" s="618"/>
      <c r="G4" s="618"/>
      <c r="H4" s="618"/>
      <c r="I4" s="618"/>
      <c r="J4" s="618"/>
      <c r="K4" s="618"/>
      <c r="L4" s="618"/>
      <c r="M4" s="618"/>
      <c r="N4" s="618"/>
      <c r="O4" s="618"/>
      <c r="P4" s="618"/>
      <c r="Q4" s="618"/>
      <c r="R4" s="618"/>
      <c r="S4" s="618"/>
      <c r="T4" s="618"/>
      <c r="AA4" s="30"/>
    </row>
    <row r="5" spans="1:37" hidden="1">
      <c r="A5" s="6"/>
      <c r="B5" s="6"/>
      <c r="C5" s="6"/>
      <c r="D5" s="6"/>
      <c r="E5" s="6"/>
      <c r="F5" s="6"/>
      <c r="G5" s="6"/>
      <c r="H5" s="6"/>
      <c r="I5" s="6"/>
      <c r="J5" s="6"/>
      <c r="K5" s="6"/>
      <c r="L5" s="6"/>
      <c r="M5" s="6"/>
      <c r="N5" s="6"/>
      <c r="O5" s="6"/>
      <c r="P5" s="6"/>
      <c r="Q5" s="6"/>
      <c r="R5" s="6"/>
      <c r="S5" s="6"/>
      <c r="T5" s="6"/>
    </row>
    <row r="6" spans="1:37" ht="20.25" customHeight="1">
      <c r="A6" s="7"/>
      <c r="D6" s="61"/>
      <c r="E6" s="42"/>
      <c r="F6" s="42"/>
      <c r="G6" s="61"/>
      <c r="R6" s="619" t="s">
        <v>638</v>
      </c>
      <c r="S6" s="619"/>
      <c r="T6" s="619"/>
    </row>
    <row r="7" spans="1:37" ht="17.25" customHeight="1">
      <c r="A7" s="615" t="s">
        <v>3</v>
      </c>
      <c r="B7" s="620">
        <f>E10+'37.02 TW'!E10</f>
        <v>5960899.9299999997</v>
      </c>
      <c r="C7" s="621" t="s">
        <v>671</v>
      </c>
      <c r="D7" s="621" t="s">
        <v>672</v>
      </c>
      <c r="E7" s="615" t="s">
        <v>673</v>
      </c>
      <c r="F7" s="615" t="s">
        <v>646</v>
      </c>
      <c r="G7" s="615" t="s">
        <v>647</v>
      </c>
      <c r="H7" s="615" t="s">
        <v>152</v>
      </c>
      <c r="I7" s="615" t="s">
        <v>648</v>
      </c>
      <c r="J7" s="615" t="s">
        <v>674</v>
      </c>
      <c r="K7" s="615" t="s">
        <v>650</v>
      </c>
      <c r="L7" s="615" t="s">
        <v>651</v>
      </c>
      <c r="M7" s="615" t="s">
        <v>652</v>
      </c>
      <c r="N7" s="615" t="s">
        <v>675</v>
      </c>
      <c r="O7" s="615" t="s">
        <v>654</v>
      </c>
      <c r="P7" s="615" t="s">
        <v>111</v>
      </c>
      <c r="Q7" s="615"/>
      <c r="R7" s="615" t="s">
        <v>676</v>
      </c>
      <c r="S7" s="615" t="s">
        <v>656</v>
      </c>
      <c r="T7" s="615" t="s">
        <v>677</v>
      </c>
      <c r="U7" s="616" t="s">
        <v>678</v>
      </c>
      <c r="V7" s="615" t="s">
        <v>679</v>
      </c>
      <c r="W7" s="615" t="s">
        <v>680</v>
      </c>
      <c r="X7" s="615" t="s">
        <v>681</v>
      </c>
      <c r="Y7" s="615" t="s">
        <v>682</v>
      </c>
      <c r="Z7" s="615" t="s">
        <v>683</v>
      </c>
      <c r="AA7" s="615" t="s">
        <v>684</v>
      </c>
      <c r="AB7" s="30"/>
      <c r="AC7" s="30">
        <v>2718461</v>
      </c>
      <c r="AD7" s="30"/>
      <c r="AE7" s="30"/>
      <c r="AF7" s="30"/>
      <c r="AG7" s="30"/>
      <c r="AH7" s="30"/>
      <c r="AI7" s="30"/>
    </row>
    <row r="8" spans="1:37" ht="97.5" customHeight="1">
      <c r="A8" s="615"/>
      <c r="B8" s="615"/>
      <c r="C8" s="622"/>
      <c r="D8" s="622"/>
      <c r="E8" s="615"/>
      <c r="F8" s="615"/>
      <c r="G8" s="615"/>
      <c r="H8" s="615"/>
      <c r="I8" s="615"/>
      <c r="J8" s="615"/>
      <c r="K8" s="615"/>
      <c r="L8" s="615"/>
      <c r="M8" s="615"/>
      <c r="N8" s="615"/>
      <c r="O8" s="615"/>
      <c r="P8" s="8" t="s">
        <v>685</v>
      </c>
      <c r="Q8" s="8" t="s">
        <v>686</v>
      </c>
      <c r="R8" s="615"/>
      <c r="S8" s="615"/>
      <c r="T8" s="615"/>
      <c r="U8" s="616"/>
      <c r="V8" s="615"/>
      <c r="W8" s="615"/>
      <c r="X8" s="615"/>
      <c r="Y8" s="615"/>
      <c r="Z8" s="615"/>
      <c r="AA8" s="615"/>
      <c r="AB8" s="30"/>
      <c r="AC8" s="30">
        <v>2718279</v>
      </c>
      <c r="AD8" s="30" t="s">
        <v>687</v>
      </c>
      <c r="AE8" s="30" t="s">
        <v>688</v>
      </c>
      <c r="AF8" s="30"/>
      <c r="AG8" s="30"/>
      <c r="AH8" s="30"/>
      <c r="AI8" s="30"/>
    </row>
    <row r="9" spans="1:37" s="2" customFormat="1" ht="16.5" customHeight="1">
      <c r="A9" s="9" t="s">
        <v>7</v>
      </c>
      <c r="B9" s="9" t="s">
        <v>22</v>
      </c>
      <c r="C9" s="9"/>
      <c r="D9" s="43"/>
      <c r="E9" s="9">
        <v>1</v>
      </c>
      <c r="F9" s="9">
        <v>2</v>
      </c>
      <c r="G9" s="9">
        <v>3</v>
      </c>
      <c r="H9" s="9">
        <v>4</v>
      </c>
      <c r="I9" s="9">
        <v>5</v>
      </c>
      <c r="J9" s="9">
        <v>6</v>
      </c>
      <c r="K9" s="9">
        <v>7</v>
      </c>
      <c r="L9" s="9">
        <v>8</v>
      </c>
      <c r="M9" s="9">
        <v>9</v>
      </c>
      <c r="N9" s="9">
        <v>10</v>
      </c>
      <c r="O9" s="9">
        <v>11</v>
      </c>
      <c r="P9" s="9">
        <v>12</v>
      </c>
      <c r="Q9" s="9">
        <v>13</v>
      </c>
      <c r="R9" s="9">
        <v>14</v>
      </c>
      <c r="S9" s="9">
        <v>15</v>
      </c>
      <c r="T9" s="9">
        <v>16</v>
      </c>
      <c r="U9" s="77"/>
      <c r="V9" s="78"/>
      <c r="W9" s="78"/>
      <c r="X9" s="78"/>
      <c r="Y9" s="78"/>
      <c r="Z9" s="78"/>
      <c r="AA9" s="29"/>
      <c r="AB9" s="30"/>
      <c r="AC9" s="30"/>
      <c r="AD9" s="30"/>
      <c r="AE9" s="30"/>
      <c r="AF9" s="30"/>
      <c r="AG9" s="30"/>
      <c r="AH9" s="30"/>
      <c r="AI9" s="30">
        <f>AI11-AI10</f>
        <v>3175886</v>
      </c>
    </row>
    <row r="10" spans="1:37" s="26" customFormat="1" ht="26.25" customHeight="1">
      <c r="A10" s="8"/>
      <c r="B10" s="10" t="s">
        <v>689</v>
      </c>
      <c r="C10" s="30">
        <f>C11+C12</f>
        <v>5647089.1600000001</v>
      </c>
      <c r="D10" s="30">
        <f t="shared" ref="D10:Z10" si="0">D11+D12</f>
        <v>44502</v>
      </c>
      <c r="E10" s="30">
        <f t="shared" si="0"/>
        <v>5602587.1600000001</v>
      </c>
      <c r="F10" s="30">
        <f t="shared" si="0"/>
        <v>1228144</v>
      </c>
      <c r="G10" s="30">
        <f t="shared" si="0"/>
        <v>63031</v>
      </c>
      <c r="H10" s="30">
        <f t="shared" si="0"/>
        <v>112788</v>
      </c>
      <c r="I10" s="30">
        <f t="shared" si="0"/>
        <v>64294</v>
      </c>
      <c r="J10" s="30">
        <f t="shared" si="0"/>
        <v>1578406</v>
      </c>
      <c r="K10" s="30">
        <f t="shared" si="0"/>
        <v>228132</v>
      </c>
      <c r="L10" s="30">
        <f t="shared" si="0"/>
        <v>92644</v>
      </c>
      <c r="M10" s="30">
        <f t="shared" si="0"/>
        <v>132716</v>
      </c>
      <c r="N10" s="30">
        <f t="shared" si="0"/>
        <v>68034</v>
      </c>
      <c r="O10" s="28">
        <f t="shared" si="0"/>
        <v>663406.16</v>
      </c>
      <c r="P10" s="30">
        <f t="shared" si="0"/>
        <v>28000</v>
      </c>
      <c r="Q10" s="30">
        <f t="shared" si="0"/>
        <v>130279</v>
      </c>
      <c r="R10" s="30">
        <f t="shared" si="0"/>
        <v>1100724</v>
      </c>
      <c r="S10" s="30">
        <f t="shared" si="0"/>
        <v>112486</v>
      </c>
      <c r="T10" s="30">
        <f t="shared" si="0"/>
        <v>157782</v>
      </c>
      <c r="U10" s="30">
        <f t="shared" si="0"/>
        <v>0</v>
      </c>
      <c r="V10" s="30">
        <f t="shared" si="0"/>
        <v>0</v>
      </c>
      <c r="W10" s="30">
        <f t="shared" si="0"/>
        <v>-23237</v>
      </c>
      <c r="X10" s="30">
        <f t="shared" si="0"/>
        <v>18054</v>
      </c>
      <c r="Y10" s="30">
        <f t="shared" si="0"/>
        <v>0</v>
      </c>
      <c r="Z10" s="30">
        <f t="shared" si="0"/>
        <v>371</v>
      </c>
      <c r="AA10" s="29"/>
      <c r="AB10" s="30"/>
      <c r="AC10" s="30">
        <f>AC11-AC12</f>
        <v>0</v>
      </c>
      <c r="AD10" s="30"/>
      <c r="AE10" s="30"/>
      <c r="AF10" s="30"/>
      <c r="AG10" s="30"/>
      <c r="AH10" s="30"/>
      <c r="AI10" s="30">
        <f>AB7+AB8</f>
        <v>0</v>
      </c>
    </row>
    <row r="11" spans="1:37" s="38" customFormat="1" ht="26.25" customHeight="1">
      <c r="A11" s="57"/>
      <c r="B11" s="58" t="s">
        <v>690</v>
      </c>
      <c r="C11" s="30">
        <f>C15+C18+C21+C24+C27+C30+C33+C36+C39+C42+C45+C48+C51+C54+C57+C66+C69+C72+C75+C78+C81+C84+C87+C89+C92+C95+C98+C101+C104+C106+C109+C112+C115+C118+C121+C123+C125+C127+C129+C134+C138+C141+C144+C146+C147+C148+C150+C153+C156+C159+C220+C224+C226-C223</f>
        <v>4135062</v>
      </c>
      <c r="D11" s="30">
        <f>D15+D18+D21+D24+D27+D30+D33+D36+D39+D42+D45+D48+D51+D54+D57+D66+D69+D72+D75+D78+D81+D84+D87+D89+D92+D95+D98+D101+D104+D106+D109+D112+D115+D118+D121+D123+D125+D127+D129+D134+D138+D141+D144+D146+D147+D148+D150+D153+D156+D159+D220+D224+D226-D223</f>
        <v>18408</v>
      </c>
      <c r="E11" s="30">
        <f>E15+E18+E21+E24+E27+E30+E33+E36+E39+E42+E45+E48+E51+E54+E57+E66+E69+E72+E75+E78+E81+E84+E87+E89+E92+E95+E98+E101+E104+E106+E109+E112+E115+E118+E121+E123+E125+E127+E129+E134+E138+E141+E144+E146+E147+E148+E150+E153+E156+E159+E220+E224+E226-E223</f>
        <v>4116654</v>
      </c>
      <c r="F11" s="30">
        <f t="shared" ref="F11:U11" si="1">F15+F18+F21+F24+F27+F30+F33+F36+F39+F42+F45+F48+F51+F54+F57+F66+F69+F72+F75+F78+F81+F84+F87+F89+F92+F95+F98+F101+F104+F106+F109+F112+F115+F118+F121+F123+F125+F127+F129+F134+F138+F141+F144+F146+F147+F148+F150+F153+F156+F159+F220+F224+F226-F223</f>
        <v>917398</v>
      </c>
      <c r="G11" s="30">
        <f t="shared" si="1"/>
        <v>45563</v>
      </c>
      <c r="H11" s="30">
        <f t="shared" si="1"/>
        <v>87000</v>
      </c>
      <c r="I11" s="30">
        <f t="shared" si="1"/>
        <v>46950</v>
      </c>
      <c r="J11" s="30">
        <f t="shared" si="1"/>
        <v>1188814</v>
      </c>
      <c r="K11" s="30">
        <f t="shared" si="1"/>
        <v>175812</v>
      </c>
      <c r="L11" s="30">
        <f t="shared" si="1"/>
        <v>63560</v>
      </c>
      <c r="M11" s="30">
        <f t="shared" si="1"/>
        <v>118782</v>
      </c>
      <c r="N11" s="30">
        <f t="shared" si="1"/>
        <v>40000</v>
      </c>
      <c r="O11" s="30">
        <f t="shared" si="1"/>
        <v>476607</v>
      </c>
      <c r="P11" s="30">
        <f t="shared" si="1"/>
        <v>0</v>
      </c>
      <c r="Q11" s="30">
        <f t="shared" si="1"/>
        <v>77868</v>
      </c>
      <c r="R11" s="30">
        <f t="shared" si="1"/>
        <v>717300</v>
      </c>
      <c r="S11" s="30">
        <f t="shared" si="1"/>
        <v>93330</v>
      </c>
      <c r="T11" s="30">
        <f t="shared" si="1"/>
        <v>145538</v>
      </c>
      <c r="U11" s="30">
        <f t="shared" si="1"/>
        <v>0</v>
      </c>
      <c r="V11" s="30">
        <f t="shared" ref="V11:AA11" si="2">V15+V18+V21+V24+V27+V30+V33+V36+V39+V42+V45+V48+V51+V54+V57+V66+V69+V72+V75+V78+V81+V84+V87+V89+V92+V95+V98+V101+V104+V106+V109+V112+V115+V118+V121+V123+V125+V127+V129+V134+V138+V141+V144+V146+V147+V148+V150+V153+V156+V159+V220+V224+V226</f>
        <v>0</v>
      </c>
      <c r="W11" s="30">
        <f t="shared" si="2"/>
        <v>0</v>
      </c>
      <c r="X11" s="30">
        <f t="shared" si="2"/>
        <v>0</v>
      </c>
      <c r="Y11" s="30">
        <f t="shared" si="2"/>
        <v>0</v>
      </c>
      <c r="Z11" s="30">
        <f t="shared" si="2"/>
        <v>0</v>
      </c>
      <c r="AA11" s="30">
        <f t="shared" si="2"/>
        <v>0</v>
      </c>
      <c r="AB11" s="30"/>
      <c r="AC11" s="30">
        <v>1253068</v>
      </c>
      <c r="AD11" s="30"/>
      <c r="AE11" s="30"/>
      <c r="AF11" s="30"/>
      <c r="AG11" s="30"/>
      <c r="AH11" s="30"/>
      <c r="AI11" s="30">
        <f>SUM(AI15:AI151)</f>
        <v>3175886</v>
      </c>
    </row>
    <row r="12" spans="1:37" s="38" customFormat="1" ht="26.25" customHeight="1">
      <c r="A12" s="57"/>
      <c r="B12" s="58" t="s">
        <v>691</v>
      </c>
      <c r="C12" s="30">
        <f>C16+C19+C22+C25+C28+C31+C34+C37+C40+C43+C46+C49+C52+C55+C58+C60+C62+C67+C70+C73+C76+C79+C82+C85+C90+C93+C96+C99+C102+C107+C110+C113+C116+C119+C132+C139+C142+C145+C151+C228+C130+C135+C154+C157+C160+C223+C227</f>
        <v>1512027.1600000001</v>
      </c>
      <c r="D12" s="30">
        <f t="shared" ref="D12:AA12" si="3">D16+D19+D22+D25+D28+D31+D34+D37+D40+D43+D46+D49+D52+D55+D58+D60+D62+D67+D70+D73+D76+D79+D82+D85+D90+D93+D96+D99+D102+D107+D110+D113+D116+D119+D132+D139+D142+D145+D151+D228+D130+D135+D154+D157+D160+D223+D227</f>
        <v>26094</v>
      </c>
      <c r="E12" s="30">
        <f t="shared" si="3"/>
        <v>1485933.1600000001</v>
      </c>
      <c r="F12" s="30">
        <f t="shared" si="3"/>
        <v>310746</v>
      </c>
      <c r="G12" s="30">
        <f t="shared" si="3"/>
        <v>17468</v>
      </c>
      <c r="H12" s="30">
        <f t="shared" si="3"/>
        <v>25788</v>
      </c>
      <c r="I12" s="30">
        <f t="shared" si="3"/>
        <v>17344</v>
      </c>
      <c r="J12" s="30">
        <f t="shared" si="3"/>
        <v>389592</v>
      </c>
      <c r="K12" s="30">
        <f t="shared" si="3"/>
        <v>52320</v>
      </c>
      <c r="L12" s="30">
        <f t="shared" si="3"/>
        <v>29084</v>
      </c>
      <c r="M12" s="30">
        <f t="shared" si="3"/>
        <v>13934</v>
      </c>
      <c r="N12" s="30">
        <f t="shared" si="3"/>
        <v>28034</v>
      </c>
      <c r="O12" s="30">
        <f t="shared" si="3"/>
        <v>186799.16</v>
      </c>
      <c r="P12" s="30">
        <f t="shared" si="3"/>
        <v>28000</v>
      </c>
      <c r="Q12" s="30">
        <f t="shared" si="3"/>
        <v>52411</v>
      </c>
      <c r="R12" s="30">
        <f t="shared" si="3"/>
        <v>383424</v>
      </c>
      <c r="S12" s="30">
        <f t="shared" si="3"/>
        <v>19156</v>
      </c>
      <c r="T12" s="30">
        <f t="shared" si="3"/>
        <v>12244</v>
      </c>
      <c r="U12" s="30">
        <f t="shared" si="3"/>
        <v>0</v>
      </c>
      <c r="V12" s="30">
        <f t="shared" si="3"/>
        <v>0</v>
      </c>
      <c r="W12" s="30">
        <f t="shared" si="3"/>
        <v>-23237</v>
      </c>
      <c r="X12" s="30">
        <f t="shared" si="3"/>
        <v>18054</v>
      </c>
      <c r="Y12" s="30">
        <f t="shared" si="3"/>
        <v>0</v>
      </c>
      <c r="Z12" s="30">
        <f t="shared" si="3"/>
        <v>371</v>
      </c>
      <c r="AA12" s="30">
        <f t="shared" si="3"/>
        <v>-4812</v>
      </c>
      <c r="AB12" s="81"/>
      <c r="AC12" s="30">
        <f>SUM(AC14:AC229)</f>
        <v>1253068</v>
      </c>
      <c r="AD12" s="10">
        <f>SUM(AD14:AD229)</f>
        <v>317.15999999999997</v>
      </c>
      <c r="AE12" s="10">
        <f>SUM(AE14:AE229)</f>
        <v>83138</v>
      </c>
      <c r="AF12" s="10">
        <f>SUM(AF14:AF229)</f>
        <v>1170247.1600000001</v>
      </c>
      <c r="AG12" s="10">
        <f>SUM(AG14:AG229)</f>
        <v>562910</v>
      </c>
    </row>
    <row r="13" spans="1:37" s="26" customFormat="1" ht="26.25" customHeight="1">
      <c r="A13" s="54" t="s">
        <v>9</v>
      </c>
      <c r="B13" s="55" t="s">
        <v>692</v>
      </c>
      <c r="C13" s="30">
        <f>C14+C17+C20+C23+C26+C29+C32+C35+C38+C41+C44+C47+C50+C53+C56+C59</f>
        <v>3637083.16</v>
      </c>
      <c r="D13" s="30">
        <f>D14+D17+D20+D23+D26+D29+D32+D35+D38+D41+D44+D47+D50+D53+D56+D59</f>
        <v>40649</v>
      </c>
      <c r="E13" s="30">
        <f>E14+E17+E20+E23+E26+E29+E32+E35+E38+E41+E44+E47+E50+E53+E56+E59</f>
        <v>3596434.16</v>
      </c>
      <c r="F13" s="30">
        <f t="shared" ref="F13:T13" si="4">F14+F17+F20+F23+F26+F29+F32+F35+F38+F41+F44+F47+F50+F53+F56+F59</f>
        <v>1034294</v>
      </c>
      <c r="G13" s="30">
        <f t="shared" si="4"/>
        <v>62839</v>
      </c>
      <c r="H13" s="30">
        <f t="shared" si="4"/>
        <v>0</v>
      </c>
      <c r="I13" s="30">
        <f t="shared" si="4"/>
        <v>2885</v>
      </c>
      <c r="J13" s="30">
        <f t="shared" si="4"/>
        <v>727386</v>
      </c>
      <c r="K13" s="30">
        <f t="shared" si="4"/>
        <v>213331</v>
      </c>
      <c r="L13" s="30">
        <f t="shared" si="4"/>
        <v>0</v>
      </c>
      <c r="M13" s="30">
        <f t="shared" si="4"/>
        <v>132716</v>
      </c>
      <c r="N13" s="30">
        <f t="shared" si="4"/>
        <v>68034</v>
      </c>
      <c r="O13" s="28">
        <f t="shared" si="4"/>
        <v>532093.16</v>
      </c>
      <c r="P13" s="30">
        <f t="shared" si="4"/>
        <v>28000</v>
      </c>
      <c r="Q13" s="30">
        <f t="shared" si="4"/>
        <v>51311</v>
      </c>
      <c r="R13" s="30">
        <f t="shared" si="4"/>
        <v>729022</v>
      </c>
      <c r="S13" s="30">
        <f t="shared" si="4"/>
        <v>84011</v>
      </c>
      <c r="T13" s="30">
        <f t="shared" si="4"/>
        <v>9823</v>
      </c>
      <c r="U13" s="79"/>
      <c r="V13" s="30"/>
      <c r="W13" s="30"/>
      <c r="X13" s="30"/>
      <c r="Y13" s="30"/>
      <c r="Z13" s="30"/>
      <c r="AA13" s="29">
        <f t="shared" ref="AA13:AA76" si="5">W13+X13+Y13+Z13</f>
        <v>0</v>
      </c>
      <c r="AB13" s="82"/>
      <c r="AJ13" s="30">
        <f>SUM(AI14:AI62)</f>
        <v>2547647</v>
      </c>
    </row>
    <row r="14" spans="1:37" ht="38.25" customHeight="1">
      <c r="A14" s="48">
        <v>1</v>
      </c>
      <c r="B14" s="44" t="s">
        <v>693</v>
      </c>
      <c r="C14" s="29">
        <f>C15+C16</f>
        <v>55256</v>
      </c>
      <c r="D14" s="29">
        <f t="shared" ref="D14:T14" si="6">D15+D16</f>
        <v>453</v>
      </c>
      <c r="E14" s="29">
        <f t="shared" si="6"/>
        <v>54803</v>
      </c>
      <c r="F14" s="29">
        <f t="shared" si="6"/>
        <v>0</v>
      </c>
      <c r="G14" s="29">
        <f t="shared" si="6"/>
        <v>0</v>
      </c>
      <c r="H14" s="29">
        <f t="shared" si="6"/>
        <v>0</v>
      </c>
      <c r="I14" s="29">
        <f t="shared" si="6"/>
        <v>0</v>
      </c>
      <c r="J14" s="29">
        <f t="shared" si="6"/>
        <v>0</v>
      </c>
      <c r="K14" s="29">
        <f t="shared" si="6"/>
        <v>0</v>
      </c>
      <c r="L14" s="29">
        <f t="shared" si="6"/>
        <v>0</v>
      </c>
      <c r="M14" s="29">
        <f t="shared" si="6"/>
        <v>0</v>
      </c>
      <c r="N14" s="29">
        <f t="shared" si="6"/>
        <v>0</v>
      </c>
      <c r="O14" s="29">
        <f t="shared" si="6"/>
        <v>0</v>
      </c>
      <c r="P14" s="29">
        <f t="shared" si="6"/>
        <v>0</v>
      </c>
      <c r="Q14" s="29">
        <f t="shared" si="6"/>
        <v>0</v>
      </c>
      <c r="R14" s="29">
        <f t="shared" si="6"/>
        <v>54803</v>
      </c>
      <c r="S14" s="29">
        <f t="shared" si="6"/>
        <v>0</v>
      </c>
      <c r="T14" s="29">
        <f t="shared" si="6"/>
        <v>0</v>
      </c>
      <c r="U14" s="65"/>
      <c r="V14" s="29"/>
      <c r="W14" s="29"/>
      <c r="X14" s="29"/>
      <c r="Y14" s="29"/>
      <c r="Z14" s="29"/>
      <c r="AA14" s="29">
        <f t="shared" si="5"/>
        <v>0</v>
      </c>
      <c r="AJ14" s="88">
        <f>AI15+AI18+AI24+AI27+AI30+AI33+AI36+AI39+AI42+AI45+AI48+AI57+AI21+AI54</f>
        <v>2533627</v>
      </c>
      <c r="AK14" s="61">
        <f>AJ14+AI51</f>
        <v>2547647</v>
      </c>
    </row>
    <row r="15" spans="1:37" s="38" customFormat="1" ht="24" customHeight="1">
      <c r="A15" s="57"/>
      <c r="B15" s="58" t="s">
        <v>690</v>
      </c>
      <c r="C15" s="72">
        <f t="shared" ref="C15:C79" si="7">D15+E15</f>
        <v>40770</v>
      </c>
      <c r="D15" s="72">
        <v>155</v>
      </c>
      <c r="E15" s="72">
        <f>F15+G15+H15+I15+J15+K15+L15+M15+N15+O15+R15+S15+T15</f>
        <v>40615</v>
      </c>
      <c r="F15" s="72"/>
      <c r="G15" s="72"/>
      <c r="H15" s="72"/>
      <c r="I15" s="72"/>
      <c r="J15" s="72"/>
      <c r="K15" s="72"/>
      <c r="L15" s="72"/>
      <c r="M15" s="72"/>
      <c r="N15" s="72"/>
      <c r="O15" s="72"/>
      <c r="P15" s="72"/>
      <c r="Q15" s="72"/>
      <c r="R15" s="72">
        <v>40615</v>
      </c>
      <c r="S15" s="72"/>
      <c r="T15" s="72"/>
      <c r="U15" s="80"/>
      <c r="V15" s="72"/>
      <c r="W15" s="72"/>
      <c r="X15" s="72"/>
      <c r="Y15" s="72"/>
      <c r="Z15" s="72"/>
      <c r="AA15" s="72">
        <f t="shared" si="5"/>
        <v>0</v>
      </c>
      <c r="AB15" s="81"/>
      <c r="AC15" s="72"/>
      <c r="AI15" s="83">
        <f>E15-U15-V15</f>
        <v>40615</v>
      </c>
    </row>
    <row r="16" spans="1:37" s="38" customFormat="1" ht="24" customHeight="1">
      <c r="A16" s="57"/>
      <c r="B16" s="58" t="s">
        <v>691</v>
      </c>
      <c r="C16" s="72">
        <f t="shared" si="7"/>
        <v>14486</v>
      </c>
      <c r="D16" s="72">
        <v>298</v>
      </c>
      <c r="E16" s="72">
        <f>F16+G16+H16+I16+J16+K16+L16+M16+N16+O16+R16+S16+T16</f>
        <v>14188</v>
      </c>
      <c r="F16" s="72"/>
      <c r="G16" s="72"/>
      <c r="H16" s="72"/>
      <c r="I16" s="72"/>
      <c r="J16" s="72"/>
      <c r="K16" s="72"/>
      <c r="L16" s="72"/>
      <c r="M16" s="72"/>
      <c r="N16" s="72"/>
      <c r="O16" s="72"/>
      <c r="P16" s="72"/>
      <c r="Q16" s="72"/>
      <c r="R16" s="72">
        <f>-1387+383+15192</f>
        <v>14188</v>
      </c>
      <c r="S16" s="72"/>
      <c r="T16" s="72"/>
      <c r="U16" s="80"/>
      <c r="V16" s="72"/>
      <c r="W16" s="72">
        <v>-1387</v>
      </c>
      <c r="X16" s="72"/>
      <c r="Y16" s="72"/>
      <c r="Z16" s="72">
        <v>383</v>
      </c>
      <c r="AA16" s="72">
        <f t="shared" si="5"/>
        <v>-1004</v>
      </c>
      <c r="AB16" s="81"/>
      <c r="AC16" s="72">
        <v>14188</v>
      </c>
      <c r="AF16" s="83">
        <f>AC16+AD16-AE16</f>
        <v>14188</v>
      </c>
      <c r="AG16" s="83">
        <f>E16-AF16</f>
        <v>0</v>
      </c>
      <c r="AI16" s="83"/>
    </row>
    <row r="17" spans="1:35" ht="33" customHeight="1">
      <c r="A17" s="48">
        <v>2</v>
      </c>
      <c r="B17" s="44" t="s">
        <v>694</v>
      </c>
      <c r="C17" s="29">
        <f>C18+C19</f>
        <v>128473</v>
      </c>
      <c r="D17" s="29">
        <f t="shared" ref="D17:T17" si="8">D18+D19</f>
        <v>2386</v>
      </c>
      <c r="E17" s="29">
        <f t="shared" si="8"/>
        <v>126087</v>
      </c>
      <c r="F17" s="29">
        <f t="shared" si="8"/>
        <v>0</v>
      </c>
      <c r="G17" s="29">
        <f t="shared" si="8"/>
        <v>0</v>
      </c>
      <c r="H17" s="29">
        <f t="shared" si="8"/>
        <v>0</v>
      </c>
      <c r="I17" s="29">
        <f t="shared" si="8"/>
        <v>0</v>
      </c>
      <c r="J17" s="29">
        <f t="shared" si="8"/>
        <v>0</v>
      </c>
      <c r="K17" s="29">
        <f t="shared" si="8"/>
        <v>19101</v>
      </c>
      <c r="L17" s="29">
        <f t="shared" si="8"/>
        <v>0</v>
      </c>
      <c r="M17" s="29">
        <f t="shared" si="8"/>
        <v>0</v>
      </c>
      <c r="N17" s="29">
        <f t="shared" si="8"/>
        <v>0</v>
      </c>
      <c r="O17" s="29">
        <f t="shared" si="8"/>
        <v>7681</v>
      </c>
      <c r="P17" s="29">
        <f t="shared" si="8"/>
        <v>0</v>
      </c>
      <c r="Q17" s="29">
        <f t="shared" si="8"/>
        <v>0</v>
      </c>
      <c r="R17" s="29">
        <f t="shared" si="8"/>
        <v>99305</v>
      </c>
      <c r="S17" s="29">
        <f t="shared" si="8"/>
        <v>0</v>
      </c>
      <c r="T17" s="29">
        <f t="shared" si="8"/>
        <v>0</v>
      </c>
      <c r="U17" s="65"/>
      <c r="V17" s="29"/>
      <c r="W17" s="29"/>
      <c r="X17" s="29"/>
      <c r="Y17" s="29"/>
      <c r="Z17" s="29">
        <v>-578</v>
      </c>
      <c r="AA17" s="29">
        <f t="shared" si="5"/>
        <v>-578</v>
      </c>
      <c r="AC17" s="29"/>
      <c r="AF17" s="83">
        <f t="shared" ref="AF17:AF80" si="9">AC17+AD17-AE17</f>
        <v>0</v>
      </c>
      <c r="AG17" s="83"/>
      <c r="AI17" s="83"/>
    </row>
    <row r="18" spans="1:35" s="38" customFormat="1" ht="24" customHeight="1">
      <c r="A18" s="57"/>
      <c r="B18" s="58" t="s">
        <v>690</v>
      </c>
      <c r="C18" s="29">
        <f t="shared" si="7"/>
        <v>94201</v>
      </c>
      <c r="D18" s="29">
        <v>407</v>
      </c>
      <c r="E18" s="29">
        <f t="shared" ref="E18:E79" si="10">F18+G18+H18+I18+J18+K18+L18+M18+N18+O18+R18+S18+T18</f>
        <v>93794</v>
      </c>
      <c r="F18" s="29"/>
      <c r="G18" s="29"/>
      <c r="H18" s="29"/>
      <c r="I18" s="29"/>
      <c r="J18" s="29"/>
      <c r="K18" s="29">
        <v>15735</v>
      </c>
      <c r="L18" s="29"/>
      <c r="M18" s="29"/>
      <c r="N18" s="29"/>
      <c r="O18" s="29">
        <v>3149</v>
      </c>
      <c r="P18" s="29"/>
      <c r="Q18" s="29"/>
      <c r="R18" s="29">
        <f>5179+69731</f>
        <v>74910</v>
      </c>
      <c r="S18" s="29"/>
      <c r="T18" s="29"/>
      <c r="U18" s="65"/>
      <c r="V18" s="29"/>
      <c r="W18" s="29"/>
      <c r="X18" s="29"/>
      <c r="Y18" s="29"/>
      <c r="Z18" s="29"/>
      <c r="AA18" s="29">
        <f t="shared" si="5"/>
        <v>0</v>
      </c>
      <c r="AB18" s="81"/>
      <c r="AC18" s="29"/>
      <c r="AF18" s="83">
        <f t="shared" si="9"/>
        <v>0</v>
      </c>
      <c r="AG18" s="83"/>
      <c r="AI18" s="83">
        <f>E18-U18-V18</f>
        <v>93794</v>
      </c>
    </row>
    <row r="19" spans="1:35" s="38" customFormat="1" ht="33" customHeight="1">
      <c r="A19" s="57"/>
      <c r="B19" s="58" t="s">
        <v>691</v>
      </c>
      <c r="C19" s="29">
        <f t="shared" si="7"/>
        <v>34272</v>
      </c>
      <c r="D19" s="29">
        <v>1979</v>
      </c>
      <c r="E19" s="29">
        <f t="shared" si="10"/>
        <v>32293</v>
      </c>
      <c r="F19" s="29"/>
      <c r="G19" s="29"/>
      <c r="H19" s="29"/>
      <c r="I19" s="29"/>
      <c r="J19" s="29"/>
      <c r="K19" s="29">
        <f>-343-310+4019</f>
        <v>3366</v>
      </c>
      <c r="L19" s="29"/>
      <c r="M19" s="29"/>
      <c r="N19" s="29"/>
      <c r="O19" s="29">
        <f>-1011-3703+9246</f>
        <v>4532</v>
      </c>
      <c r="P19" s="29"/>
      <c r="Q19" s="29"/>
      <c r="R19" s="29">
        <f>26558+142-1727-578</f>
        <v>24395</v>
      </c>
      <c r="S19" s="29"/>
      <c r="T19" s="29"/>
      <c r="U19" s="65"/>
      <c r="V19" s="29"/>
      <c r="W19" s="29">
        <f>-1727-1011</f>
        <v>-2738</v>
      </c>
      <c r="X19" s="29"/>
      <c r="Y19" s="29">
        <f>-310-3703</f>
        <v>-4013</v>
      </c>
      <c r="Z19" s="29"/>
      <c r="AA19" s="29">
        <f t="shared" si="5"/>
        <v>-6751</v>
      </c>
      <c r="AB19" s="81" t="s">
        <v>695</v>
      </c>
      <c r="AC19" s="29">
        <v>32293</v>
      </c>
      <c r="AF19" s="83">
        <f t="shared" si="9"/>
        <v>32293</v>
      </c>
      <c r="AG19" s="83">
        <f>E19-AF19</f>
        <v>0</v>
      </c>
      <c r="AI19" s="83"/>
    </row>
    <row r="20" spans="1:35" ht="35.25" customHeight="1">
      <c r="A20" s="48">
        <v>3</v>
      </c>
      <c r="B20" s="44" t="s">
        <v>696</v>
      </c>
      <c r="C20" s="29">
        <f>C21+C22</f>
        <v>553429.16</v>
      </c>
      <c r="D20" s="29">
        <f t="shared" ref="D20:T20" si="11">D21+D22</f>
        <v>4755</v>
      </c>
      <c r="E20" s="29">
        <f t="shared" si="11"/>
        <v>548674.16</v>
      </c>
      <c r="F20" s="29">
        <f t="shared" si="11"/>
        <v>0</v>
      </c>
      <c r="G20" s="29">
        <f t="shared" si="11"/>
        <v>0</v>
      </c>
      <c r="H20" s="29">
        <f t="shared" si="11"/>
        <v>0</v>
      </c>
      <c r="I20" s="29">
        <f t="shared" si="11"/>
        <v>0</v>
      </c>
      <c r="J20" s="29">
        <f t="shared" si="11"/>
        <v>0</v>
      </c>
      <c r="K20" s="29">
        <f t="shared" si="11"/>
        <v>0</v>
      </c>
      <c r="L20" s="29">
        <f t="shared" si="11"/>
        <v>0</v>
      </c>
      <c r="M20" s="29">
        <f t="shared" si="11"/>
        <v>0</v>
      </c>
      <c r="N20" s="29">
        <f t="shared" si="11"/>
        <v>56266</v>
      </c>
      <c r="O20" s="29">
        <f t="shared" si="11"/>
        <v>316291.16000000003</v>
      </c>
      <c r="P20" s="29">
        <f t="shared" si="11"/>
        <v>0</v>
      </c>
      <c r="Q20" s="29">
        <f t="shared" si="11"/>
        <v>51311</v>
      </c>
      <c r="R20" s="29">
        <f t="shared" si="11"/>
        <v>176117</v>
      </c>
      <c r="S20" s="29">
        <f t="shared" si="11"/>
        <v>0</v>
      </c>
      <c r="T20" s="29">
        <f t="shared" si="11"/>
        <v>0</v>
      </c>
      <c r="U20" s="65"/>
      <c r="V20" s="29"/>
      <c r="W20" s="29"/>
      <c r="X20" s="29"/>
      <c r="Y20" s="29"/>
      <c r="Z20" s="29"/>
      <c r="AA20" s="29">
        <f t="shared" si="5"/>
        <v>0</v>
      </c>
      <c r="AC20" s="16"/>
      <c r="AF20" s="83">
        <f t="shared" si="9"/>
        <v>0</v>
      </c>
      <c r="AG20" s="83"/>
      <c r="AI20" s="83"/>
    </row>
    <row r="21" spans="1:35" s="38" customFormat="1" ht="24" customHeight="1">
      <c r="A21" s="57"/>
      <c r="B21" s="58" t="s">
        <v>690</v>
      </c>
      <c r="C21" s="29">
        <f t="shared" si="7"/>
        <v>368287</v>
      </c>
      <c r="D21" s="29">
        <v>1916</v>
      </c>
      <c r="E21" s="29">
        <f>F21+G21+H21+I21+J21+K21+L21+M21+N21+O21+R21+S21+T21</f>
        <v>366371</v>
      </c>
      <c r="F21" s="29"/>
      <c r="G21" s="29"/>
      <c r="H21" s="29"/>
      <c r="I21" s="29"/>
      <c r="J21" s="29"/>
      <c r="K21" s="29"/>
      <c r="L21" s="29"/>
      <c r="M21" s="29"/>
      <c r="N21" s="29">
        <v>40000</v>
      </c>
      <c r="O21" s="29">
        <v>235525</v>
      </c>
      <c r="P21" s="29"/>
      <c r="Q21" s="29"/>
      <c r="R21" s="29">
        <f>-1214+92060</f>
        <v>90846</v>
      </c>
      <c r="S21" s="29"/>
      <c r="T21" s="29"/>
      <c r="U21" s="65">
        <v>-1214</v>
      </c>
      <c r="V21" s="29"/>
      <c r="W21" s="29"/>
      <c r="X21" s="29"/>
      <c r="Y21" s="29"/>
      <c r="Z21" s="29"/>
      <c r="AA21" s="29">
        <f t="shared" si="5"/>
        <v>0</v>
      </c>
      <c r="AB21" s="81"/>
      <c r="AC21" s="29"/>
      <c r="AF21" s="83">
        <f t="shared" si="9"/>
        <v>0</v>
      </c>
      <c r="AG21" s="83"/>
      <c r="AI21" s="83">
        <f>E21-U21-V21</f>
        <v>367585</v>
      </c>
    </row>
    <row r="22" spans="1:35" s="38" customFormat="1" ht="24" customHeight="1">
      <c r="A22" s="57"/>
      <c r="B22" s="58" t="s">
        <v>691</v>
      </c>
      <c r="C22" s="29">
        <f t="shared" si="7"/>
        <v>185142.16</v>
      </c>
      <c r="D22" s="29">
        <v>2839</v>
      </c>
      <c r="E22" s="29">
        <f t="shared" si="10"/>
        <v>182303.16</v>
      </c>
      <c r="F22" s="29"/>
      <c r="G22" s="29"/>
      <c r="H22" s="29"/>
      <c r="I22" s="29"/>
      <c r="J22" s="29"/>
      <c r="K22" s="29"/>
      <c r="L22" s="29"/>
      <c r="M22" s="29"/>
      <c r="N22" s="76">
        <f>14404+1862</f>
        <v>16266</v>
      </c>
      <c r="O22" s="29">
        <f>213.16+80553</f>
        <v>80766.16</v>
      </c>
      <c r="P22" s="29"/>
      <c r="Q22" s="29">
        <v>51311</v>
      </c>
      <c r="R22" s="29">
        <f>-1341+79790-1957+8779</f>
        <v>85271</v>
      </c>
      <c r="S22" s="29"/>
      <c r="T22" s="29"/>
      <c r="U22" s="65">
        <v>-1341</v>
      </c>
      <c r="V22" s="29"/>
      <c r="W22" s="29">
        <f>-593-1364</f>
        <v>-1957</v>
      </c>
      <c r="X22" s="29">
        <v>8779</v>
      </c>
      <c r="Y22" s="29"/>
      <c r="Z22" s="29"/>
      <c r="AA22" s="29">
        <f t="shared" si="5"/>
        <v>6822</v>
      </c>
      <c r="AB22" s="81"/>
      <c r="AC22" s="16">
        <v>167686</v>
      </c>
      <c r="AD22" s="38">
        <v>213.16</v>
      </c>
      <c r="AF22" s="83">
        <f t="shared" si="9"/>
        <v>167899.16</v>
      </c>
      <c r="AG22" s="83">
        <f>E22-AF22</f>
        <v>14404</v>
      </c>
      <c r="AI22" s="83"/>
    </row>
    <row r="23" spans="1:35" ht="19.5" customHeight="1">
      <c r="A23" s="48">
        <v>4</v>
      </c>
      <c r="B23" s="44" t="s">
        <v>697</v>
      </c>
      <c r="C23" s="29">
        <f>C24+C25</f>
        <v>37853</v>
      </c>
      <c r="D23" s="29">
        <f t="shared" ref="D23:T23" si="12">D24+D25</f>
        <v>706</v>
      </c>
      <c r="E23" s="29">
        <f t="shared" si="12"/>
        <v>37147</v>
      </c>
      <c r="F23" s="29">
        <f t="shared" si="12"/>
        <v>162</v>
      </c>
      <c r="G23" s="29">
        <f t="shared" si="12"/>
        <v>0</v>
      </c>
      <c r="H23" s="29">
        <f t="shared" si="12"/>
        <v>0</v>
      </c>
      <c r="I23" s="29">
        <f t="shared" si="12"/>
        <v>0</v>
      </c>
      <c r="J23" s="29">
        <f t="shared" si="12"/>
        <v>0</v>
      </c>
      <c r="K23" s="29">
        <f t="shared" si="12"/>
        <v>0</v>
      </c>
      <c r="L23" s="29">
        <f t="shared" si="12"/>
        <v>0</v>
      </c>
      <c r="M23" s="29">
        <f t="shared" si="12"/>
        <v>0</v>
      </c>
      <c r="N23" s="29">
        <f t="shared" si="12"/>
        <v>0</v>
      </c>
      <c r="O23" s="29">
        <f t="shared" si="12"/>
        <v>12902</v>
      </c>
      <c r="P23" s="29">
        <f t="shared" si="12"/>
        <v>0</v>
      </c>
      <c r="Q23" s="29">
        <f t="shared" si="12"/>
        <v>0</v>
      </c>
      <c r="R23" s="29">
        <f t="shared" si="12"/>
        <v>17071</v>
      </c>
      <c r="S23" s="29">
        <f t="shared" si="12"/>
        <v>0</v>
      </c>
      <c r="T23" s="29">
        <f t="shared" si="12"/>
        <v>7012</v>
      </c>
      <c r="U23" s="65"/>
      <c r="V23" s="29"/>
      <c r="W23" s="29"/>
      <c r="X23" s="29"/>
      <c r="Y23" s="29"/>
      <c r="Z23" s="29"/>
      <c r="AA23" s="29">
        <f t="shared" si="5"/>
        <v>0</v>
      </c>
      <c r="AC23" s="29"/>
      <c r="AF23" s="83">
        <f t="shared" si="9"/>
        <v>0</v>
      </c>
      <c r="AG23" s="83"/>
      <c r="AI23" s="83"/>
    </row>
    <row r="24" spans="1:35" s="38" customFormat="1" ht="24" customHeight="1">
      <c r="A24" s="57"/>
      <c r="B24" s="58" t="s">
        <v>690</v>
      </c>
      <c r="C24" s="29">
        <f t="shared" si="7"/>
        <v>23247</v>
      </c>
      <c r="D24" s="29">
        <v>220</v>
      </c>
      <c r="E24" s="29">
        <f t="shared" si="10"/>
        <v>23027</v>
      </c>
      <c r="F24" s="29">
        <v>162</v>
      </c>
      <c r="G24" s="29"/>
      <c r="H24" s="29"/>
      <c r="I24" s="29"/>
      <c r="J24" s="29"/>
      <c r="K24" s="29"/>
      <c r="L24" s="29"/>
      <c r="M24" s="29"/>
      <c r="N24" s="29"/>
      <c r="O24" s="29">
        <v>12889</v>
      </c>
      <c r="P24" s="29"/>
      <c r="Q24" s="29"/>
      <c r="R24" s="29">
        <v>9976</v>
      </c>
      <c r="S24" s="29"/>
      <c r="T24" s="29"/>
      <c r="U24" s="65"/>
      <c r="V24" s="29"/>
      <c r="W24" s="29"/>
      <c r="X24" s="29"/>
      <c r="Y24" s="29"/>
      <c r="Z24" s="29"/>
      <c r="AA24" s="29">
        <f t="shared" si="5"/>
        <v>0</v>
      </c>
      <c r="AB24" s="81"/>
      <c r="AC24" s="29"/>
      <c r="AF24" s="83">
        <f t="shared" si="9"/>
        <v>0</v>
      </c>
      <c r="AG24" s="83"/>
      <c r="AI24" s="83">
        <f>E24-U24-V24</f>
        <v>23027</v>
      </c>
    </row>
    <row r="25" spans="1:35" s="38" customFormat="1" ht="24" customHeight="1">
      <c r="A25" s="57"/>
      <c r="B25" s="58" t="s">
        <v>691</v>
      </c>
      <c r="C25" s="29">
        <f t="shared" si="7"/>
        <v>14606</v>
      </c>
      <c r="D25" s="29">
        <v>486</v>
      </c>
      <c r="E25" s="29">
        <f t="shared" si="10"/>
        <v>14120</v>
      </c>
      <c r="F25" s="29"/>
      <c r="G25" s="29"/>
      <c r="H25" s="29"/>
      <c r="I25" s="29"/>
      <c r="J25" s="29"/>
      <c r="K25" s="29"/>
      <c r="L25" s="29"/>
      <c r="M25" s="29"/>
      <c r="N25" s="29"/>
      <c r="O25" s="29">
        <v>13</v>
      </c>
      <c r="P25" s="29"/>
      <c r="Q25" s="29"/>
      <c r="R25" s="29">
        <f>-171+7856-590</f>
        <v>7095</v>
      </c>
      <c r="S25" s="29"/>
      <c r="T25" s="29">
        <v>7012</v>
      </c>
      <c r="U25" s="65">
        <v>-171</v>
      </c>
      <c r="V25" s="29"/>
      <c r="W25" s="29">
        <f>-394-196</f>
        <v>-590</v>
      </c>
      <c r="X25" s="29"/>
      <c r="Y25" s="29"/>
      <c r="Z25" s="29"/>
      <c r="AA25" s="29">
        <f t="shared" si="5"/>
        <v>-590</v>
      </c>
      <c r="AB25" s="81"/>
      <c r="AC25" s="29">
        <v>14107</v>
      </c>
      <c r="AD25" s="38">
        <v>13</v>
      </c>
      <c r="AF25" s="83">
        <f t="shared" si="9"/>
        <v>14120</v>
      </c>
      <c r="AG25" s="83">
        <f>E25-AF25</f>
        <v>0</v>
      </c>
      <c r="AI25" s="83"/>
    </row>
    <row r="26" spans="1:35" ht="19.5" customHeight="1">
      <c r="A26" s="48">
        <v>5</v>
      </c>
      <c r="B26" s="44" t="s">
        <v>698</v>
      </c>
      <c r="C26" s="29">
        <f>C27+C28</f>
        <v>56390</v>
      </c>
      <c r="D26" s="29">
        <f t="shared" ref="D26:T26" si="13">D27+D28</f>
        <v>378</v>
      </c>
      <c r="E26" s="29">
        <f t="shared" si="13"/>
        <v>56012</v>
      </c>
      <c r="F26" s="29">
        <f t="shared" si="13"/>
        <v>0</v>
      </c>
      <c r="G26" s="29">
        <f t="shared" si="13"/>
        <v>0</v>
      </c>
      <c r="H26" s="29">
        <f t="shared" si="13"/>
        <v>0</v>
      </c>
      <c r="I26" s="29">
        <f t="shared" si="13"/>
        <v>0</v>
      </c>
      <c r="J26" s="29">
        <f t="shared" si="13"/>
        <v>0</v>
      </c>
      <c r="K26" s="29">
        <f t="shared" si="13"/>
        <v>0</v>
      </c>
      <c r="L26" s="29">
        <f t="shared" si="13"/>
        <v>0</v>
      </c>
      <c r="M26" s="29">
        <f t="shared" si="13"/>
        <v>0</v>
      </c>
      <c r="N26" s="29">
        <f t="shared" si="13"/>
        <v>0</v>
      </c>
      <c r="O26" s="29">
        <f t="shared" si="13"/>
        <v>17961</v>
      </c>
      <c r="P26" s="29">
        <f t="shared" si="13"/>
        <v>0</v>
      </c>
      <c r="Q26" s="29">
        <f t="shared" si="13"/>
        <v>0</v>
      </c>
      <c r="R26" s="29">
        <f t="shared" si="13"/>
        <v>37911</v>
      </c>
      <c r="S26" s="29">
        <f t="shared" si="13"/>
        <v>0</v>
      </c>
      <c r="T26" s="29">
        <f t="shared" si="13"/>
        <v>140</v>
      </c>
      <c r="U26" s="65"/>
      <c r="V26" s="29"/>
      <c r="W26" s="29"/>
      <c r="X26" s="29"/>
      <c r="Y26" s="29"/>
      <c r="Z26" s="29"/>
      <c r="AA26" s="29">
        <f t="shared" si="5"/>
        <v>0</v>
      </c>
      <c r="AC26" s="29"/>
      <c r="AF26" s="83">
        <f t="shared" si="9"/>
        <v>0</v>
      </c>
      <c r="AG26" s="83"/>
      <c r="AI26" s="83"/>
    </row>
    <row r="27" spans="1:35" s="38" customFormat="1" ht="24" customHeight="1">
      <c r="A27" s="57"/>
      <c r="B27" s="58" t="s">
        <v>690</v>
      </c>
      <c r="C27" s="29">
        <f t="shared" si="7"/>
        <v>46370</v>
      </c>
      <c r="D27" s="29">
        <v>273</v>
      </c>
      <c r="E27" s="29">
        <f t="shared" si="10"/>
        <v>46097</v>
      </c>
      <c r="F27" s="29"/>
      <c r="G27" s="29"/>
      <c r="H27" s="29"/>
      <c r="I27" s="29"/>
      <c r="J27" s="29"/>
      <c r="K27" s="29"/>
      <c r="L27" s="29"/>
      <c r="M27" s="29"/>
      <c r="N27" s="29"/>
      <c r="O27" s="29">
        <v>16497</v>
      </c>
      <c r="P27" s="29"/>
      <c r="Q27" s="29"/>
      <c r="R27" s="75">
        <f>30612-1012</f>
        <v>29600</v>
      </c>
      <c r="S27" s="29"/>
      <c r="T27" s="29"/>
      <c r="U27" s="65">
        <v>-1012</v>
      </c>
      <c r="V27" s="29"/>
      <c r="W27" s="29"/>
      <c r="X27" s="29"/>
      <c r="Y27" s="29"/>
      <c r="Z27" s="29"/>
      <c r="AA27" s="29">
        <f t="shared" si="5"/>
        <v>0</v>
      </c>
      <c r="AB27" s="81"/>
      <c r="AC27" s="29"/>
      <c r="AF27" s="83">
        <f t="shared" si="9"/>
        <v>0</v>
      </c>
      <c r="AG27" s="83"/>
      <c r="AI27" s="83">
        <f>E27-U27-V27</f>
        <v>47109</v>
      </c>
    </row>
    <row r="28" spans="1:35" s="38" customFormat="1" ht="35.25" customHeight="1">
      <c r="A28" s="57"/>
      <c r="B28" s="58" t="s">
        <v>691</v>
      </c>
      <c r="C28" s="29">
        <f t="shared" si="7"/>
        <v>10020</v>
      </c>
      <c r="D28" s="29">
        <v>105</v>
      </c>
      <c r="E28" s="29">
        <f t="shared" si="10"/>
        <v>9915</v>
      </c>
      <c r="F28" s="29"/>
      <c r="G28" s="29"/>
      <c r="H28" s="29"/>
      <c r="I28" s="29"/>
      <c r="J28" s="29"/>
      <c r="K28" s="29"/>
      <c r="L28" s="29"/>
      <c r="M28" s="29"/>
      <c r="N28" s="29"/>
      <c r="O28" s="29">
        <f>1463+1</f>
        <v>1464</v>
      </c>
      <c r="P28" s="29"/>
      <c r="Q28" s="29"/>
      <c r="R28" s="29">
        <f>-530+9264-423</f>
        <v>8311</v>
      </c>
      <c r="S28" s="29"/>
      <c r="T28" s="29">
        <v>140</v>
      </c>
      <c r="U28" s="65">
        <v>-530</v>
      </c>
      <c r="V28" s="29"/>
      <c r="W28" s="29">
        <f>-423</f>
        <v>-423</v>
      </c>
      <c r="X28" s="29"/>
      <c r="Y28" s="29">
        <v>1463</v>
      </c>
      <c r="Z28" s="29"/>
      <c r="AA28" s="29">
        <f t="shared" si="5"/>
        <v>1040</v>
      </c>
      <c r="AB28" s="81" t="s">
        <v>699</v>
      </c>
      <c r="AC28" s="29">
        <v>9914</v>
      </c>
      <c r="AD28" s="38">
        <v>1</v>
      </c>
      <c r="AF28" s="83">
        <f t="shared" si="9"/>
        <v>9915</v>
      </c>
      <c r="AG28" s="83">
        <f>E28-AF28</f>
        <v>0</v>
      </c>
      <c r="AI28" s="83"/>
    </row>
    <row r="29" spans="1:35" ht="19.5" customHeight="1">
      <c r="A29" s="48">
        <v>6</v>
      </c>
      <c r="B29" s="44" t="s">
        <v>700</v>
      </c>
      <c r="C29" s="29">
        <f>C30+C31</f>
        <v>135176</v>
      </c>
      <c r="D29" s="29">
        <f t="shared" ref="D29:T29" si="14">D30+D31</f>
        <v>707</v>
      </c>
      <c r="E29" s="29">
        <f t="shared" si="14"/>
        <v>134469</v>
      </c>
      <c r="F29" s="29">
        <f t="shared" si="14"/>
        <v>1170</v>
      </c>
      <c r="G29" s="29">
        <f t="shared" si="14"/>
        <v>62839</v>
      </c>
      <c r="H29" s="29">
        <f t="shared" si="14"/>
        <v>0</v>
      </c>
      <c r="I29" s="29">
        <f t="shared" si="14"/>
        <v>0</v>
      </c>
      <c r="J29" s="29">
        <f t="shared" si="14"/>
        <v>0</v>
      </c>
      <c r="K29" s="29">
        <f t="shared" si="14"/>
        <v>41300</v>
      </c>
      <c r="L29" s="29">
        <f t="shared" si="14"/>
        <v>0</v>
      </c>
      <c r="M29" s="29">
        <f t="shared" si="14"/>
        <v>0</v>
      </c>
      <c r="N29" s="29">
        <f t="shared" si="14"/>
        <v>0</v>
      </c>
      <c r="O29" s="29">
        <f t="shared" si="14"/>
        <v>3883</v>
      </c>
      <c r="P29" s="29">
        <f t="shared" si="14"/>
        <v>0</v>
      </c>
      <c r="Q29" s="29">
        <f t="shared" si="14"/>
        <v>0</v>
      </c>
      <c r="R29" s="29">
        <f t="shared" si="14"/>
        <v>25277</v>
      </c>
      <c r="S29" s="29">
        <f t="shared" si="14"/>
        <v>0</v>
      </c>
      <c r="T29" s="29">
        <f t="shared" si="14"/>
        <v>0</v>
      </c>
      <c r="U29" s="65"/>
      <c r="V29" s="29"/>
      <c r="W29" s="29"/>
      <c r="X29" s="29"/>
      <c r="Y29" s="29"/>
      <c r="Z29" s="29"/>
      <c r="AA29" s="29">
        <f t="shared" si="5"/>
        <v>0</v>
      </c>
      <c r="AC29" s="29"/>
      <c r="AF29" s="83">
        <f t="shared" si="9"/>
        <v>0</v>
      </c>
      <c r="AG29" s="83"/>
      <c r="AI29" s="83"/>
    </row>
    <row r="30" spans="1:35" s="38" customFormat="1" ht="31.5" customHeight="1">
      <c r="A30" s="57"/>
      <c r="B30" s="58" t="s">
        <v>690</v>
      </c>
      <c r="C30" s="29">
        <f>D30+E30</f>
        <v>94993</v>
      </c>
      <c r="D30" s="29">
        <v>308</v>
      </c>
      <c r="E30" s="29">
        <f t="shared" si="10"/>
        <v>94685</v>
      </c>
      <c r="F30" s="29">
        <v>1170</v>
      </c>
      <c r="G30" s="29">
        <v>45371</v>
      </c>
      <c r="H30" s="29"/>
      <c r="I30" s="29"/>
      <c r="J30" s="29"/>
      <c r="K30" s="29">
        <f>-15595+49501</f>
        <v>33906</v>
      </c>
      <c r="L30" s="29"/>
      <c r="M30" s="29"/>
      <c r="N30" s="29"/>
      <c r="O30" s="29"/>
      <c r="P30" s="29"/>
      <c r="Q30" s="29"/>
      <c r="R30" s="29">
        <f>-709+14947</f>
        <v>14238</v>
      </c>
      <c r="S30" s="29"/>
      <c r="T30" s="29"/>
      <c r="U30" s="65">
        <v>-709</v>
      </c>
      <c r="V30" s="29">
        <v>-15595</v>
      </c>
      <c r="W30" s="29"/>
      <c r="X30" s="29"/>
      <c r="Y30" s="29"/>
      <c r="Z30" s="29"/>
      <c r="AA30" s="29">
        <f t="shared" si="5"/>
        <v>0</v>
      </c>
      <c r="AB30" s="81" t="s">
        <v>701</v>
      </c>
      <c r="AC30" s="29"/>
      <c r="AF30" s="83">
        <f t="shared" si="9"/>
        <v>0</v>
      </c>
      <c r="AG30" s="83"/>
      <c r="AI30" s="83">
        <f>E30-U30-V30</f>
        <v>110989</v>
      </c>
    </row>
    <row r="31" spans="1:35" s="38" customFormat="1" ht="24" customHeight="1">
      <c r="A31" s="57"/>
      <c r="B31" s="58" t="s">
        <v>691</v>
      </c>
      <c r="C31" s="29">
        <f>D31+E31</f>
        <v>40183</v>
      </c>
      <c r="D31" s="29">
        <v>399</v>
      </c>
      <c r="E31" s="29">
        <f t="shared" si="10"/>
        <v>39784</v>
      </c>
      <c r="F31" s="29"/>
      <c r="G31" s="29">
        <f>-251+17719</f>
        <v>17468</v>
      </c>
      <c r="H31" s="29"/>
      <c r="I31" s="29"/>
      <c r="J31" s="29"/>
      <c r="K31" s="29">
        <f>1+7538-145</f>
        <v>7394</v>
      </c>
      <c r="L31" s="29"/>
      <c r="M31" s="29"/>
      <c r="N31" s="29"/>
      <c r="O31" s="29">
        <v>3883</v>
      </c>
      <c r="P31" s="29"/>
      <c r="Q31" s="29"/>
      <c r="R31" s="29">
        <f>-445+11803-523+204</f>
        <v>11039</v>
      </c>
      <c r="S31" s="29"/>
      <c r="T31" s="29"/>
      <c r="U31" s="65">
        <v>-445</v>
      </c>
      <c r="V31" s="29"/>
      <c r="W31" s="29">
        <f>-251-145-523</f>
        <v>-919</v>
      </c>
      <c r="X31" s="29"/>
      <c r="Y31" s="29"/>
      <c r="Z31" s="29">
        <v>204</v>
      </c>
      <c r="AA31" s="29">
        <f t="shared" si="5"/>
        <v>-715</v>
      </c>
      <c r="AB31" s="81"/>
      <c r="AC31" s="29">
        <v>39783</v>
      </c>
      <c r="AD31" s="38">
        <v>1</v>
      </c>
      <c r="AF31" s="83">
        <f t="shared" si="9"/>
        <v>39784</v>
      </c>
      <c r="AG31" s="83">
        <f>E31-AF31</f>
        <v>0</v>
      </c>
      <c r="AI31" s="83"/>
    </row>
    <row r="32" spans="1:35" ht="19.5" customHeight="1">
      <c r="A32" s="48">
        <v>7</v>
      </c>
      <c r="B32" s="44" t="s">
        <v>702</v>
      </c>
      <c r="C32" s="29">
        <f>C33+C34</f>
        <v>61207</v>
      </c>
      <c r="D32" s="29">
        <f t="shared" ref="D32:T32" si="15">D33+D34</f>
        <v>1223</v>
      </c>
      <c r="E32" s="29">
        <f t="shared" si="15"/>
        <v>59984</v>
      </c>
      <c r="F32" s="29">
        <f t="shared" si="15"/>
        <v>0</v>
      </c>
      <c r="G32" s="29">
        <f t="shared" si="15"/>
        <v>0</v>
      </c>
      <c r="H32" s="29">
        <f t="shared" si="15"/>
        <v>0</v>
      </c>
      <c r="I32" s="29">
        <f t="shared" si="15"/>
        <v>0</v>
      </c>
      <c r="J32" s="29">
        <f t="shared" si="15"/>
        <v>0</v>
      </c>
      <c r="K32" s="29">
        <f t="shared" si="15"/>
        <v>0</v>
      </c>
      <c r="L32" s="29">
        <f t="shared" si="15"/>
        <v>0</v>
      </c>
      <c r="M32" s="29">
        <f t="shared" si="15"/>
        <v>0</v>
      </c>
      <c r="N32" s="29">
        <f t="shared" si="15"/>
        <v>0</v>
      </c>
      <c r="O32" s="29">
        <f t="shared" si="15"/>
        <v>16016</v>
      </c>
      <c r="P32" s="29">
        <f t="shared" si="15"/>
        <v>0</v>
      </c>
      <c r="Q32" s="29">
        <f t="shared" si="15"/>
        <v>0</v>
      </c>
      <c r="R32" s="29">
        <f t="shared" si="15"/>
        <v>43968</v>
      </c>
      <c r="S32" s="29">
        <f t="shared" si="15"/>
        <v>0</v>
      </c>
      <c r="T32" s="29">
        <f t="shared" si="15"/>
        <v>0</v>
      </c>
      <c r="U32" s="65"/>
      <c r="V32" s="29"/>
      <c r="W32" s="29"/>
      <c r="X32" s="29"/>
      <c r="Y32" s="29"/>
      <c r="Z32" s="29"/>
      <c r="AA32" s="29">
        <f t="shared" si="5"/>
        <v>0</v>
      </c>
      <c r="AC32" s="29"/>
      <c r="AF32" s="83">
        <f t="shared" si="9"/>
        <v>0</v>
      </c>
      <c r="AG32" s="83"/>
      <c r="AI32" s="83"/>
    </row>
    <row r="33" spans="1:35" s="38" customFormat="1" ht="24" customHeight="1">
      <c r="A33" s="57"/>
      <c r="B33" s="58" t="s">
        <v>690</v>
      </c>
      <c r="C33" s="29">
        <f t="shared" si="7"/>
        <v>36863</v>
      </c>
      <c r="D33" s="29">
        <v>414</v>
      </c>
      <c r="E33" s="29">
        <f>F33+G33+H33+I33+J33+K33+L33+M33+N33+O33+R33+S33+T33</f>
        <v>36449</v>
      </c>
      <c r="F33" s="29"/>
      <c r="G33" s="29"/>
      <c r="H33" s="29"/>
      <c r="I33" s="29"/>
      <c r="J33" s="29"/>
      <c r="K33" s="29"/>
      <c r="L33" s="29"/>
      <c r="M33" s="29"/>
      <c r="N33" s="29"/>
      <c r="O33" s="29">
        <f>-338+5897</f>
        <v>5559</v>
      </c>
      <c r="P33" s="29"/>
      <c r="Q33" s="29"/>
      <c r="R33" s="29">
        <f>338-1121+31673</f>
        <v>30890</v>
      </c>
      <c r="S33" s="29"/>
      <c r="T33" s="29"/>
      <c r="U33" s="65">
        <v>-1121</v>
      </c>
      <c r="V33" s="29"/>
      <c r="W33" s="29"/>
      <c r="X33" s="29"/>
      <c r="Y33" s="29"/>
      <c r="Z33" s="29"/>
      <c r="AA33" s="29">
        <f t="shared" si="5"/>
        <v>0</v>
      </c>
      <c r="AB33" s="81"/>
      <c r="AC33" s="29"/>
      <c r="AF33" s="83">
        <f t="shared" si="9"/>
        <v>0</v>
      </c>
      <c r="AG33" s="83"/>
      <c r="AI33" s="83">
        <f>E33-U33-V33</f>
        <v>37570</v>
      </c>
    </row>
    <row r="34" spans="1:35" s="38" customFormat="1" ht="24" customHeight="1">
      <c r="A34" s="57"/>
      <c r="B34" s="58" t="s">
        <v>691</v>
      </c>
      <c r="C34" s="29">
        <f t="shared" si="7"/>
        <v>24344</v>
      </c>
      <c r="D34" s="29">
        <v>809</v>
      </c>
      <c r="E34" s="29">
        <f t="shared" si="10"/>
        <v>23535</v>
      </c>
      <c r="F34" s="29"/>
      <c r="G34" s="29"/>
      <c r="H34" s="29"/>
      <c r="I34" s="29"/>
      <c r="J34" s="29"/>
      <c r="K34" s="29"/>
      <c r="L34" s="29"/>
      <c r="M34" s="29"/>
      <c r="N34" s="29"/>
      <c r="O34" s="29">
        <f>-990+9371+2076</f>
        <v>10457</v>
      </c>
      <c r="P34" s="29"/>
      <c r="Q34" s="29"/>
      <c r="R34" s="29">
        <f>-588+16207-2351-190</f>
        <v>13078</v>
      </c>
      <c r="S34" s="29"/>
      <c r="T34" s="29"/>
      <c r="U34" s="65">
        <v>-588</v>
      </c>
      <c r="V34" s="29"/>
      <c r="W34" s="29">
        <v>-2351</v>
      </c>
      <c r="X34" s="29"/>
      <c r="Y34" s="29">
        <v>2076</v>
      </c>
      <c r="Z34" s="29">
        <v>-190</v>
      </c>
      <c r="AA34" s="29">
        <f t="shared" si="5"/>
        <v>-465</v>
      </c>
      <c r="AB34" s="81"/>
      <c r="AC34" s="29">
        <v>24525</v>
      </c>
      <c r="AE34" s="38">
        <v>990</v>
      </c>
      <c r="AF34" s="83">
        <f t="shared" si="9"/>
        <v>23535</v>
      </c>
      <c r="AG34" s="83">
        <f>E34-AF34</f>
        <v>0</v>
      </c>
      <c r="AI34" s="83"/>
    </row>
    <row r="35" spans="1:35" ht="19.5" customHeight="1">
      <c r="A35" s="48">
        <v>8</v>
      </c>
      <c r="B35" s="44" t="s">
        <v>703</v>
      </c>
      <c r="C35" s="29">
        <f>C36+C37</f>
        <v>157848</v>
      </c>
      <c r="D35" s="29">
        <f>D36+D37</f>
        <v>2381</v>
      </c>
      <c r="E35" s="29">
        <f t="shared" ref="E35:T35" si="16">E36+E37</f>
        <v>155467</v>
      </c>
      <c r="F35" s="29">
        <f t="shared" si="16"/>
        <v>60</v>
      </c>
      <c r="G35" s="29">
        <f t="shared" si="16"/>
        <v>0</v>
      </c>
      <c r="H35" s="29">
        <f t="shared" si="16"/>
        <v>0</v>
      </c>
      <c r="I35" s="29">
        <f t="shared" si="16"/>
        <v>2885</v>
      </c>
      <c r="J35" s="29">
        <f t="shared" si="16"/>
        <v>0</v>
      </c>
      <c r="K35" s="29">
        <f t="shared" si="16"/>
        <v>0</v>
      </c>
      <c r="L35" s="29">
        <f t="shared" si="16"/>
        <v>0</v>
      </c>
      <c r="M35" s="29">
        <f t="shared" si="16"/>
        <v>0</v>
      </c>
      <c r="N35" s="29">
        <f t="shared" si="16"/>
        <v>0</v>
      </c>
      <c r="O35" s="29">
        <f t="shared" si="16"/>
        <v>112058</v>
      </c>
      <c r="P35" s="29">
        <f t="shared" si="16"/>
        <v>28000</v>
      </c>
      <c r="Q35" s="29">
        <f t="shared" si="16"/>
        <v>0</v>
      </c>
      <c r="R35" s="29">
        <f t="shared" si="16"/>
        <v>40464</v>
      </c>
      <c r="S35" s="29">
        <f t="shared" si="16"/>
        <v>0</v>
      </c>
      <c r="T35" s="29">
        <f t="shared" si="16"/>
        <v>0</v>
      </c>
      <c r="U35" s="65"/>
      <c r="V35" s="29"/>
      <c r="W35" s="29"/>
      <c r="X35" s="29"/>
      <c r="Y35" s="29"/>
      <c r="Z35" s="29"/>
      <c r="AA35" s="29">
        <f t="shared" si="5"/>
        <v>0</v>
      </c>
      <c r="AC35" s="29"/>
      <c r="AF35" s="83">
        <f t="shared" si="9"/>
        <v>0</v>
      </c>
      <c r="AG35" s="83"/>
      <c r="AI35" s="83"/>
    </row>
    <row r="36" spans="1:35" s="38" customFormat="1" ht="24" customHeight="1">
      <c r="A36" s="57"/>
      <c r="B36" s="58" t="s">
        <v>690</v>
      </c>
      <c r="C36" s="29">
        <f t="shared" si="7"/>
        <v>104105</v>
      </c>
      <c r="D36" s="29">
        <f>8+393</f>
        <v>401</v>
      </c>
      <c r="E36" s="29">
        <f t="shared" si="10"/>
        <v>103704</v>
      </c>
      <c r="F36" s="29">
        <v>60</v>
      </c>
      <c r="G36" s="29"/>
      <c r="H36" s="29"/>
      <c r="I36" s="29"/>
      <c r="J36" s="29"/>
      <c r="K36" s="29"/>
      <c r="L36" s="29"/>
      <c r="M36" s="29"/>
      <c r="N36" s="29"/>
      <c r="O36" s="29">
        <f>58661+20000</f>
        <v>78661</v>
      </c>
      <c r="P36" s="29"/>
      <c r="Q36" s="29"/>
      <c r="R36" s="29">
        <f>-1393+26376</f>
        <v>24983</v>
      </c>
      <c r="S36" s="29"/>
      <c r="T36" s="29"/>
      <c r="U36" s="65">
        <v>-1393</v>
      </c>
      <c r="V36" s="29"/>
      <c r="W36" s="29"/>
      <c r="X36" s="29"/>
      <c r="Y36" s="29"/>
      <c r="Z36" s="29"/>
      <c r="AA36" s="29">
        <f t="shared" si="5"/>
        <v>0</v>
      </c>
      <c r="AB36" s="81"/>
      <c r="AC36" s="29"/>
      <c r="AF36" s="83">
        <f t="shared" si="9"/>
        <v>0</v>
      </c>
      <c r="AG36" s="83"/>
      <c r="AI36" s="83">
        <f>E36-U36-V36</f>
        <v>105097</v>
      </c>
    </row>
    <row r="37" spans="1:35" s="38" customFormat="1" ht="24" customHeight="1">
      <c r="A37" s="57"/>
      <c r="B37" s="58" t="s">
        <v>691</v>
      </c>
      <c r="C37" s="29">
        <f t="shared" si="7"/>
        <v>53743</v>
      </c>
      <c r="D37" s="29">
        <f>142+1838</f>
        <v>1980</v>
      </c>
      <c r="E37" s="29">
        <f t="shared" si="10"/>
        <v>51763</v>
      </c>
      <c r="F37" s="29"/>
      <c r="G37" s="29"/>
      <c r="H37" s="29"/>
      <c r="I37" s="29">
        <f>1993+1009-117</f>
        <v>2885</v>
      </c>
      <c r="J37" s="29"/>
      <c r="K37" s="29"/>
      <c r="L37" s="29"/>
      <c r="M37" s="29"/>
      <c r="N37" s="29"/>
      <c r="O37" s="76">
        <f>-1170-39233+68343+5457</f>
        <v>33397</v>
      </c>
      <c r="P37" s="29">
        <f>-39233+67233</f>
        <v>28000</v>
      </c>
      <c r="Q37" s="29"/>
      <c r="R37" s="29">
        <f>-2162+19109-1656+190</f>
        <v>15481</v>
      </c>
      <c r="S37" s="29"/>
      <c r="T37" s="29"/>
      <c r="U37" s="65">
        <v>-2162</v>
      </c>
      <c r="V37" s="29"/>
      <c r="W37" s="29">
        <f>-1656-117</f>
        <v>-1773</v>
      </c>
      <c r="X37" s="29"/>
      <c r="Y37" s="29"/>
      <c r="Z37" s="29">
        <v>190</v>
      </c>
      <c r="AA37" s="29">
        <f t="shared" si="5"/>
        <v>-1583</v>
      </c>
      <c r="AB37" s="81"/>
      <c r="AC37" s="29">
        <v>86709</v>
      </c>
      <c r="AE37" s="38">
        <f>1170+39233</f>
        <v>40403</v>
      </c>
      <c r="AF37" s="83">
        <f t="shared" si="9"/>
        <v>46306</v>
      </c>
      <c r="AG37" s="83">
        <f>E37-AF37</f>
        <v>5457</v>
      </c>
      <c r="AI37" s="83"/>
    </row>
    <row r="38" spans="1:35" ht="21.75" customHeight="1">
      <c r="A38" s="48">
        <v>9</v>
      </c>
      <c r="B38" s="44" t="s">
        <v>704</v>
      </c>
      <c r="C38" s="29">
        <f>C39+C40</f>
        <v>1068507</v>
      </c>
      <c r="D38" s="29">
        <f t="shared" ref="D38:T38" si="17">D39+D40</f>
        <v>12299</v>
      </c>
      <c r="E38" s="29">
        <f t="shared" si="17"/>
        <v>1056208</v>
      </c>
      <c r="F38" s="29">
        <f t="shared" si="17"/>
        <v>1029344</v>
      </c>
      <c r="G38" s="29">
        <f t="shared" si="17"/>
        <v>0</v>
      </c>
      <c r="H38" s="29">
        <f t="shared" si="17"/>
        <v>0</v>
      </c>
      <c r="I38" s="29">
        <f t="shared" si="17"/>
        <v>0</v>
      </c>
      <c r="J38" s="29">
        <f t="shared" si="17"/>
        <v>0</v>
      </c>
      <c r="K38" s="29">
        <f t="shared" si="17"/>
        <v>0</v>
      </c>
      <c r="L38" s="29">
        <f t="shared" si="17"/>
        <v>0</v>
      </c>
      <c r="M38" s="29">
        <f t="shared" si="17"/>
        <v>0</v>
      </c>
      <c r="N38" s="29">
        <f t="shared" si="17"/>
        <v>0</v>
      </c>
      <c r="O38" s="29">
        <f t="shared" si="17"/>
        <v>0</v>
      </c>
      <c r="P38" s="29">
        <f t="shared" si="17"/>
        <v>0</v>
      </c>
      <c r="Q38" s="29">
        <f t="shared" si="17"/>
        <v>0</v>
      </c>
      <c r="R38" s="29">
        <f t="shared" si="17"/>
        <v>26864</v>
      </c>
      <c r="S38" s="29">
        <f t="shared" si="17"/>
        <v>0</v>
      </c>
      <c r="T38" s="29">
        <f t="shared" si="17"/>
        <v>0</v>
      </c>
      <c r="U38" s="65"/>
      <c r="V38" s="29"/>
      <c r="W38" s="29"/>
      <c r="X38" s="29"/>
      <c r="Y38" s="29"/>
      <c r="Z38" s="29"/>
      <c r="AA38" s="29">
        <f t="shared" si="5"/>
        <v>0</v>
      </c>
      <c r="AC38" s="29"/>
      <c r="AF38" s="83">
        <f t="shared" si="9"/>
        <v>0</v>
      </c>
      <c r="AG38" s="83"/>
      <c r="AI38" s="83"/>
    </row>
    <row r="39" spans="1:35" s="68" customFormat="1" ht="37.5" customHeight="1">
      <c r="A39" s="73"/>
      <c r="B39" s="74" t="s">
        <v>690</v>
      </c>
      <c r="C39" s="75">
        <f t="shared" si="7"/>
        <v>786350</v>
      </c>
      <c r="D39" s="75">
        <v>5168</v>
      </c>
      <c r="E39" s="75">
        <f t="shared" si="10"/>
        <v>781182</v>
      </c>
      <c r="F39" s="75">
        <f>-17-153-20074+729572+56704</f>
        <v>766032</v>
      </c>
      <c r="G39" s="75"/>
      <c r="H39" s="75"/>
      <c r="I39" s="75"/>
      <c r="J39" s="75"/>
      <c r="K39" s="75"/>
      <c r="L39" s="75"/>
      <c r="M39" s="75"/>
      <c r="N39" s="75"/>
      <c r="O39" s="75"/>
      <c r="P39" s="75"/>
      <c r="Q39" s="75"/>
      <c r="R39" s="75">
        <f>17-430+15563</f>
        <v>15150</v>
      </c>
      <c r="S39" s="75"/>
      <c r="T39" s="75"/>
      <c r="U39" s="75">
        <f>-153-430</f>
        <v>-583</v>
      </c>
      <c r="V39" s="75">
        <v>-20074</v>
      </c>
      <c r="W39" s="75"/>
      <c r="X39" s="75"/>
      <c r="Y39" s="75"/>
      <c r="Z39" s="75"/>
      <c r="AA39" s="75">
        <f t="shared" si="5"/>
        <v>0</v>
      </c>
      <c r="AB39" s="84" t="s">
        <v>705</v>
      </c>
      <c r="AC39" s="75"/>
      <c r="AF39" s="85">
        <f t="shared" si="9"/>
        <v>0</v>
      </c>
      <c r="AG39" s="85"/>
      <c r="AI39" s="83">
        <f>E39-U39-V39</f>
        <v>801839</v>
      </c>
    </row>
    <row r="40" spans="1:35" s="38" customFormat="1" ht="24" customHeight="1">
      <c r="A40" s="57"/>
      <c r="B40" s="58" t="s">
        <v>691</v>
      </c>
      <c r="C40" s="29">
        <f t="shared" si="7"/>
        <v>282157</v>
      </c>
      <c r="D40" s="29">
        <v>7131</v>
      </c>
      <c r="E40" s="29">
        <f t="shared" si="10"/>
        <v>275026</v>
      </c>
      <c r="F40" s="29">
        <f>4+293619+9275-39586</f>
        <v>263312</v>
      </c>
      <c r="G40" s="29"/>
      <c r="H40" s="29"/>
      <c r="I40" s="29"/>
      <c r="J40" s="29"/>
      <c r="K40" s="29"/>
      <c r="L40" s="29"/>
      <c r="M40" s="29"/>
      <c r="N40" s="29"/>
      <c r="O40" s="29"/>
      <c r="P40" s="29"/>
      <c r="Q40" s="29"/>
      <c r="R40" s="29">
        <f>-552+12515-249</f>
        <v>11714</v>
      </c>
      <c r="S40" s="29"/>
      <c r="T40" s="29"/>
      <c r="U40" s="65">
        <v>-552</v>
      </c>
      <c r="V40" s="29"/>
      <c r="W40" s="29">
        <f>-249</f>
        <v>-249</v>
      </c>
      <c r="X40" s="29">
        <v>9275</v>
      </c>
      <c r="Y40" s="29"/>
      <c r="Z40" s="29"/>
      <c r="AA40" s="29">
        <f t="shared" si="5"/>
        <v>9026</v>
      </c>
      <c r="AB40" s="81"/>
      <c r="AC40" s="29">
        <v>314608</v>
      </c>
      <c r="AD40" s="38">
        <v>4</v>
      </c>
      <c r="AE40" s="38">
        <v>39586</v>
      </c>
      <c r="AF40" s="83">
        <f t="shared" si="9"/>
        <v>275026</v>
      </c>
      <c r="AG40" s="83">
        <f>E40-AF40</f>
        <v>0</v>
      </c>
      <c r="AI40" s="83"/>
    </row>
    <row r="41" spans="1:35" ht="19.5" customHeight="1">
      <c r="A41" s="48">
        <v>10</v>
      </c>
      <c r="B41" s="44" t="s">
        <v>706</v>
      </c>
      <c r="C41" s="29">
        <f>C42+C43</f>
        <v>823903</v>
      </c>
      <c r="D41" s="29">
        <f t="shared" ref="D41:T41" si="18">D42+D43</f>
        <v>8556</v>
      </c>
      <c r="E41" s="29">
        <f t="shared" si="18"/>
        <v>815347</v>
      </c>
      <c r="F41" s="29">
        <f t="shared" si="18"/>
        <v>1679</v>
      </c>
      <c r="G41" s="29">
        <f t="shared" si="18"/>
        <v>0</v>
      </c>
      <c r="H41" s="29">
        <f t="shared" si="18"/>
        <v>0</v>
      </c>
      <c r="I41" s="29">
        <f t="shared" si="18"/>
        <v>0</v>
      </c>
      <c r="J41" s="29">
        <f t="shared" si="18"/>
        <v>721492</v>
      </c>
      <c r="K41" s="29">
        <f t="shared" si="18"/>
        <v>0</v>
      </c>
      <c r="L41" s="29">
        <f t="shared" si="18"/>
        <v>0</v>
      </c>
      <c r="M41" s="29">
        <f t="shared" si="18"/>
        <v>0</v>
      </c>
      <c r="N41" s="29">
        <f t="shared" si="18"/>
        <v>0</v>
      </c>
      <c r="O41" s="29">
        <f t="shared" si="18"/>
        <v>6519</v>
      </c>
      <c r="P41" s="29">
        <f t="shared" si="18"/>
        <v>0</v>
      </c>
      <c r="Q41" s="29">
        <f t="shared" si="18"/>
        <v>0</v>
      </c>
      <c r="R41" s="29">
        <f t="shared" si="18"/>
        <v>31126</v>
      </c>
      <c r="S41" s="29">
        <f t="shared" si="18"/>
        <v>54531</v>
      </c>
      <c r="T41" s="29">
        <f t="shared" si="18"/>
        <v>0</v>
      </c>
      <c r="U41" s="65"/>
      <c r="V41" s="29"/>
      <c r="W41" s="29"/>
      <c r="X41" s="29"/>
      <c r="Y41" s="29"/>
      <c r="Z41" s="29"/>
      <c r="AA41" s="29">
        <f t="shared" si="5"/>
        <v>0</v>
      </c>
      <c r="AC41" s="29"/>
      <c r="AF41" s="83">
        <f t="shared" si="9"/>
        <v>0</v>
      </c>
      <c r="AG41" s="83"/>
      <c r="AI41" s="83"/>
    </row>
    <row r="42" spans="1:35" s="38" customFormat="1" ht="28.5" customHeight="1">
      <c r="A42" s="57"/>
      <c r="B42" s="58" t="s">
        <v>690</v>
      </c>
      <c r="C42" s="29">
        <f t="shared" si="7"/>
        <v>527053</v>
      </c>
      <c r="D42" s="29">
        <v>4616</v>
      </c>
      <c r="E42" s="29">
        <f t="shared" si="10"/>
        <v>522437</v>
      </c>
      <c r="F42" s="29"/>
      <c r="G42" s="29"/>
      <c r="H42" s="29"/>
      <c r="I42" s="29"/>
      <c r="J42" s="29">
        <f>11452+450778</f>
        <v>462230</v>
      </c>
      <c r="K42" s="29"/>
      <c r="L42" s="29"/>
      <c r="M42" s="29"/>
      <c r="N42" s="29"/>
      <c r="O42" s="29">
        <v>915</v>
      </c>
      <c r="P42" s="29"/>
      <c r="Q42" s="29"/>
      <c r="R42" s="29">
        <f>-495+15509</f>
        <v>15014</v>
      </c>
      <c r="S42" s="29">
        <v>44278</v>
      </c>
      <c r="T42" s="29"/>
      <c r="U42" s="65">
        <f>-'[3]35.NĐ 31. saudieuchinh'!$P$11</f>
        <v>-495</v>
      </c>
      <c r="V42" s="29">
        <v>11452</v>
      </c>
      <c r="W42" s="29"/>
      <c r="X42" s="29"/>
      <c r="Y42" s="29"/>
      <c r="Z42" s="29"/>
      <c r="AA42" s="29">
        <f t="shared" si="5"/>
        <v>0</v>
      </c>
      <c r="AB42" s="81" t="s">
        <v>707</v>
      </c>
      <c r="AC42" s="29"/>
      <c r="AF42" s="83">
        <f t="shared" si="9"/>
        <v>0</v>
      </c>
      <c r="AG42" s="83"/>
      <c r="AI42" s="83">
        <f>E42-U42-V42</f>
        <v>511480</v>
      </c>
    </row>
    <row r="43" spans="1:35" s="38" customFormat="1" ht="24" customHeight="1">
      <c r="A43" s="57"/>
      <c r="B43" s="58" t="s">
        <v>691</v>
      </c>
      <c r="C43" s="29">
        <f t="shared" si="7"/>
        <v>296850</v>
      </c>
      <c r="D43" s="29">
        <v>3940</v>
      </c>
      <c r="E43" s="29">
        <f t="shared" si="10"/>
        <v>292910</v>
      </c>
      <c r="F43" s="29">
        <v>1679</v>
      </c>
      <c r="G43" s="29"/>
      <c r="H43" s="29"/>
      <c r="I43" s="29"/>
      <c r="J43" s="29">
        <f>6+259334-78</f>
        <v>259262</v>
      </c>
      <c r="K43" s="29"/>
      <c r="L43" s="29"/>
      <c r="M43" s="29"/>
      <c r="N43" s="29"/>
      <c r="O43" s="29">
        <v>5604</v>
      </c>
      <c r="P43" s="29"/>
      <c r="Q43" s="29"/>
      <c r="R43" s="29">
        <f>-323+16682-247</f>
        <v>16112</v>
      </c>
      <c r="S43" s="29">
        <v>10253</v>
      </c>
      <c r="T43" s="29"/>
      <c r="U43" s="65">
        <v>-323</v>
      </c>
      <c r="V43" s="29"/>
      <c r="W43" s="29">
        <f>-247-78</f>
        <v>-325</v>
      </c>
      <c r="X43" s="29"/>
      <c r="Y43" s="29"/>
      <c r="Z43" s="29"/>
      <c r="AA43" s="29">
        <f t="shared" si="5"/>
        <v>-325</v>
      </c>
      <c r="AB43" s="81"/>
      <c r="AC43" s="29">
        <v>292904</v>
      </c>
      <c r="AD43" s="38">
        <v>6</v>
      </c>
      <c r="AF43" s="83">
        <f t="shared" si="9"/>
        <v>292910</v>
      </c>
      <c r="AG43" s="83">
        <f>E43-AF43</f>
        <v>0</v>
      </c>
      <c r="AI43" s="83"/>
    </row>
    <row r="44" spans="1:35" ht="24.75" customHeight="1">
      <c r="A44" s="48">
        <v>11</v>
      </c>
      <c r="B44" s="44" t="s">
        <v>708</v>
      </c>
      <c r="C44" s="29">
        <f>C45+C46</f>
        <v>313601</v>
      </c>
      <c r="D44" s="29">
        <f t="shared" ref="D44:T44" si="19">D45+D46</f>
        <v>3433</v>
      </c>
      <c r="E44" s="29">
        <f t="shared" si="19"/>
        <v>310168</v>
      </c>
      <c r="F44" s="29">
        <f t="shared" si="19"/>
        <v>0</v>
      </c>
      <c r="G44" s="29">
        <f t="shared" si="19"/>
        <v>0</v>
      </c>
      <c r="H44" s="29">
        <f t="shared" si="19"/>
        <v>0</v>
      </c>
      <c r="I44" s="29">
        <f t="shared" si="19"/>
        <v>0</v>
      </c>
      <c r="J44" s="29">
        <f t="shared" si="19"/>
        <v>294</v>
      </c>
      <c r="K44" s="29">
        <f t="shared" si="19"/>
        <v>152930</v>
      </c>
      <c r="L44" s="29">
        <f t="shared" si="19"/>
        <v>0</v>
      </c>
      <c r="M44" s="29">
        <f t="shared" si="19"/>
        <v>132716</v>
      </c>
      <c r="N44" s="29">
        <f t="shared" si="19"/>
        <v>0</v>
      </c>
      <c r="O44" s="29">
        <f t="shared" si="19"/>
        <v>1730</v>
      </c>
      <c r="P44" s="29">
        <f t="shared" si="19"/>
        <v>0</v>
      </c>
      <c r="Q44" s="29">
        <f t="shared" si="19"/>
        <v>0</v>
      </c>
      <c r="R44" s="29">
        <f t="shared" si="19"/>
        <v>22498</v>
      </c>
      <c r="S44" s="29">
        <f t="shared" si="19"/>
        <v>0</v>
      </c>
      <c r="T44" s="29">
        <f t="shared" si="19"/>
        <v>0</v>
      </c>
      <c r="U44" s="65"/>
      <c r="V44" s="29"/>
      <c r="W44" s="29"/>
      <c r="X44" s="29"/>
      <c r="Y44" s="29"/>
      <c r="Z44" s="29"/>
      <c r="AA44" s="29">
        <f t="shared" si="5"/>
        <v>0</v>
      </c>
      <c r="AC44" s="29"/>
      <c r="AF44" s="83">
        <f t="shared" si="9"/>
        <v>0</v>
      </c>
      <c r="AG44" s="83"/>
      <c r="AI44" s="83"/>
    </row>
    <row r="45" spans="1:35" s="38" customFormat="1" ht="24" customHeight="1">
      <c r="A45" s="57"/>
      <c r="B45" s="58" t="s">
        <v>690</v>
      </c>
      <c r="C45" s="29">
        <f t="shared" si="7"/>
        <v>259203</v>
      </c>
      <c r="D45" s="29">
        <v>770</v>
      </c>
      <c r="E45" s="29">
        <f>F45+G45+H45+I45+J45+K45+L45+M45+N45+O45+R45+S45+T45</f>
        <v>258433</v>
      </c>
      <c r="F45" s="29"/>
      <c r="G45" s="29"/>
      <c r="H45" s="29"/>
      <c r="I45" s="29"/>
      <c r="J45" s="29"/>
      <c r="K45" s="29">
        <f>-2950+127283+3788-1950</f>
        <v>126171</v>
      </c>
      <c r="L45" s="29"/>
      <c r="M45" s="29">
        <f>2950+115832</f>
        <v>118782</v>
      </c>
      <c r="N45" s="29"/>
      <c r="O45" s="29"/>
      <c r="P45" s="29"/>
      <c r="Q45" s="29"/>
      <c r="R45" s="29">
        <f>-626+14106</f>
        <v>13480</v>
      </c>
      <c r="S45" s="29"/>
      <c r="T45" s="29"/>
      <c r="U45" s="65">
        <v>-626</v>
      </c>
      <c r="V45" s="29">
        <v>3788</v>
      </c>
      <c r="W45" s="29"/>
      <c r="X45" s="29"/>
      <c r="Y45" s="29"/>
      <c r="Z45" s="29"/>
      <c r="AA45" s="29">
        <f t="shared" si="5"/>
        <v>0</v>
      </c>
      <c r="AB45" s="81"/>
      <c r="AC45" s="29"/>
      <c r="AF45" s="83">
        <f t="shared" si="9"/>
        <v>0</v>
      </c>
      <c r="AG45" s="83"/>
      <c r="AI45" s="83">
        <f>E45-U45-V45</f>
        <v>255271</v>
      </c>
    </row>
    <row r="46" spans="1:35" s="38" customFormat="1" ht="24" customHeight="1">
      <c r="A46" s="57"/>
      <c r="B46" s="58" t="s">
        <v>691</v>
      </c>
      <c r="C46" s="29">
        <f t="shared" si="7"/>
        <v>54398</v>
      </c>
      <c r="D46" s="29">
        <v>2663</v>
      </c>
      <c r="E46" s="29">
        <f t="shared" si="10"/>
        <v>51735</v>
      </c>
      <c r="F46" s="29"/>
      <c r="G46" s="29"/>
      <c r="H46" s="29"/>
      <c r="I46" s="29"/>
      <c r="J46" s="29">
        <v>294</v>
      </c>
      <c r="K46" s="29">
        <f>26980-531+310</f>
        <v>26759</v>
      </c>
      <c r="L46" s="29"/>
      <c r="M46" s="29">
        <v>13934</v>
      </c>
      <c r="N46" s="29"/>
      <c r="O46" s="29">
        <f>164+1566</f>
        <v>1730</v>
      </c>
      <c r="P46" s="29"/>
      <c r="Q46" s="29"/>
      <c r="R46" s="29">
        <f>-461+10538-1059</f>
        <v>9018</v>
      </c>
      <c r="S46" s="29"/>
      <c r="T46" s="29"/>
      <c r="U46" s="65">
        <v>-461</v>
      </c>
      <c r="V46" s="29"/>
      <c r="W46" s="29">
        <f>-1059-531</f>
        <v>-1590</v>
      </c>
      <c r="X46" s="29"/>
      <c r="Y46" s="29">
        <f>164+310</f>
        <v>474</v>
      </c>
      <c r="Z46" s="29"/>
      <c r="AA46" s="29">
        <f t="shared" si="5"/>
        <v>-1116</v>
      </c>
      <c r="AB46" s="81"/>
      <c r="AC46" s="29">
        <v>51735</v>
      </c>
      <c r="AF46" s="83">
        <f t="shared" si="9"/>
        <v>51735</v>
      </c>
      <c r="AG46" s="83">
        <f>E46-AF46</f>
        <v>0</v>
      </c>
      <c r="AI46" s="83"/>
    </row>
    <row r="47" spans="1:35" ht="19.5" customHeight="1">
      <c r="A47" s="48">
        <v>12</v>
      </c>
      <c r="B47" s="44" t="s">
        <v>709</v>
      </c>
      <c r="C47" s="29">
        <f>C48+C49</f>
        <v>148010</v>
      </c>
      <c r="D47" s="29">
        <f t="shared" ref="D47:T47" si="20">D48+D49</f>
        <v>2466</v>
      </c>
      <c r="E47" s="29">
        <f t="shared" si="20"/>
        <v>145544</v>
      </c>
      <c r="F47" s="29">
        <f t="shared" si="20"/>
        <v>1500</v>
      </c>
      <c r="G47" s="29">
        <f t="shared" si="20"/>
        <v>0</v>
      </c>
      <c r="H47" s="29">
        <f t="shared" si="20"/>
        <v>0</v>
      </c>
      <c r="I47" s="29">
        <f t="shared" si="20"/>
        <v>0</v>
      </c>
      <c r="J47" s="29">
        <f t="shared" si="20"/>
        <v>5600</v>
      </c>
      <c r="K47" s="29">
        <f t="shared" si="20"/>
        <v>0</v>
      </c>
      <c r="L47" s="29">
        <f t="shared" si="20"/>
        <v>0</v>
      </c>
      <c r="M47" s="29">
        <f t="shared" si="20"/>
        <v>0</v>
      </c>
      <c r="N47" s="29">
        <f t="shared" si="20"/>
        <v>0</v>
      </c>
      <c r="O47" s="29">
        <f t="shared" si="20"/>
        <v>22313</v>
      </c>
      <c r="P47" s="29">
        <f t="shared" si="20"/>
        <v>0</v>
      </c>
      <c r="Q47" s="29">
        <f t="shared" si="20"/>
        <v>0</v>
      </c>
      <c r="R47" s="29">
        <f t="shared" si="20"/>
        <v>83980</v>
      </c>
      <c r="S47" s="29">
        <f t="shared" si="20"/>
        <v>29480</v>
      </c>
      <c r="T47" s="29">
        <f t="shared" si="20"/>
        <v>2671</v>
      </c>
      <c r="U47" s="65"/>
      <c r="V47" s="29"/>
      <c r="W47" s="29"/>
      <c r="X47" s="29"/>
      <c r="Y47" s="29"/>
      <c r="Z47" s="29"/>
      <c r="AA47" s="29">
        <f t="shared" si="5"/>
        <v>0</v>
      </c>
      <c r="AC47" s="29"/>
      <c r="AF47" s="83">
        <f t="shared" si="9"/>
        <v>0</v>
      </c>
      <c r="AG47" s="83"/>
      <c r="AI47" s="83"/>
    </row>
    <row r="48" spans="1:35" s="38" customFormat="1" ht="24" customHeight="1">
      <c r="A48" s="57"/>
      <c r="B48" s="58" t="s">
        <v>690</v>
      </c>
      <c r="C48" s="29">
        <f t="shared" si="7"/>
        <v>109439</v>
      </c>
      <c r="D48" s="29">
        <v>1191</v>
      </c>
      <c r="E48" s="29">
        <f>F48+G48+H48+I48+J48+K48+L48+M48+N48+O48+R48+S48+T48</f>
        <v>108248</v>
      </c>
      <c r="F48" s="29">
        <v>1500</v>
      </c>
      <c r="G48" s="29"/>
      <c r="H48" s="29"/>
      <c r="I48" s="29"/>
      <c r="J48" s="29">
        <v>5600</v>
      </c>
      <c r="K48" s="29"/>
      <c r="L48" s="29"/>
      <c r="M48" s="29"/>
      <c r="N48" s="29"/>
      <c r="O48" s="29">
        <v>20462</v>
      </c>
      <c r="P48" s="29"/>
      <c r="Q48" s="29"/>
      <c r="R48" s="29">
        <f>-752+60861</f>
        <v>60109</v>
      </c>
      <c r="S48" s="29">
        <v>20577</v>
      </c>
      <c r="T48" s="29"/>
      <c r="U48" s="65">
        <v>-752</v>
      </c>
      <c r="V48" s="29"/>
      <c r="W48" s="29"/>
      <c r="X48" s="29"/>
      <c r="Y48" s="29"/>
      <c r="Z48" s="29"/>
      <c r="AA48" s="29">
        <f t="shared" si="5"/>
        <v>0</v>
      </c>
      <c r="AB48" s="81"/>
      <c r="AC48" s="29"/>
      <c r="AF48" s="83">
        <f t="shared" si="9"/>
        <v>0</v>
      </c>
      <c r="AG48" s="83"/>
      <c r="AI48" s="83">
        <f>E48-U48-V48</f>
        <v>109000</v>
      </c>
    </row>
    <row r="49" spans="1:36" s="38" customFormat="1" ht="24" customHeight="1">
      <c r="A49" s="57"/>
      <c r="B49" s="58" t="s">
        <v>691</v>
      </c>
      <c r="C49" s="29">
        <f t="shared" si="7"/>
        <v>38571</v>
      </c>
      <c r="D49" s="29">
        <v>1275</v>
      </c>
      <c r="E49" s="29">
        <f t="shared" si="10"/>
        <v>37296</v>
      </c>
      <c r="F49" s="29"/>
      <c r="G49" s="29"/>
      <c r="H49" s="29"/>
      <c r="I49" s="29"/>
      <c r="J49" s="29"/>
      <c r="K49" s="29"/>
      <c r="L49" s="29"/>
      <c r="M49" s="29"/>
      <c r="N49" s="29"/>
      <c r="O49" s="29">
        <f>24+2024-197</f>
        <v>1851</v>
      </c>
      <c r="P49" s="29"/>
      <c r="Q49" s="29"/>
      <c r="R49" s="29">
        <f>-418+25917-1628</f>
        <v>23871</v>
      </c>
      <c r="S49" s="29">
        <v>8903</v>
      </c>
      <c r="T49" s="29">
        <f>-61+2732</f>
        <v>2671</v>
      </c>
      <c r="U49" s="65">
        <v>-418</v>
      </c>
      <c r="V49" s="29"/>
      <c r="W49" s="29">
        <f>-1628-197-61</f>
        <v>-1886</v>
      </c>
      <c r="X49" s="29"/>
      <c r="Y49" s="29"/>
      <c r="Z49" s="29"/>
      <c r="AA49" s="29">
        <f t="shared" si="5"/>
        <v>-1886</v>
      </c>
      <c r="AB49" s="81"/>
      <c r="AC49" s="29">
        <v>37272</v>
      </c>
      <c r="AD49" s="38">
        <v>24</v>
      </c>
      <c r="AF49" s="83">
        <f t="shared" si="9"/>
        <v>37296</v>
      </c>
      <c r="AG49" s="83">
        <f>E49-AF49</f>
        <v>0</v>
      </c>
      <c r="AI49" s="83"/>
    </row>
    <row r="50" spans="1:36" ht="19.5" customHeight="1">
      <c r="A50" s="48">
        <v>13</v>
      </c>
      <c r="B50" s="44" t="s">
        <v>710</v>
      </c>
      <c r="C50" s="29">
        <f>C51+C52</f>
        <v>37555</v>
      </c>
      <c r="D50" s="29">
        <f t="shared" ref="D50:T50" si="21">D51+D52</f>
        <v>287</v>
      </c>
      <c r="E50" s="29">
        <f t="shared" si="21"/>
        <v>37268</v>
      </c>
      <c r="F50" s="29">
        <f t="shared" si="21"/>
        <v>0</v>
      </c>
      <c r="G50" s="29">
        <f t="shared" si="21"/>
        <v>0</v>
      </c>
      <c r="H50" s="29">
        <f t="shared" si="21"/>
        <v>0</v>
      </c>
      <c r="I50" s="29">
        <f t="shared" si="21"/>
        <v>0</v>
      </c>
      <c r="J50" s="29">
        <f t="shared" si="21"/>
        <v>0</v>
      </c>
      <c r="K50" s="29">
        <f t="shared" si="21"/>
        <v>0</v>
      </c>
      <c r="L50" s="29">
        <f t="shared" si="21"/>
        <v>0</v>
      </c>
      <c r="M50" s="29">
        <f t="shared" si="21"/>
        <v>0</v>
      </c>
      <c r="N50" s="29">
        <f t="shared" si="21"/>
        <v>0</v>
      </c>
      <c r="O50" s="29">
        <f t="shared" si="21"/>
        <v>0</v>
      </c>
      <c r="P50" s="29">
        <f t="shared" si="21"/>
        <v>0</v>
      </c>
      <c r="Q50" s="29">
        <f t="shared" si="21"/>
        <v>0</v>
      </c>
      <c r="R50" s="29">
        <f t="shared" si="21"/>
        <v>37268</v>
      </c>
      <c r="S50" s="29">
        <f t="shared" si="21"/>
        <v>0</v>
      </c>
      <c r="T50" s="29">
        <f t="shared" si="21"/>
        <v>0</v>
      </c>
      <c r="U50" s="65"/>
      <c r="V50" s="29"/>
      <c r="W50" s="29"/>
      <c r="X50" s="29"/>
      <c r="Y50" s="29"/>
      <c r="Z50" s="29"/>
      <c r="AA50" s="29">
        <f t="shared" si="5"/>
        <v>0</v>
      </c>
      <c r="AC50" s="29"/>
      <c r="AF50" s="83">
        <f t="shared" si="9"/>
        <v>0</v>
      </c>
      <c r="AG50" s="83"/>
      <c r="AI50" s="83"/>
    </row>
    <row r="51" spans="1:36" s="38" customFormat="1" ht="24" customHeight="1">
      <c r="A51" s="57"/>
      <c r="B51" s="58" t="s">
        <v>690</v>
      </c>
      <c r="C51" s="29">
        <f t="shared" si="7"/>
        <v>22387</v>
      </c>
      <c r="D51" s="29">
        <v>141</v>
      </c>
      <c r="E51" s="29">
        <f t="shared" si="10"/>
        <v>22246</v>
      </c>
      <c r="F51" s="29"/>
      <c r="G51" s="29"/>
      <c r="H51" s="29"/>
      <c r="I51" s="29"/>
      <c r="J51" s="29"/>
      <c r="K51" s="29"/>
      <c r="L51" s="29"/>
      <c r="M51" s="29"/>
      <c r="N51" s="29"/>
      <c r="O51" s="29"/>
      <c r="P51" s="29"/>
      <c r="Q51" s="29"/>
      <c r="R51" s="29">
        <f>8226+14020</f>
        <v>22246</v>
      </c>
      <c r="S51" s="29"/>
      <c r="T51" s="29"/>
      <c r="U51" s="65">
        <f>709+7517</f>
        <v>8226</v>
      </c>
      <c r="V51" s="29"/>
      <c r="W51" s="29"/>
      <c r="X51" s="29"/>
      <c r="Y51" s="29"/>
      <c r="Z51" s="29"/>
      <c r="AA51" s="29">
        <f t="shared" si="5"/>
        <v>0</v>
      </c>
      <c r="AB51" s="86"/>
      <c r="AC51" s="29"/>
      <c r="AF51" s="83">
        <f t="shared" si="9"/>
        <v>0</v>
      </c>
      <c r="AG51" s="83"/>
      <c r="AI51" s="85">
        <f>E51-U51-V51</f>
        <v>14020</v>
      </c>
    </row>
    <row r="52" spans="1:36" s="38" customFormat="1" ht="24" customHeight="1">
      <c r="A52" s="57"/>
      <c r="B52" s="58" t="s">
        <v>691</v>
      </c>
      <c r="C52" s="29">
        <f t="shared" si="7"/>
        <v>15168</v>
      </c>
      <c r="D52" s="29">
        <v>146</v>
      </c>
      <c r="E52" s="29">
        <f t="shared" si="10"/>
        <v>15022</v>
      </c>
      <c r="F52" s="29"/>
      <c r="G52" s="29"/>
      <c r="H52" s="29"/>
      <c r="I52" s="29"/>
      <c r="J52" s="29"/>
      <c r="K52" s="29"/>
      <c r="L52" s="29"/>
      <c r="M52" s="29"/>
      <c r="N52" s="29"/>
      <c r="O52" s="29"/>
      <c r="P52" s="29"/>
      <c r="Q52" s="29"/>
      <c r="R52" s="29">
        <f>6991+8573-401-141</f>
        <v>15022</v>
      </c>
      <c r="S52" s="29"/>
      <c r="T52" s="29"/>
      <c r="U52" s="65">
        <v>6991</v>
      </c>
      <c r="V52" s="29"/>
      <c r="W52" s="29">
        <f>-141</f>
        <v>-141</v>
      </c>
      <c r="X52" s="29"/>
      <c r="Y52" s="29"/>
      <c r="Z52" s="29"/>
      <c r="AA52" s="29">
        <f t="shared" si="5"/>
        <v>-141</v>
      </c>
      <c r="AB52" s="81"/>
      <c r="AC52" s="29">
        <v>15423</v>
      </c>
      <c r="AE52" s="38">
        <v>401</v>
      </c>
      <c r="AF52" s="83">
        <f t="shared" si="9"/>
        <v>15022</v>
      </c>
      <c r="AG52" s="83">
        <f>E52-AF52</f>
        <v>0</v>
      </c>
      <c r="AI52" s="83"/>
    </row>
    <row r="53" spans="1:36" ht="19.5" customHeight="1">
      <c r="A53" s="48">
        <v>14</v>
      </c>
      <c r="B53" s="44" t="s">
        <v>711</v>
      </c>
      <c r="C53" s="29">
        <f>C54+C55</f>
        <v>20490</v>
      </c>
      <c r="D53" s="29">
        <f t="shared" ref="D53:T53" si="22">D54+D55</f>
        <v>223</v>
      </c>
      <c r="E53" s="29">
        <f t="shared" si="22"/>
        <v>20267</v>
      </c>
      <c r="F53" s="29">
        <f t="shared" si="22"/>
        <v>0</v>
      </c>
      <c r="G53" s="29">
        <f t="shared" si="22"/>
        <v>0</v>
      </c>
      <c r="H53" s="29">
        <f t="shared" si="22"/>
        <v>0</v>
      </c>
      <c r="I53" s="29">
        <f t="shared" si="22"/>
        <v>0</v>
      </c>
      <c r="J53" s="29">
        <f t="shared" si="22"/>
        <v>0</v>
      </c>
      <c r="K53" s="29">
        <f t="shared" si="22"/>
        <v>0</v>
      </c>
      <c r="L53" s="29">
        <f t="shared" si="22"/>
        <v>0</v>
      </c>
      <c r="M53" s="29">
        <f t="shared" si="22"/>
        <v>0</v>
      </c>
      <c r="N53" s="29">
        <f t="shared" si="22"/>
        <v>0</v>
      </c>
      <c r="O53" s="29">
        <f t="shared" si="22"/>
        <v>0</v>
      </c>
      <c r="P53" s="29">
        <f t="shared" si="22"/>
        <v>0</v>
      </c>
      <c r="Q53" s="29">
        <f t="shared" si="22"/>
        <v>0</v>
      </c>
      <c r="R53" s="29">
        <f t="shared" si="22"/>
        <v>20267</v>
      </c>
      <c r="S53" s="29">
        <f t="shared" si="22"/>
        <v>0</v>
      </c>
      <c r="T53" s="29">
        <f t="shared" si="22"/>
        <v>0</v>
      </c>
      <c r="U53" s="65"/>
      <c r="V53" s="29"/>
      <c r="W53" s="29"/>
      <c r="X53" s="29"/>
      <c r="Y53" s="29"/>
      <c r="Z53" s="29"/>
      <c r="AA53" s="29">
        <f t="shared" si="5"/>
        <v>0</v>
      </c>
      <c r="AC53" s="29"/>
      <c r="AF53" s="83">
        <f t="shared" si="9"/>
        <v>0</v>
      </c>
      <c r="AG53" s="83"/>
      <c r="AI53" s="83"/>
    </row>
    <row r="54" spans="1:36" s="38" customFormat="1" ht="24" customHeight="1">
      <c r="A54" s="57"/>
      <c r="B54" s="58" t="s">
        <v>690</v>
      </c>
      <c r="C54" s="29">
        <f t="shared" si="7"/>
        <v>13604</v>
      </c>
      <c r="D54" s="29">
        <v>66</v>
      </c>
      <c r="E54" s="29">
        <f t="shared" si="10"/>
        <v>13538</v>
      </c>
      <c r="F54" s="29"/>
      <c r="G54" s="29"/>
      <c r="H54" s="29"/>
      <c r="I54" s="29"/>
      <c r="J54" s="29"/>
      <c r="K54" s="29"/>
      <c r="L54" s="29"/>
      <c r="M54" s="29"/>
      <c r="N54" s="29"/>
      <c r="O54" s="29"/>
      <c r="P54" s="29"/>
      <c r="Q54" s="29"/>
      <c r="R54" s="29">
        <f>-321+13859</f>
        <v>13538</v>
      </c>
      <c r="S54" s="29"/>
      <c r="T54" s="29"/>
      <c r="U54" s="65">
        <v>-321</v>
      </c>
      <c r="V54" s="29"/>
      <c r="W54" s="29"/>
      <c r="X54" s="29"/>
      <c r="Y54" s="29"/>
      <c r="Z54" s="29"/>
      <c r="AA54" s="29">
        <f t="shared" si="5"/>
        <v>0</v>
      </c>
      <c r="AB54" s="81"/>
      <c r="AC54" s="29"/>
      <c r="AF54" s="83">
        <f t="shared" si="9"/>
        <v>0</v>
      </c>
      <c r="AG54" s="83"/>
      <c r="AI54" s="83">
        <f>E54-U54-V54</f>
        <v>13859</v>
      </c>
    </row>
    <row r="55" spans="1:36" s="38" customFormat="1" ht="24" customHeight="1">
      <c r="A55" s="57"/>
      <c r="B55" s="58" t="s">
        <v>691</v>
      </c>
      <c r="C55" s="29">
        <f t="shared" si="7"/>
        <v>6886</v>
      </c>
      <c r="D55" s="29">
        <v>157</v>
      </c>
      <c r="E55" s="29">
        <f t="shared" si="10"/>
        <v>6729</v>
      </c>
      <c r="F55" s="29"/>
      <c r="G55" s="29"/>
      <c r="H55" s="29"/>
      <c r="I55" s="29"/>
      <c r="J55" s="29"/>
      <c r="K55" s="29"/>
      <c r="L55" s="29"/>
      <c r="M55" s="29"/>
      <c r="N55" s="29"/>
      <c r="O55" s="29"/>
      <c r="P55" s="29"/>
      <c r="Q55" s="29"/>
      <c r="R55" s="29">
        <f>-235+6964</f>
        <v>6729</v>
      </c>
      <c r="S55" s="29"/>
      <c r="T55" s="29"/>
      <c r="U55" s="65"/>
      <c r="V55" s="29"/>
      <c r="W55" s="29">
        <f>-235</f>
        <v>-235</v>
      </c>
      <c r="X55" s="29"/>
      <c r="Y55" s="29"/>
      <c r="Z55" s="29"/>
      <c r="AA55" s="29">
        <f t="shared" si="5"/>
        <v>-235</v>
      </c>
      <c r="AB55" s="81"/>
      <c r="AC55" s="29">
        <v>6729</v>
      </c>
      <c r="AF55" s="83">
        <f t="shared" si="9"/>
        <v>6729</v>
      </c>
      <c r="AG55" s="83">
        <f>E55-AF55</f>
        <v>0</v>
      </c>
      <c r="AI55" s="83"/>
    </row>
    <row r="56" spans="1:36" ht="35.25" customHeight="1">
      <c r="A56" s="48">
        <v>15</v>
      </c>
      <c r="B56" s="44" t="s">
        <v>712</v>
      </c>
      <c r="C56" s="29">
        <f>C57+C58</f>
        <v>22397</v>
      </c>
      <c r="D56" s="29">
        <f t="shared" ref="D56:T56" si="23">D57+D58</f>
        <v>239</v>
      </c>
      <c r="E56" s="29">
        <f t="shared" si="23"/>
        <v>22158</v>
      </c>
      <c r="F56" s="29">
        <f t="shared" si="23"/>
        <v>379</v>
      </c>
      <c r="G56" s="29">
        <f t="shared" si="23"/>
        <v>0</v>
      </c>
      <c r="H56" s="29">
        <f t="shared" si="23"/>
        <v>0</v>
      </c>
      <c r="I56" s="29">
        <f t="shared" si="23"/>
        <v>0</v>
      </c>
      <c r="J56" s="29">
        <f t="shared" si="23"/>
        <v>0</v>
      </c>
      <c r="K56" s="29">
        <f t="shared" si="23"/>
        <v>0</v>
      </c>
      <c r="L56" s="29">
        <f t="shared" si="23"/>
        <v>0</v>
      </c>
      <c r="M56" s="29">
        <f t="shared" si="23"/>
        <v>0</v>
      </c>
      <c r="N56" s="29">
        <f t="shared" si="23"/>
        <v>0</v>
      </c>
      <c r="O56" s="29">
        <f t="shared" si="23"/>
        <v>9676</v>
      </c>
      <c r="P56" s="29">
        <f t="shared" si="23"/>
        <v>0</v>
      </c>
      <c r="Q56" s="29">
        <f t="shared" si="23"/>
        <v>0</v>
      </c>
      <c r="R56" s="29">
        <f t="shared" si="23"/>
        <v>12103</v>
      </c>
      <c r="S56" s="29">
        <f t="shared" si="23"/>
        <v>0</v>
      </c>
      <c r="T56" s="29">
        <f t="shared" si="23"/>
        <v>0</v>
      </c>
      <c r="U56" s="65"/>
      <c r="V56" s="29"/>
      <c r="W56" s="29"/>
      <c r="X56" s="29"/>
      <c r="Y56" s="29"/>
      <c r="Z56" s="29"/>
      <c r="AA56" s="29">
        <f t="shared" si="5"/>
        <v>0</v>
      </c>
      <c r="AC56" s="29"/>
      <c r="AF56" s="83">
        <f t="shared" si="9"/>
        <v>0</v>
      </c>
      <c r="AG56" s="83"/>
      <c r="AI56" s="83"/>
    </row>
    <row r="57" spans="1:36" s="38" customFormat="1" ht="24" customHeight="1">
      <c r="A57" s="57"/>
      <c r="B57" s="58" t="s">
        <v>690</v>
      </c>
      <c r="C57" s="29">
        <f t="shared" si="7"/>
        <v>16533</v>
      </c>
      <c r="D57" s="29">
        <v>141</v>
      </c>
      <c r="E57" s="29">
        <f t="shared" si="10"/>
        <v>16392</v>
      </c>
      <c r="F57" s="29">
        <v>379</v>
      </c>
      <c r="G57" s="29"/>
      <c r="H57" s="29"/>
      <c r="I57" s="29"/>
      <c r="J57" s="29"/>
      <c r="K57" s="29"/>
      <c r="L57" s="29"/>
      <c r="M57" s="29"/>
      <c r="N57" s="29"/>
      <c r="O57" s="29">
        <v>6840</v>
      </c>
      <c r="P57" s="29"/>
      <c r="Q57" s="29"/>
      <c r="R57" s="29">
        <v>9173</v>
      </c>
      <c r="S57" s="29"/>
      <c r="T57" s="29"/>
      <c r="U57" s="65"/>
      <c r="V57" s="29"/>
      <c r="W57" s="29"/>
      <c r="X57" s="29"/>
      <c r="Y57" s="29"/>
      <c r="Z57" s="29"/>
      <c r="AA57" s="29">
        <f t="shared" si="5"/>
        <v>0</v>
      </c>
      <c r="AB57" s="81"/>
      <c r="AC57" s="29"/>
      <c r="AF57" s="83">
        <f t="shared" si="9"/>
        <v>0</v>
      </c>
      <c r="AG57" s="83"/>
      <c r="AI57" s="83">
        <f>E57-U57-V57</f>
        <v>16392</v>
      </c>
    </row>
    <row r="58" spans="1:36" s="38" customFormat="1" ht="24" customHeight="1">
      <c r="A58" s="57"/>
      <c r="B58" s="58" t="s">
        <v>691</v>
      </c>
      <c r="C58" s="29">
        <f t="shared" si="7"/>
        <v>5864</v>
      </c>
      <c r="D58" s="29">
        <v>98</v>
      </c>
      <c r="E58" s="29">
        <f t="shared" si="10"/>
        <v>5766</v>
      </c>
      <c r="F58" s="29"/>
      <c r="G58" s="29"/>
      <c r="H58" s="29"/>
      <c r="I58" s="29"/>
      <c r="J58" s="29"/>
      <c r="K58" s="29"/>
      <c r="L58" s="29"/>
      <c r="M58" s="29"/>
      <c r="N58" s="29"/>
      <c r="O58" s="29">
        <v>2836</v>
      </c>
      <c r="P58" s="29"/>
      <c r="Q58" s="29"/>
      <c r="R58" s="29">
        <f>-191+3121</f>
        <v>2930</v>
      </c>
      <c r="S58" s="29"/>
      <c r="T58" s="29"/>
      <c r="U58" s="65"/>
      <c r="V58" s="29"/>
      <c r="W58" s="29">
        <v>-191</v>
      </c>
      <c r="X58" s="29"/>
      <c r="Y58" s="29"/>
      <c r="Z58" s="29"/>
      <c r="AA58" s="29">
        <f t="shared" si="5"/>
        <v>-191</v>
      </c>
      <c r="AB58" s="81"/>
      <c r="AC58" s="29">
        <v>5766</v>
      </c>
      <c r="AF58" s="83">
        <f t="shared" si="9"/>
        <v>5766</v>
      </c>
      <c r="AG58" s="83">
        <f>E58-AF58</f>
        <v>0</v>
      </c>
      <c r="AI58" s="83"/>
    </row>
    <row r="59" spans="1:36" ht="19.5" customHeight="1">
      <c r="A59" s="48">
        <v>16</v>
      </c>
      <c r="B59" s="44" t="s">
        <v>713</v>
      </c>
      <c r="C59" s="29">
        <f>C60</f>
        <v>16988</v>
      </c>
      <c r="D59" s="29">
        <f t="shared" ref="D59:T59" si="24">D60</f>
        <v>157</v>
      </c>
      <c r="E59" s="29">
        <f t="shared" si="24"/>
        <v>16831</v>
      </c>
      <c r="F59" s="29">
        <f t="shared" si="24"/>
        <v>0</v>
      </c>
      <c r="G59" s="29">
        <f t="shared" si="24"/>
        <v>0</v>
      </c>
      <c r="H59" s="29">
        <f t="shared" si="24"/>
        <v>0</v>
      </c>
      <c r="I59" s="29">
        <f t="shared" si="24"/>
        <v>0</v>
      </c>
      <c r="J59" s="29">
        <f t="shared" si="24"/>
        <v>0</v>
      </c>
      <c r="K59" s="29">
        <f t="shared" si="24"/>
        <v>0</v>
      </c>
      <c r="L59" s="29">
        <f t="shared" si="24"/>
        <v>0</v>
      </c>
      <c r="M59" s="29">
        <f t="shared" si="24"/>
        <v>0</v>
      </c>
      <c r="N59" s="29">
        <f t="shared" si="24"/>
        <v>11768</v>
      </c>
      <c r="O59" s="29">
        <f t="shared" si="24"/>
        <v>5063</v>
      </c>
      <c r="P59" s="29">
        <f t="shared" si="24"/>
        <v>0</v>
      </c>
      <c r="Q59" s="29">
        <f t="shared" si="24"/>
        <v>0</v>
      </c>
      <c r="R59" s="29">
        <f t="shared" si="24"/>
        <v>0</v>
      </c>
      <c r="S59" s="29">
        <f t="shared" si="24"/>
        <v>0</v>
      </c>
      <c r="T59" s="29">
        <f t="shared" si="24"/>
        <v>0</v>
      </c>
      <c r="U59" s="65"/>
      <c r="V59" s="29"/>
      <c r="W59" s="29"/>
      <c r="X59" s="29"/>
      <c r="Y59" s="29"/>
      <c r="Z59" s="29"/>
      <c r="AA59" s="29">
        <f t="shared" si="5"/>
        <v>0</v>
      </c>
      <c r="AC59" s="29"/>
      <c r="AF59" s="83">
        <f t="shared" si="9"/>
        <v>0</v>
      </c>
      <c r="AG59" s="83"/>
      <c r="AI59" s="83"/>
    </row>
    <row r="60" spans="1:36" s="38" customFormat="1" ht="24" customHeight="1">
      <c r="A60" s="57"/>
      <c r="B60" s="58" t="s">
        <v>691</v>
      </c>
      <c r="C60" s="29">
        <f t="shared" si="7"/>
        <v>16988</v>
      </c>
      <c r="D60" s="29">
        <v>157</v>
      </c>
      <c r="E60" s="29">
        <f t="shared" si="10"/>
        <v>16831</v>
      </c>
      <c r="F60" s="29"/>
      <c r="G60" s="29"/>
      <c r="H60" s="29"/>
      <c r="I60" s="29"/>
      <c r="J60" s="29"/>
      <c r="K60" s="29"/>
      <c r="L60" s="29"/>
      <c r="M60" s="29"/>
      <c r="N60" s="29">
        <v>11768</v>
      </c>
      <c r="O60" s="29">
        <v>5063</v>
      </c>
      <c r="P60" s="29"/>
      <c r="Q60" s="29"/>
      <c r="R60" s="29"/>
      <c r="S60" s="29"/>
      <c r="T60" s="29"/>
      <c r="U60" s="65"/>
      <c r="V60" s="29"/>
      <c r="W60" s="29"/>
      <c r="X60" s="29"/>
      <c r="Y60" s="29"/>
      <c r="Z60" s="29"/>
      <c r="AA60" s="29">
        <f t="shared" si="5"/>
        <v>0</v>
      </c>
      <c r="AB60" s="81"/>
      <c r="AC60" s="29">
        <v>16831</v>
      </c>
      <c r="AF60" s="83">
        <f t="shared" si="9"/>
        <v>16831</v>
      </c>
      <c r="AG60" s="83">
        <f>E60-AF60</f>
        <v>0</v>
      </c>
      <c r="AI60" s="83"/>
    </row>
    <row r="61" spans="1:36" ht="19.5" customHeight="1">
      <c r="A61" s="48">
        <v>17</v>
      </c>
      <c r="B61" s="44" t="s">
        <v>714</v>
      </c>
      <c r="C61" s="29"/>
      <c r="D61" s="29"/>
      <c r="E61" s="29"/>
      <c r="F61" s="29"/>
      <c r="G61" s="29"/>
      <c r="H61" s="29"/>
      <c r="I61" s="29"/>
      <c r="J61" s="29"/>
      <c r="K61" s="29"/>
      <c r="L61" s="29"/>
      <c r="M61" s="29"/>
      <c r="N61" s="29"/>
      <c r="O61" s="29"/>
      <c r="P61" s="29"/>
      <c r="Q61" s="29"/>
      <c r="R61" s="29"/>
      <c r="S61" s="29"/>
      <c r="T61" s="29"/>
      <c r="U61" s="65"/>
      <c r="V61" s="29"/>
      <c r="W61" s="29"/>
      <c r="X61" s="29"/>
      <c r="Y61" s="29"/>
      <c r="Z61" s="29"/>
      <c r="AA61" s="29">
        <f t="shared" si="5"/>
        <v>0</v>
      </c>
      <c r="AC61" s="29"/>
      <c r="AF61" s="83">
        <f t="shared" si="9"/>
        <v>0</v>
      </c>
      <c r="AG61" s="83">
        <f>E61-AF61</f>
        <v>0</v>
      </c>
      <c r="AI61" s="83">
        <f>E61-U61-V61</f>
        <v>0</v>
      </c>
    </row>
    <row r="62" spans="1:36" s="38" customFormat="1" ht="24" customHeight="1">
      <c r="A62" s="57"/>
      <c r="B62" s="58" t="s">
        <v>691</v>
      </c>
      <c r="C62" s="29"/>
      <c r="D62" s="29"/>
      <c r="E62" s="29"/>
      <c r="F62" s="29"/>
      <c r="G62" s="29"/>
      <c r="H62" s="29"/>
      <c r="I62" s="29"/>
      <c r="J62" s="29"/>
      <c r="K62" s="29"/>
      <c r="L62" s="29"/>
      <c r="M62" s="29"/>
      <c r="N62" s="29"/>
      <c r="O62" s="29"/>
      <c r="P62" s="29"/>
      <c r="Q62" s="29"/>
      <c r="R62" s="29"/>
      <c r="S62" s="29"/>
      <c r="T62" s="29"/>
      <c r="U62" s="65"/>
      <c r="V62" s="29"/>
      <c r="W62" s="29"/>
      <c r="X62" s="29"/>
      <c r="Y62" s="29"/>
      <c r="Z62" s="29"/>
      <c r="AA62" s="29">
        <f t="shared" si="5"/>
        <v>0</v>
      </c>
      <c r="AB62" s="81"/>
      <c r="AC62" s="29"/>
      <c r="AF62" s="83">
        <f t="shared" si="9"/>
        <v>0</v>
      </c>
      <c r="AG62" s="83">
        <f>E62-AF62</f>
        <v>0</v>
      </c>
      <c r="AI62" s="83">
        <f>E62-U62-V62</f>
        <v>0</v>
      </c>
    </row>
    <row r="63" spans="1:36" s="26" customFormat="1" ht="22.5" customHeight="1">
      <c r="A63" s="54" t="s">
        <v>14</v>
      </c>
      <c r="B63" s="55" t="s">
        <v>715</v>
      </c>
      <c r="C63" s="30">
        <f>C64+C80+C83+C88+C91+C94+C97+C100+C103+C105+C108+C111+C114+C117+C120+C122+C124+C126+C128+C131</f>
        <v>127235</v>
      </c>
      <c r="D63" s="30">
        <f t="shared" ref="D63:V63" si="25">D64+D80+D83+D88+D91+D94+D97+D100+D103+D105+D108+D111+D114+D117+D120+D122+D124+D126+D128+D131</f>
        <v>1404</v>
      </c>
      <c r="E63" s="30">
        <f t="shared" si="25"/>
        <v>125831</v>
      </c>
      <c r="F63" s="30">
        <f t="shared" si="25"/>
        <v>0</v>
      </c>
      <c r="G63" s="30">
        <f t="shared" si="25"/>
        <v>192</v>
      </c>
      <c r="H63" s="30">
        <f t="shared" si="25"/>
        <v>0</v>
      </c>
      <c r="I63" s="30">
        <f t="shared" si="25"/>
        <v>0</v>
      </c>
      <c r="J63" s="30">
        <f t="shared" si="25"/>
        <v>0</v>
      </c>
      <c r="K63" s="30">
        <f t="shared" si="25"/>
        <v>0</v>
      </c>
      <c r="L63" s="30">
        <f t="shared" si="25"/>
        <v>0</v>
      </c>
      <c r="M63" s="30">
        <f t="shared" si="25"/>
        <v>0</v>
      </c>
      <c r="N63" s="30">
        <f t="shared" si="25"/>
        <v>0</v>
      </c>
      <c r="O63" s="30">
        <f t="shared" si="25"/>
        <v>6643</v>
      </c>
      <c r="P63" s="30">
        <f t="shared" si="25"/>
        <v>0</v>
      </c>
      <c r="Q63" s="30">
        <f t="shared" si="25"/>
        <v>0</v>
      </c>
      <c r="R63" s="30">
        <f t="shared" si="25"/>
        <v>81885</v>
      </c>
      <c r="S63" s="30">
        <f t="shared" si="25"/>
        <v>0</v>
      </c>
      <c r="T63" s="30">
        <f t="shared" si="25"/>
        <v>37111</v>
      </c>
      <c r="U63" s="79">
        <f t="shared" si="25"/>
        <v>0</v>
      </c>
      <c r="V63" s="30">
        <f t="shared" si="25"/>
        <v>0</v>
      </c>
      <c r="W63" s="30"/>
      <c r="X63" s="30"/>
      <c r="Y63" s="30"/>
      <c r="Z63" s="30"/>
      <c r="AA63" s="29">
        <f t="shared" si="5"/>
        <v>0</v>
      </c>
      <c r="AB63" s="87"/>
      <c r="AC63" s="30"/>
      <c r="AF63" s="83">
        <f t="shared" si="9"/>
        <v>0</v>
      </c>
      <c r="AG63" s="83"/>
      <c r="AI63" s="89"/>
      <c r="AJ63" s="88">
        <f>SUM(AI64:AI132)</f>
        <v>78793</v>
      </c>
    </row>
    <row r="64" spans="1:36" ht="33.75" customHeight="1">
      <c r="A64" s="48">
        <v>1</v>
      </c>
      <c r="B64" s="44" t="s">
        <v>716</v>
      </c>
      <c r="C64" s="29">
        <f>C65+C68+C71+C74+C77</f>
        <v>69284</v>
      </c>
      <c r="D64" s="29">
        <f t="shared" ref="D64:T64" si="26">D65+D68+D71+D74+D77</f>
        <v>1017</v>
      </c>
      <c r="E64" s="29">
        <f t="shared" si="26"/>
        <v>68267</v>
      </c>
      <c r="F64" s="29">
        <f t="shared" si="26"/>
        <v>0</v>
      </c>
      <c r="G64" s="29">
        <f t="shared" si="26"/>
        <v>192</v>
      </c>
      <c r="H64" s="29">
        <f t="shared" si="26"/>
        <v>0</v>
      </c>
      <c r="I64" s="29">
        <f t="shared" si="26"/>
        <v>0</v>
      </c>
      <c r="J64" s="29">
        <f t="shared" si="26"/>
        <v>0</v>
      </c>
      <c r="K64" s="29">
        <f t="shared" si="26"/>
        <v>0</v>
      </c>
      <c r="L64" s="29">
        <f t="shared" si="26"/>
        <v>0</v>
      </c>
      <c r="M64" s="29">
        <f t="shared" si="26"/>
        <v>0</v>
      </c>
      <c r="N64" s="29">
        <f t="shared" si="26"/>
        <v>0</v>
      </c>
      <c r="O64" s="29">
        <f t="shared" si="26"/>
        <v>743</v>
      </c>
      <c r="P64" s="29">
        <f t="shared" si="26"/>
        <v>0</v>
      </c>
      <c r="Q64" s="29">
        <f t="shared" si="26"/>
        <v>0</v>
      </c>
      <c r="R64" s="29">
        <f t="shared" si="26"/>
        <v>67332</v>
      </c>
      <c r="S64" s="29">
        <f t="shared" si="26"/>
        <v>0</v>
      </c>
      <c r="T64" s="29">
        <f t="shared" si="26"/>
        <v>0</v>
      </c>
      <c r="U64" s="65"/>
      <c r="V64" s="29"/>
      <c r="W64" s="29"/>
      <c r="X64" s="29"/>
      <c r="Y64" s="29"/>
      <c r="Z64" s="29"/>
      <c r="AA64" s="29">
        <f t="shared" si="5"/>
        <v>0</v>
      </c>
      <c r="AC64" s="29"/>
      <c r="AF64" s="83">
        <f t="shared" si="9"/>
        <v>0</v>
      </c>
      <c r="AG64" s="83"/>
      <c r="AI64" s="83"/>
    </row>
    <row r="65" spans="1:35" ht="20.25" customHeight="1">
      <c r="A65" s="461" t="s">
        <v>157</v>
      </c>
      <c r="B65" s="44" t="s">
        <v>717</v>
      </c>
      <c r="C65" s="29">
        <f>C66+C67</f>
        <v>18351</v>
      </c>
      <c r="D65" s="29">
        <f t="shared" ref="D65:T65" si="27">D66+D67</f>
        <v>209</v>
      </c>
      <c r="E65" s="29">
        <f t="shared" si="27"/>
        <v>18142</v>
      </c>
      <c r="F65" s="29">
        <f t="shared" si="27"/>
        <v>0</v>
      </c>
      <c r="G65" s="29">
        <f t="shared" si="27"/>
        <v>0</v>
      </c>
      <c r="H65" s="29">
        <f t="shared" si="27"/>
        <v>0</v>
      </c>
      <c r="I65" s="29">
        <f t="shared" si="27"/>
        <v>0</v>
      </c>
      <c r="J65" s="29">
        <f t="shared" si="27"/>
        <v>0</v>
      </c>
      <c r="K65" s="29">
        <f t="shared" si="27"/>
        <v>0</v>
      </c>
      <c r="L65" s="29">
        <f t="shared" si="27"/>
        <v>0</v>
      </c>
      <c r="M65" s="29">
        <f t="shared" si="27"/>
        <v>0</v>
      </c>
      <c r="N65" s="29">
        <f t="shared" si="27"/>
        <v>0</v>
      </c>
      <c r="O65" s="29">
        <f t="shared" si="27"/>
        <v>703</v>
      </c>
      <c r="P65" s="29">
        <f t="shared" si="27"/>
        <v>0</v>
      </c>
      <c r="Q65" s="29">
        <f t="shared" si="27"/>
        <v>0</v>
      </c>
      <c r="R65" s="29">
        <f t="shared" si="27"/>
        <v>17439</v>
      </c>
      <c r="S65" s="29">
        <f t="shared" si="27"/>
        <v>0</v>
      </c>
      <c r="T65" s="29">
        <f t="shared" si="27"/>
        <v>0</v>
      </c>
      <c r="U65" s="65"/>
      <c r="V65" s="29"/>
      <c r="W65" s="29"/>
      <c r="X65" s="29"/>
      <c r="Y65" s="29"/>
      <c r="Z65" s="29"/>
      <c r="AA65" s="29">
        <f t="shared" si="5"/>
        <v>0</v>
      </c>
      <c r="AC65" s="29"/>
      <c r="AF65" s="83">
        <f t="shared" si="9"/>
        <v>0</v>
      </c>
      <c r="AG65" s="83"/>
      <c r="AI65" s="83"/>
    </row>
    <row r="66" spans="1:35" s="38" customFormat="1" ht="20.25" customHeight="1">
      <c r="A66" s="57"/>
      <c r="B66" s="58" t="s">
        <v>690</v>
      </c>
      <c r="C66" s="29">
        <f t="shared" si="7"/>
        <v>11805</v>
      </c>
      <c r="D66" s="29">
        <v>88</v>
      </c>
      <c r="E66" s="29">
        <f t="shared" si="10"/>
        <v>11717</v>
      </c>
      <c r="F66" s="29"/>
      <c r="G66" s="29"/>
      <c r="H66" s="29"/>
      <c r="I66" s="29"/>
      <c r="J66" s="29"/>
      <c r="K66" s="29"/>
      <c r="L66" s="29"/>
      <c r="M66" s="29"/>
      <c r="N66" s="29"/>
      <c r="O66" s="29">
        <v>700</v>
      </c>
      <c r="P66" s="29"/>
      <c r="Q66" s="29"/>
      <c r="R66" s="29">
        <v>11017</v>
      </c>
      <c r="S66" s="29"/>
      <c r="T66" s="29"/>
      <c r="U66" s="65"/>
      <c r="V66" s="29"/>
      <c r="W66" s="29"/>
      <c r="X66" s="29"/>
      <c r="Y66" s="29"/>
      <c r="Z66" s="29"/>
      <c r="AA66" s="29">
        <f t="shared" si="5"/>
        <v>0</v>
      </c>
      <c r="AB66" s="81"/>
      <c r="AC66" s="29"/>
      <c r="AF66" s="83">
        <f t="shared" si="9"/>
        <v>0</v>
      </c>
      <c r="AG66" s="83"/>
      <c r="AI66" s="83">
        <f>E66-U66-V66</f>
        <v>11717</v>
      </c>
    </row>
    <row r="67" spans="1:35" s="38" customFormat="1" ht="20.25" customHeight="1">
      <c r="A67" s="57"/>
      <c r="B67" s="58" t="s">
        <v>691</v>
      </c>
      <c r="C67" s="29">
        <f t="shared" si="7"/>
        <v>6546</v>
      </c>
      <c r="D67" s="29">
        <v>121</v>
      </c>
      <c r="E67" s="29">
        <f t="shared" si="10"/>
        <v>6425</v>
      </c>
      <c r="F67" s="29"/>
      <c r="G67" s="29"/>
      <c r="H67" s="29"/>
      <c r="I67" s="29"/>
      <c r="J67" s="29"/>
      <c r="K67" s="29"/>
      <c r="L67" s="29"/>
      <c r="M67" s="29"/>
      <c r="N67" s="29"/>
      <c r="O67" s="29">
        <v>3</v>
      </c>
      <c r="P67" s="29"/>
      <c r="Q67" s="29"/>
      <c r="R67" s="29">
        <f>-333-216+6971</f>
        <v>6422</v>
      </c>
      <c r="S67" s="29"/>
      <c r="T67" s="29"/>
      <c r="U67" s="65"/>
      <c r="V67" s="29"/>
      <c r="W67" s="29">
        <v>-333</v>
      </c>
      <c r="X67" s="29"/>
      <c r="Y67" s="29"/>
      <c r="Z67" s="29">
        <v>-216</v>
      </c>
      <c r="AA67" s="29">
        <f t="shared" si="5"/>
        <v>-549</v>
      </c>
      <c r="AB67" s="81"/>
      <c r="AC67" s="29">
        <v>6422</v>
      </c>
      <c r="AD67" s="38">
        <v>3</v>
      </c>
      <c r="AF67" s="83">
        <f t="shared" si="9"/>
        <v>6425</v>
      </c>
      <c r="AG67" s="83">
        <f>E67-AF67</f>
        <v>0</v>
      </c>
      <c r="AI67" s="83"/>
    </row>
    <row r="68" spans="1:35" ht="20.25" customHeight="1">
      <c r="A68" s="461" t="s">
        <v>164</v>
      </c>
      <c r="B68" s="44" t="s">
        <v>718</v>
      </c>
      <c r="C68" s="29">
        <f>C69+C70</f>
        <v>13006</v>
      </c>
      <c r="D68" s="29">
        <f t="shared" ref="D68:T68" si="28">D69+D70</f>
        <v>277</v>
      </c>
      <c r="E68" s="29">
        <f t="shared" si="28"/>
        <v>12729</v>
      </c>
      <c r="F68" s="29">
        <f t="shared" si="28"/>
        <v>0</v>
      </c>
      <c r="G68" s="29">
        <f t="shared" si="28"/>
        <v>192</v>
      </c>
      <c r="H68" s="29">
        <f t="shared" si="28"/>
        <v>0</v>
      </c>
      <c r="I68" s="29">
        <f t="shared" si="28"/>
        <v>0</v>
      </c>
      <c r="J68" s="29">
        <f t="shared" si="28"/>
        <v>0</v>
      </c>
      <c r="K68" s="29">
        <f t="shared" si="28"/>
        <v>0</v>
      </c>
      <c r="L68" s="29">
        <f t="shared" si="28"/>
        <v>0</v>
      </c>
      <c r="M68" s="29">
        <f t="shared" si="28"/>
        <v>0</v>
      </c>
      <c r="N68" s="29">
        <f t="shared" si="28"/>
        <v>0</v>
      </c>
      <c r="O68" s="29">
        <f t="shared" si="28"/>
        <v>25</v>
      </c>
      <c r="P68" s="29">
        <f t="shared" si="28"/>
        <v>0</v>
      </c>
      <c r="Q68" s="29">
        <f t="shared" si="28"/>
        <v>0</v>
      </c>
      <c r="R68" s="29">
        <f t="shared" si="28"/>
        <v>12512</v>
      </c>
      <c r="S68" s="29">
        <f t="shared" si="28"/>
        <v>0</v>
      </c>
      <c r="T68" s="29">
        <f t="shared" si="28"/>
        <v>0</v>
      </c>
      <c r="U68" s="65"/>
      <c r="V68" s="29"/>
      <c r="W68" s="29"/>
      <c r="X68" s="29"/>
      <c r="Y68" s="29"/>
      <c r="Z68" s="29"/>
      <c r="AA68" s="29">
        <f t="shared" si="5"/>
        <v>0</v>
      </c>
      <c r="AC68" s="29"/>
      <c r="AF68" s="83">
        <f t="shared" si="9"/>
        <v>0</v>
      </c>
      <c r="AG68" s="83"/>
      <c r="AI68" s="83"/>
    </row>
    <row r="69" spans="1:35" s="38" customFormat="1" ht="20.25" customHeight="1">
      <c r="A69" s="57"/>
      <c r="B69" s="58" t="s">
        <v>690</v>
      </c>
      <c r="C69" s="29">
        <f t="shared" si="7"/>
        <v>7361</v>
      </c>
      <c r="D69" s="29">
        <v>88</v>
      </c>
      <c r="E69" s="29">
        <f t="shared" si="10"/>
        <v>7273</v>
      </c>
      <c r="F69" s="29"/>
      <c r="G69" s="29">
        <v>192</v>
      </c>
      <c r="H69" s="29"/>
      <c r="I69" s="29"/>
      <c r="J69" s="29"/>
      <c r="K69" s="29"/>
      <c r="L69" s="29"/>
      <c r="M69" s="29"/>
      <c r="N69" s="29"/>
      <c r="O69" s="29"/>
      <c r="P69" s="29"/>
      <c r="Q69" s="29"/>
      <c r="R69" s="29">
        <v>7081</v>
      </c>
      <c r="S69" s="29"/>
      <c r="T69" s="29"/>
      <c r="U69" s="65"/>
      <c r="V69" s="29"/>
      <c r="W69" s="29"/>
      <c r="X69" s="29"/>
      <c r="Y69" s="29"/>
      <c r="Z69" s="29"/>
      <c r="AA69" s="29">
        <f t="shared" si="5"/>
        <v>0</v>
      </c>
      <c r="AB69" s="81"/>
      <c r="AC69" s="29"/>
      <c r="AF69" s="83">
        <f t="shared" si="9"/>
        <v>0</v>
      </c>
      <c r="AG69" s="83"/>
      <c r="AI69" s="83">
        <f>E69-U69-V69</f>
        <v>7273</v>
      </c>
    </row>
    <row r="70" spans="1:35" s="38" customFormat="1" ht="20.25" customHeight="1">
      <c r="A70" s="57"/>
      <c r="B70" s="58" t="s">
        <v>691</v>
      </c>
      <c r="C70" s="29">
        <f t="shared" si="7"/>
        <v>5645</v>
      </c>
      <c r="D70" s="29">
        <v>189</v>
      </c>
      <c r="E70" s="29">
        <f t="shared" si="10"/>
        <v>5456</v>
      </c>
      <c r="F70" s="29"/>
      <c r="G70" s="29"/>
      <c r="H70" s="29"/>
      <c r="I70" s="29"/>
      <c r="J70" s="29"/>
      <c r="K70" s="29"/>
      <c r="L70" s="29"/>
      <c r="M70" s="29"/>
      <c r="N70" s="29"/>
      <c r="O70" s="29">
        <v>25</v>
      </c>
      <c r="P70" s="29"/>
      <c r="Q70" s="29"/>
      <c r="R70" s="29">
        <f>-1309+6740</f>
        <v>5431</v>
      </c>
      <c r="S70" s="29"/>
      <c r="T70" s="29"/>
      <c r="U70" s="65"/>
      <c r="V70" s="29"/>
      <c r="W70" s="29">
        <v>-1309</v>
      </c>
      <c r="X70" s="29"/>
      <c r="Y70" s="29"/>
      <c r="Z70" s="29"/>
      <c r="AA70" s="29">
        <f t="shared" si="5"/>
        <v>-1309</v>
      </c>
      <c r="AB70" s="81"/>
      <c r="AC70" s="29">
        <v>5431</v>
      </c>
      <c r="AD70" s="38">
        <v>25</v>
      </c>
      <c r="AF70" s="83">
        <f t="shared" si="9"/>
        <v>5456</v>
      </c>
      <c r="AG70" s="83">
        <f>E70-AF70</f>
        <v>0</v>
      </c>
      <c r="AI70" s="83"/>
    </row>
    <row r="71" spans="1:35" ht="20.25" customHeight="1">
      <c r="A71" s="461" t="s">
        <v>166</v>
      </c>
      <c r="B71" s="44" t="s">
        <v>719</v>
      </c>
      <c r="C71" s="29">
        <f>C72+C73</f>
        <v>15355</v>
      </c>
      <c r="D71" s="29">
        <f t="shared" ref="D71:T71" si="29">D72+D73</f>
        <v>219</v>
      </c>
      <c r="E71" s="29">
        <f t="shared" si="29"/>
        <v>15136</v>
      </c>
      <c r="F71" s="29">
        <f t="shared" si="29"/>
        <v>0</v>
      </c>
      <c r="G71" s="29">
        <f t="shared" si="29"/>
        <v>0</v>
      </c>
      <c r="H71" s="29">
        <f t="shared" si="29"/>
        <v>0</v>
      </c>
      <c r="I71" s="29">
        <f t="shared" si="29"/>
        <v>0</v>
      </c>
      <c r="J71" s="29">
        <f t="shared" si="29"/>
        <v>0</v>
      </c>
      <c r="K71" s="29">
        <f t="shared" si="29"/>
        <v>0</v>
      </c>
      <c r="L71" s="29">
        <f t="shared" si="29"/>
        <v>0</v>
      </c>
      <c r="M71" s="29">
        <f t="shared" si="29"/>
        <v>0</v>
      </c>
      <c r="N71" s="29">
        <f t="shared" si="29"/>
        <v>0</v>
      </c>
      <c r="O71" s="29">
        <f t="shared" si="29"/>
        <v>6</v>
      </c>
      <c r="P71" s="29">
        <f t="shared" si="29"/>
        <v>0</v>
      </c>
      <c r="Q71" s="29">
        <f t="shared" si="29"/>
        <v>0</v>
      </c>
      <c r="R71" s="29">
        <f t="shared" si="29"/>
        <v>15130</v>
      </c>
      <c r="S71" s="29">
        <f t="shared" si="29"/>
        <v>0</v>
      </c>
      <c r="T71" s="29">
        <f t="shared" si="29"/>
        <v>0</v>
      </c>
      <c r="U71" s="65"/>
      <c r="V71" s="29"/>
      <c r="W71" s="29"/>
      <c r="X71" s="29"/>
      <c r="Y71" s="29"/>
      <c r="Z71" s="29"/>
      <c r="AA71" s="29">
        <f t="shared" si="5"/>
        <v>0</v>
      </c>
      <c r="AC71" s="29"/>
      <c r="AF71" s="83">
        <f t="shared" si="9"/>
        <v>0</v>
      </c>
      <c r="AG71" s="83"/>
      <c r="AI71" s="83"/>
    </row>
    <row r="72" spans="1:35" s="38" customFormat="1" ht="20.25" customHeight="1">
      <c r="A72" s="57"/>
      <c r="B72" s="58" t="s">
        <v>690</v>
      </c>
      <c r="C72" s="29">
        <f t="shared" si="7"/>
        <v>9997</v>
      </c>
      <c r="D72" s="29">
        <v>100</v>
      </c>
      <c r="E72" s="29">
        <f t="shared" si="10"/>
        <v>9897</v>
      </c>
      <c r="F72" s="29"/>
      <c r="G72" s="29"/>
      <c r="H72" s="29"/>
      <c r="I72" s="29"/>
      <c r="J72" s="29"/>
      <c r="K72" s="29"/>
      <c r="L72" s="29"/>
      <c r="M72" s="29"/>
      <c r="N72" s="29"/>
      <c r="O72" s="29"/>
      <c r="P72" s="29"/>
      <c r="Q72" s="29"/>
      <c r="R72" s="29">
        <v>9897</v>
      </c>
      <c r="S72" s="29"/>
      <c r="T72" s="29"/>
      <c r="U72" s="65"/>
      <c r="V72" s="29"/>
      <c r="W72" s="29"/>
      <c r="X72" s="29"/>
      <c r="Y72" s="29"/>
      <c r="Z72" s="29"/>
      <c r="AA72" s="29">
        <f t="shared" si="5"/>
        <v>0</v>
      </c>
      <c r="AB72" s="81"/>
      <c r="AC72" s="29"/>
      <c r="AF72" s="83">
        <f t="shared" si="9"/>
        <v>0</v>
      </c>
      <c r="AG72" s="83"/>
      <c r="AI72" s="83">
        <f>E72-U72-V72</f>
        <v>9897</v>
      </c>
    </row>
    <row r="73" spans="1:35" s="38" customFormat="1" ht="20.25" customHeight="1">
      <c r="A73" s="57"/>
      <c r="B73" s="58" t="s">
        <v>691</v>
      </c>
      <c r="C73" s="29">
        <f t="shared" si="7"/>
        <v>5358</v>
      </c>
      <c r="D73" s="29">
        <v>119</v>
      </c>
      <c r="E73" s="29">
        <f t="shared" si="10"/>
        <v>5239</v>
      </c>
      <c r="F73" s="29"/>
      <c r="G73" s="29"/>
      <c r="H73" s="29"/>
      <c r="I73" s="29"/>
      <c r="J73" s="29"/>
      <c r="K73" s="29"/>
      <c r="L73" s="29"/>
      <c r="M73" s="29"/>
      <c r="N73" s="29"/>
      <c r="O73" s="29">
        <v>6</v>
      </c>
      <c r="P73" s="29"/>
      <c r="Q73" s="29"/>
      <c r="R73" s="29">
        <f>-250+6818-1335</f>
        <v>5233</v>
      </c>
      <c r="S73" s="29"/>
      <c r="T73" s="29"/>
      <c r="U73" s="65"/>
      <c r="V73" s="29"/>
      <c r="W73" s="29">
        <v>-1335</v>
      </c>
      <c r="X73" s="29"/>
      <c r="Y73" s="29"/>
      <c r="Z73" s="29"/>
      <c r="AA73" s="29">
        <f t="shared" si="5"/>
        <v>-1335</v>
      </c>
      <c r="AB73" s="81"/>
      <c r="AC73" s="29">
        <v>5483</v>
      </c>
      <c r="AD73" s="38">
        <v>6</v>
      </c>
      <c r="AE73" s="38">
        <v>250</v>
      </c>
      <c r="AF73" s="83">
        <f t="shared" si="9"/>
        <v>5239</v>
      </c>
      <c r="AG73" s="83">
        <f>E73-AF73</f>
        <v>0</v>
      </c>
      <c r="AI73" s="83"/>
    </row>
    <row r="74" spans="1:35" ht="20.25" customHeight="1">
      <c r="A74" s="461" t="s">
        <v>168</v>
      </c>
      <c r="B74" s="44" t="s">
        <v>720</v>
      </c>
      <c r="C74" s="29">
        <f>C75+C76</f>
        <v>15970</v>
      </c>
      <c r="D74" s="29">
        <f t="shared" ref="D74:T74" si="30">D75+D76</f>
        <v>187</v>
      </c>
      <c r="E74" s="29">
        <f t="shared" si="30"/>
        <v>15783</v>
      </c>
      <c r="F74" s="29">
        <f t="shared" si="30"/>
        <v>0</v>
      </c>
      <c r="G74" s="29">
        <f t="shared" si="30"/>
        <v>0</v>
      </c>
      <c r="H74" s="29">
        <f t="shared" si="30"/>
        <v>0</v>
      </c>
      <c r="I74" s="29">
        <f t="shared" si="30"/>
        <v>0</v>
      </c>
      <c r="J74" s="29">
        <f t="shared" si="30"/>
        <v>0</v>
      </c>
      <c r="K74" s="29">
        <f t="shared" si="30"/>
        <v>0</v>
      </c>
      <c r="L74" s="29">
        <f t="shared" si="30"/>
        <v>0</v>
      </c>
      <c r="M74" s="29">
        <f t="shared" si="30"/>
        <v>0</v>
      </c>
      <c r="N74" s="29">
        <f t="shared" si="30"/>
        <v>0</v>
      </c>
      <c r="O74" s="29">
        <f t="shared" si="30"/>
        <v>9</v>
      </c>
      <c r="P74" s="29">
        <f t="shared" si="30"/>
        <v>0</v>
      </c>
      <c r="Q74" s="29">
        <f t="shared" si="30"/>
        <v>0</v>
      </c>
      <c r="R74" s="29">
        <f t="shared" si="30"/>
        <v>15774</v>
      </c>
      <c r="S74" s="29">
        <f t="shared" si="30"/>
        <v>0</v>
      </c>
      <c r="T74" s="29">
        <f t="shared" si="30"/>
        <v>0</v>
      </c>
      <c r="U74" s="65"/>
      <c r="V74" s="29"/>
      <c r="W74" s="29"/>
      <c r="X74" s="29"/>
      <c r="Y74" s="29"/>
      <c r="Z74" s="29"/>
      <c r="AA74" s="29">
        <f t="shared" si="5"/>
        <v>0</v>
      </c>
      <c r="AC74" s="29"/>
      <c r="AF74" s="83">
        <f t="shared" si="9"/>
        <v>0</v>
      </c>
      <c r="AG74" s="83"/>
      <c r="AI74" s="83"/>
    </row>
    <row r="75" spans="1:35" s="38" customFormat="1" ht="20.25" customHeight="1">
      <c r="A75" s="57"/>
      <c r="B75" s="58" t="s">
        <v>690</v>
      </c>
      <c r="C75" s="29">
        <f t="shared" si="7"/>
        <v>9919</v>
      </c>
      <c r="D75" s="29">
        <v>82</v>
      </c>
      <c r="E75" s="29">
        <f t="shared" si="10"/>
        <v>9837</v>
      </c>
      <c r="F75" s="29"/>
      <c r="G75" s="29"/>
      <c r="H75" s="29"/>
      <c r="I75" s="29"/>
      <c r="J75" s="29"/>
      <c r="K75" s="29"/>
      <c r="L75" s="29"/>
      <c r="M75" s="29"/>
      <c r="N75" s="29"/>
      <c r="O75" s="29"/>
      <c r="P75" s="29"/>
      <c r="Q75" s="29"/>
      <c r="R75" s="29">
        <v>9837</v>
      </c>
      <c r="S75" s="29"/>
      <c r="T75" s="29"/>
      <c r="U75" s="65"/>
      <c r="V75" s="29"/>
      <c r="W75" s="29"/>
      <c r="X75" s="29"/>
      <c r="Y75" s="29"/>
      <c r="Z75" s="29"/>
      <c r="AA75" s="29">
        <f t="shared" si="5"/>
        <v>0</v>
      </c>
      <c r="AB75" s="81"/>
      <c r="AC75" s="29"/>
      <c r="AF75" s="83">
        <f t="shared" si="9"/>
        <v>0</v>
      </c>
      <c r="AG75" s="83"/>
      <c r="AI75" s="83">
        <f>E75-U75-V75</f>
        <v>9837</v>
      </c>
    </row>
    <row r="76" spans="1:35" s="38" customFormat="1" ht="20.25" customHeight="1">
      <c r="A76" s="57"/>
      <c r="B76" s="58" t="s">
        <v>691</v>
      </c>
      <c r="C76" s="29">
        <f t="shared" si="7"/>
        <v>6051</v>
      </c>
      <c r="D76" s="29">
        <v>105</v>
      </c>
      <c r="E76" s="29">
        <f t="shared" si="10"/>
        <v>5946</v>
      </c>
      <c r="F76" s="29"/>
      <c r="G76" s="29"/>
      <c r="H76" s="29"/>
      <c r="I76" s="29"/>
      <c r="J76" s="29"/>
      <c r="K76" s="29"/>
      <c r="L76" s="29"/>
      <c r="M76" s="29"/>
      <c r="N76" s="29"/>
      <c r="O76" s="29">
        <v>9</v>
      </c>
      <c r="P76" s="29"/>
      <c r="Q76" s="29"/>
      <c r="R76" s="29">
        <f>-1317+7254</f>
        <v>5937</v>
      </c>
      <c r="S76" s="29"/>
      <c r="T76" s="29"/>
      <c r="U76" s="65"/>
      <c r="V76" s="29"/>
      <c r="W76" s="29">
        <v>-1317</v>
      </c>
      <c r="X76" s="29"/>
      <c r="Y76" s="29"/>
      <c r="Z76" s="29"/>
      <c r="AA76" s="29">
        <f t="shared" si="5"/>
        <v>-1317</v>
      </c>
      <c r="AB76" s="81"/>
      <c r="AC76" s="29">
        <v>5937</v>
      </c>
      <c r="AD76" s="38">
        <v>9</v>
      </c>
      <c r="AF76" s="83">
        <f t="shared" si="9"/>
        <v>5946</v>
      </c>
      <c r="AG76" s="83">
        <f>E76-AF76</f>
        <v>0</v>
      </c>
      <c r="AI76" s="83"/>
    </row>
    <row r="77" spans="1:35" ht="20.25" customHeight="1">
      <c r="A77" s="461" t="s">
        <v>721</v>
      </c>
      <c r="B77" s="44" t="s">
        <v>722</v>
      </c>
      <c r="C77" s="29">
        <f>C78+C79</f>
        <v>6602</v>
      </c>
      <c r="D77" s="29">
        <f t="shared" ref="D77:T77" si="31">D78+D79</f>
        <v>125</v>
      </c>
      <c r="E77" s="29">
        <f t="shared" si="31"/>
        <v>6477</v>
      </c>
      <c r="F77" s="29">
        <f t="shared" si="31"/>
        <v>0</v>
      </c>
      <c r="G77" s="29">
        <f t="shared" si="31"/>
        <v>0</v>
      </c>
      <c r="H77" s="29">
        <f t="shared" si="31"/>
        <v>0</v>
      </c>
      <c r="I77" s="29">
        <f t="shared" si="31"/>
        <v>0</v>
      </c>
      <c r="J77" s="29">
        <f t="shared" si="31"/>
        <v>0</v>
      </c>
      <c r="K77" s="29">
        <f t="shared" si="31"/>
        <v>0</v>
      </c>
      <c r="L77" s="29">
        <f t="shared" si="31"/>
        <v>0</v>
      </c>
      <c r="M77" s="29">
        <f t="shared" si="31"/>
        <v>0</v>
      </c>
      <c r="N77" s="29">
        <f t="shared" si="31"/>
        <v>0</v>
      </c>
      <c r="O77" s="29">
        <f t="shared" si="31"/>
        <v>0</v>
      </c>
      <c r="P77" s="29">
        <f t="shared" si="31"/>
        <v>0</v>
      </c>
      <c r="Q77" s="29">
        <f t="shared" si="31"/>
        <v>0</v>
      </c>
      <c r="R77" s="29">
        <f t="shared" si="31"/>
        <v>6477</v>
      </c>
      <c r="S77" s="29">
        <f t="shared" si="31"/>
        <v>0</v>
      </c>
      <c r="T77" s="29">
        <f t="shared" si="31"/>
        <v>0</v>
      </c>
      <c r="U77" s="65"/>
      <c r="V77" s="29"/>
      <c r="W77" s="29"/>
      <c r="X77" s="29"/>
      <c r="Y77" s="29"/>
      <c r="Z77" s="29"/>
      <c r="AA77" s="29">
        <f>W77+X77+Y77+Z77</f>
        <v>0</v>
      </c>
      <c r="AC77" s="29"/>
      <c r="AF77" s="83">
        <f t="shared" si="9"/>
        <v>0</v>
      </c>
      <c r="AG77" s="83"/>
      <c r="AI77" s="83"/>
    </row>
    <row r="78" spans="1:35" s="38" customFormat="1" ht="20.25" customHeight="1">
      <c r="A78" s="57"/>
      <c r="B78" s="58" t="s">
        <v>690</v>
      </c>
      <c r="C78" s="29">
        <f t="shared" si="7"/>
        <v>3116</v>
      </c>
      <c r="D78" s="29">
        <v>33</v>
      </c>
      <c r="E78" s="29">
        <f t="shared" si="10"/>
        <v>3083</v>
      </c>
      <c r="F78" s="29"/>
      <c r="G78" s="29"/>
      <c r="H78" s="29"/>
      <c r="I78" s="29"/>
      <c r="J78" s="29"/>
      <c r="K78" s="29"/>
      <c r="L78" s="29"/>
      <c r="M78" s="29"/>
      <c r="N78" s="29"/>
      <c r="O78" s="29"/>
      <c r="P78" s="29"/>
      <c r="Q78" s="29"/>
      <c r="R78" s="29">
        <v>3083</v>
      </c>
      <c r="S78" s="29"/>
      <c r="T78" s="29"/>
      <c r="U78" s="65"/>
      <c r="V78" s="29"/>
      <c r="W78" s="29"/>
      <c r="X78" s="29"/>
      <c r="Y78" s="29"/>
      <c r="Z78" s="29"/>
      <c r="AA78" s="29">
        <f>W78+X78+Y78+Z78</f>
        <v>0</v>
      </c>
      <c r="AB78" s="81"/>
      <c r="AC78" s="29"/>
      <c r="AF78" s="83">
        <f t="shared" si="9"/>
        <v>0</v>
      </c>
      <c r="AG78" s="83"/>
      <c r="AI78" s="83">
        <f>E78-U78-V78</f>
        <v>3083</v>
      </c>
    </row>
    <row r="79" spans="1:35" s="38" customFormat="1" ht="20.25" customHeight="1">
      <c r="A79" s="57"/>
      <c r="B79" s="58" t="s">
        <v>691</v>
      </c>
      <c r="C79" s="29">
        <f t="shared" si="7"/>
        <v>3486</v>
      </c>
      <c r="D79" s="29">
        <v>92</v>
      </c>
      <c r="E79" s="29">
        <f t="shared" si="10"/>
        <v>3394</v>
      </c>
      <c r="F79" s="29"/>
      <c r="G79" s="29"/>
      <c r="H79" s="29"/>
      <c r="I79" s="29"/>
      <c r="J79" s="29"/>
      <c r="K79" s="29"/>
      <c r="L79" s="29"/>
      <c r="M79" s="29"/>
      <c r="N79" s="29"/>
      <c r="O79" s="29"/>
      <c r="P79" s="29"/>
      <c r="Q79" s="29"/>
      <c r="R79" s="29">
        <f>-189+3583</f>
        <v>3394</v>
      </c>
      <c r="S79" s="29"/>
      <c r="T79" s="29"/>
      <c r="U79" s="65"/>
      <c r="V79" s="29"/>
      <c r="W79" s="29">
        <v>-189</v>
      </c>
      <c r="X79" s="29"/>
      <c r="Y79" s="29"/>
      <c r="Z79" s="29"/>
      <c r="AA79" s="29">
        <f>W79+X79+Y79+Z79</f>
        <v>-189</v>
      </c>
      <c r="AB79" s="81"/>
      <c r="AC79" s="29">
        <v>3394</v>
      </c>
      <c r="AF79" s="83">
        <f t="shared" si="9"/>
        <v>3394</v>
      </c>
      <c r="AG79" s="83">
        <f>E79-AF79</f>
        <v>0</v>
      </c>
      <c r="AI79" s="83"/>
    </row>
    <row r="80" spans="1:35" ht="20.25" customHeight="1">
      <c r="A80" s="48">
        <v>2</v>
      </c>
      <c r="B80" s="44" t="s">
        <v>723</v>
      </c>
      <c r="C80" s="29">
        <f>C81+C82</f>
        <v>18761</v>
      </c>
      <c r="D80" s="29">
        <f t="shared" ref="D80:T80" si="32">D81+D82</f>
        <v>102</v>
      </c>
      <c r="E80" s="29">
        <f t="shared" si="32"/>
        <v>18659</v>
      </c>
      <c r="F80" s="29">
        <f t="shared" si="32"/>
        <v>0</v>
      </c>
      <c r="G80" s="29">
        <f t="shared" si="32"/>
        <v>0</v>
      </c>
      <c r="H80" s="29">
        <f t="shared" si="32"/>
        <v>0</v>
      </c>
      <c r="I80" s="29">
        <f t="shared" si="32"/>
        <v>0</v>
      </c>
      <c r="J80" s="29">
        <f t="shared" si="32"/>
        <v>0</v>
      </c>
      <c r="K80" s="29">
        <f t="shared" si="32"/>
        <v>0</v>
      </c>
      <c r="L80" s="29">
        <f t="shared" si="32"/>
        <v>0</v>
      </c>
      <c r="M80" s="29">
        <f t="shared" si="32"/>
        <v>0</v>
      </c>
      <c r="N80" s="29">
        <f t="shared" si="32"/>
        <v>0</v>
      </c>
      <c r="O80" s="29">
        <f t="shared" si="32"/>
        <v>5900</v>
      </c>
      <c r="P80" s="29">
        <f t="shared" si="32"/>
        <v>0</v>
      </c>
      <c r="Q80" s="29">
        <f t="shared" si="32"/>
        <v>0</v>
      </c>
      <c r="R80" s="29">
        <f t="shared" si="32"/>
        <v>2455</v>
      </c>
      <c r="S80" s="29">
        <f t="shared" si="32"/>
        <v>0</v>
      </c>
      <c r="T80" s="29">
        <f t="shared" si="32"/>
        <v>10304</v>
      </c>
      <c r="U80" s="65"/>
      <c r="V80" s="29"/>
      <c r="W80" s="29"/>
      <c r="X80" s="29"/>
      <c r="Y80" s="29"/>
      <c r="Z80" s="29"/>
      <c r="AA80" s="29">
        <f>W80+X80+Y80+Z80</f>
        <v>0</v>
      </c>
      <c r="AC80" s="29"/>
      <c r="AF80" s="83">
        <f t="shared" si="9"/>
        <v>0</v>
      </c>
      <c r="AG80" s="83"/>
      <c r="AI80" s="83"/>
    </row>
    <row r="81" spans="1:35" s="38" customFormat="1" ht="20.25" customHeight="1">
      <c r="A81" s="57"/>
      <c r="B81" s="58" t="s">
        <v>690</v>
      </c>
      <c r="C81" s="29">
        <f t="shared" ref="C81:C142" si="33">D81+E81</f>
        <v>10340</v>
      </c>
      <c r="D81" s="29">
        <v>36</v>
      </c>
      <c r="E81" s="29">
        <f t="shared" ref="E81:E139" si="34">F81+G81+H81+I81+J81+K81+L81+M81+N81+O81+R81+S81+T81</f>
        <v>10304</v>
      </c>
      <c r="F81" s="29"/>
      <c r="G81" s="29"/>
      <c r="H81" s="29"/>
      <c r="I81" s="29"/>
      <c r="J81" s="29"/>
      <c r="K81" s="29"/>
      <c r="L81" s="29"/>
      <c r="M81" s="29"/>
      <c r="N81" s="29"/>
      <c r="O81" s="29"/>
      <c r="P81" s="29"/>
      <c r="Q81" s="29"/>
      <c r="R81" s="29"/>
      <c r="S81" s="29"/>
      <c r="T81" s="29">
        <v>10304</v>
      </c>
      <c r="U81" s="65"/>
      <c r="V81" s="29"/>
      <c r="W81" s="29"/>
      <c r="X81" s="29"/>
      <c r="Y81" s="29"/>
      <c r="Z81" s="29"/>
      <c r="AA81" s="29">
        <f>W81+X81+Y81+Z81</f>
        <v>0</v>
      </c>
      <c r="AB81" s="81"/>
      <c r="AC81" s="29"/>
      <c r="AF81" s="83">
        <f t="shared" ref="AF81:AF146" si="35">AC81+AD81-AE81</f>
        <v>0</v>
      </c>
      <c r="AG81" s="83"/>
      <c r="AI81" s="83">
        <f>E81-U81-V81</f>
        <v>10304</v>
      </c>
    </row>
    <row r="82" spans="1:35" s="38" customFormat="1" ht="20.25" customHeight="1">
      <c r="A82" s="57"/>
      <c r="B82" s="58" t="s">
        <v>691</v>
      </c>
      <c r="C82" s="29">
        <f t="shared" si="33"/>
        <v>8421</v>
      </c>
      <c r="D82" s="29">
        <v>66</v>
      </c>
      <c r="E82" s="29">
        <f t="shared" si="34"/>
        <v>8355</v>
      </c>
      <c r="F82" s="29"/>
      <c r="G82" s="29"/>
      <c r="H82" s="29"/>
      <c r="I82" s="29"/>
      <c r="J82" s="29"/>
      <c r="K82" s="29"/>
      <c r="L82" s="29"/>
      <c r="M82" s="29"/>
      <c r="N82" s="29"/>
      <c r="O82" s="29">
        <f>12+6808-920</f>
        <v>5900</v>
      </c>
      <c r="P82" s="29"/>
      <c r="Q82" s="29"/>
      <c r="R82" s="29">
        <f>-590+3045</f>
        <v>2455</v>
      </c>
      <c r="S82" s="29"/>
      <c r="T82" s="29"/>
      <c r="U82" s="65"/>
      <c r="V82" s="29"/>
      <c r="W82" s="29">
        <v>-590</v>
      </c>
      <c r="X82" s="29"/>
      <c r="Y82" s="29"/>
      <c r="Z82" s="29"/>
      <c r="AA82" s="29">
        <f t="shared" ref="AA82:AA90" si="36">W82+X82+Y82+Z82</f>
        <v>-590</v>
      </c>
      <c r="AB82" s="81"/>
      <c r="AC82" s="29">
        <v>9263</v>
      </c>
      <c r="AD82" s="38">
        <v>12</v>
      </c>
      <c r="AE82" s="38">
        <v>920</v>
      </c>
      <c r="AF82" s="83">
        <f t="shared" si="35"/>
        <v>8355</v>
      </c>
      <c r="AG82" s="83">
        <f>E82-AF82</f>
        <v>0</v>
      </c>
      <c r="AI82" s="83"/>
    </row>
    <row r="83" spans="1:35" ht="20.25" customHeight="1">
      <c r="A83" s="48">
        <v>3</v>
      </c>
      <c r="B83" s="44" t="s">
        <v>724</v>
      </c>
      <c r="C83" s="29">
        <f>C84+C85</f>
        <v>3372</v>
      </c>
      <c r="D83" s="29">
        <f t="shared" ref="D83:T83" si="37">D84+D85</f>
        <v>51</v>
      </c>
      <c r="E83" s="29">
        <f t="shared" si="37"/>
        <v>3321</v>
      </c>
      <c r="F83" s="29">
        <f t="shared" si="37"/>
        <v>0</v>
      </c>
      <c r="G83" s="29">
        <f t="shared" si="37"/>
        <v>0</v>
      </c>
      <c r="H83" s="29">
        <f t="shared" si="37"/>
        <v>0</v>
      </c>
      <c r="I83" s="29">
        <f t="shared" si="37"/>
        <v>0</v>
      </c>
      <c r="J83" s="29">
        <f t="shared" si="37"/>
        <v>0</v>
      </c>
      <c r="K83" s="29">
        <f t="shared" si="37"/>
        <v>0</v>
      </c>
      <c r="L83" s="29">
        <f t="shared" si="37"/>
        <v>0</v>
      </c>
      <c r="M83" s="29">
        <f t="shared" si="37"/>
        <v>0</v>
      </c>
      <c r="N83" s="29">
        <f t="shared" si="37"/>
        <v>0</v>
      </c>
      <c r="O83" s="29">
        <f t="shared" si="37"/>
        <v>0</v>
      </c>
      <c r="P83" s="29">
        <f t="shared" si="37"/>
        <v>0</v>
      </c>
      <c r="Q83" s="29">
        <f t="shared" si="37"/>
        <v>0</v>
      </c>
      <c r="R83" s="29">
        <f t="shared" si="37"/>
        <v>921</v>
      </c>
      <c r="S83" s="29">
        <f t="shared" si="37"/>
        <v>0</v>
      </c>
      <c r="T83" s="29">
        <f t="shared" si="37"/>
        <v>2400</v>
      </c>
      <c r="U83" s="65"/>
      <c r="V83" s="29"/>
      <c r="W83" s="29"/>
      <c r="X83" s="29"/>
      <c r="Y83" s="29"/>
      <c r="Z83" s="29"/>
      <c r="AA83" s="29">
        <f t="shared" si="36"/>
        <v>0</v>
      </c>
      <c r="AC83" s="29"/>
      <c r="AF83" s="83">
        <f t="shared" si="35"/>
        <v>0</v>
      </c>
      <c r="AG83" s="83"/>
      <c r="AI83" s="83"/>
    </row>
    <row r="84" spans="1:35" s="38" customFormat="1" ht="20.25" customHeight="1">
      <c r="A84" s="57"/>
      <c r="B84" s="58" t="s">
        <v>690</v>
      </c>
      <c r="C84" s="29">
        <f t="shared" si="33"/>
        <v>2408</v>
      </c>
      <c r="D84" s="29">
        <v>8</v>
      </c>
      <c r="E84" s="29">
        <f t="shared" si="34"/>
        <v>2400</v>
      </c>
      <c r="F84" s="29"/>
      <c r="G84" s="29"/>
      <c r="H84" s="29"/>
      <c r="I84" s="29"/>
      <c r="J84" s="29"/>
      <c r="K84" s="29"/>
      <c r="L84" s="29"/>
      <c r="M84" s="29"/>
      <c r="N84" s="29"/>
      <c r="O84" s="29"/>
      <c r="P84" s="29"/>
      <c r="Q84" s="29"/>
      <c r="R84" s="29"/>
      <c r="S84" s="29"/>
      <c r="T84" s="29">
        <v>2400</v>
      </c>
      <c r="U84" s="65"/>
      <c r="V84" s="29"/>
      <c r="W84" s="29"/>
      <c r="X84" s="29"/>
      <c r="Y84" s="29"/>
      <c r="Z84" s="29"/>
      <c r="AA84" s="29">
        <f t="shared" si="36"/>
        <v>0</v>
      </c>
      <c r="AB84" s="81"/>
      <c r="AC84" s="29"/>
      <c r="AF84" s="83">
        <f t="shared" si="35"/>
        <v>0</v>
      </c>
      <c r="AG84" s="83"/>
      <c r="AI84" s="83">
        <f>E84-U84-V84</f>
        <v>2400</v>
      </c>
    </row>
    <row r="85" spans="1:35" s="38" customFormat="1" ht="20.25" customHeight="1">
      <c r="A85" s="57"/>
      <c r="B85" s="58" t="s">
        <v>691</v>
      </c>
      <c r="C85" s="29">
        <f t="shared" si="33"/>
        <v>964</v>
      </c>
      <c r="D85" s="29">
        <v>43</v>
      </c>
      <c r="E85" s="29">
        <f t="shared" si="34"/>
        <v>921</v>
      </c>
      <c r="F85" s="29"/>
      <c r="G85" s="29"/>
      <c r="H85" s="29"/>
      <c r="I85" s="29"/>
      <c r="J85" s="29"/>
      <c r="K85" s="29"/>
      <c r="L85" s="29"/>
      <c r="M85" s="29"/>
      <c r="N85" s="29"/>
      <c r="O85" s="29"/>
      <c r="P85" s="29"/>
      <c r="Q85" s="29"/>
      <c r="R85" s="29">
        <v>921</v>
      </c>
      <c r="S85" s="29"/>
      <c r="T85" s="29"/>
      <c r="U85" s="65"/>
      <c r="V85" s="29"/>
      <c r="W85" s="29"/>
      <c r="X85" s="29"/>
      <c r="Y85" s="29"/>
      <c r="Z85" s="29"/>
      <c r="AA85" s="29">
        <f t="shared" si="36"/>
        <v>0</v>
      </c>
      <c r="AB85" s="81"/>
      <c r="AC85" s="29">
        <v>921</v>
      </c>
      <c r="AF85" s="83">
        <f t="shared" si="35"/>
        <v>921</v>
      </c>
      <c r="AG85" s="83">
        <f>E85-AF85</f>
        <v>0</v>
      </c>
      <c r="AI85" s="83"/>
    </row>
    <row r="86" spans="1:35" ht="20.25" customHeight="1">
      <c r="A86" s="48">
        <v>8</v>
      </c>
      <c r="B86" s="44" t="s">
        <v>725</v>
      </c>
      <c r="C86" s="29"/>
      <c r="D86" s="29"/>
      <c r="E86" s="29"/>
      <c r="F86" s="29"/>
      <c r="G86" s="29"/>
      <c r="H86" s="29"/>
      <c r="I86" s="29"/>
      <c r="J86" s="29"/>
      <c r="K86" s="29"/>
      <c r="L86" s="29"/>
      <c r="M86" s="29"/>
      <c r="N86" s="29"/>
      <c r="O86" s="29"/>
      <c r="P86" s="29"/>
      <c r="Q86" s="29"/>
      <c r="R86" s="29"/>
      <c r="S86" s="29"/>
      <c r="T86" s="29"/>
      <c r="U86" s="65"/>
      <c r="V86" s="29"/>
      <c r="W86" s="29"/>
      <c r="X86" s="29"/>
      <c r="Y86" s="29"/>
      <c r="Z86" s="29"/>
      <c r="AA86" s="29">
        <f t="shared" si="36"/>
        <v>0</v>
      </c>
      <c r="AC86" s="29"/>
      <c r="AF86" s="83">
        <f t="shared" si="35"/>
        <v>0</v>
      </c>
      <c r="AG86" s="83">
        <f>E86-AF86</f>
        <v>0</v>
      </c>
      <c r="AI86" s="83">
        <f>E86-U86-V86</f>
        <v>0</v>
      </c>
    </row>
    <row r="87" spans="1:35" s="38" customFormat="1" ht="24" customHeight="1">
      <c r="A87" s="57"/>
      <c r="B87" s="58" t="s">
        <v>690</v>
      </c>
      <c r="C87" s="29"/>
      <c r="D87" s="29"/>
      <c r="E87" s="29"/>
      <c r="F87" s="29"/>
      <c r="G87" s="29"/>
      <c r="H87" s="29"/>
      <c r="I87" s="29"/>
      <c r="J87" s="29"/>
      <c r="K87" s="29"/>
      <c r="L87" s="29"/>
      <c r="M87" s="29"/>
      <c r="N87" s="29"/>
      <c r="O87" s="29"/>
      <c r="P87" s="29"/>
      <c r="Q87" s="29"/>
      <c r="R87" s="29"/>
      <c r="S87" s="29"/>
      <c r="T87" s="29"/>
      <c r="U87" s="65"/>
      <c r="V87" s="29">
        <v>-185</v>
      </c>
      <c r="W87" s="29"/>
      <c r="X87" s="29"/>
      <c r="Y87" s="29"/>
      <c r="Z87" s="29"/>
      <c r="AA87" s="29">
        <f t="shared" si="36"/>
        <v>0</v>
      </c>
      <c r="AB87" s="81" t="s">
        <v>726</v>
      </c>
      <c r="AC87" s="29"/>
      <c r="AF87" s="83">
        <f t="shared" si="35"/>
        <v>0</v>
      </c>
      <c r="AG87" s="83">
        <f>E87-AF87</f>
        <v>0</v>
      </c>
      <c r="AI87" s="83">
        <f>E87-U87-V87</f>
        <v>185</v>
      </c>
    </row>
    <row r="88" spans="1:35" ht="19.5" customHeight="1">
      <c r="A88" s="48">
        <v>4</v>
      </c>
      <c r="B88" s="44" t="s">
        <v>727</v>
      </c>
      <c r="C88" s="29">
        <f>C89+C90</f>
        <v>11827</v>
      </c>
      <c r="D88" s="29">
        <f t="shared" ref="D88:T88" si="38">D89+D90</f>
        <v>102</v>
      </c>
      <c r="E88" s="29">
        <f t="shared" si="38"/>
        <v>11725</v>
      </c>
      <c r="F88" s="29">
        <f t="shared" si="38"/>
        <v>0</v>
      </c>
      <c r="G88" s="29">
        <f t="shared" si="38"/>
        <v>0</v>
      </c>
      <c r="H88" s="29">
        <f t="shared" si="38"/>
        <v>0</v>
      </c>
      <c r="I88" s="29">
        <f t="shared" si="38"/>
        <v>0</v>
      </c>
      <c r="J88" s="29">
        <f t="shared" si="38"/>
        <v>0</v>
      </c>
      <c r="K88" s="29">
        <f t="shared" si="38"/>
        <v>0</v>
      </c>
      <c r="L88" s="29">
        <f t="shared" si="38"/>
        <v>0</v>
      </c>
      <c r="M88" s="29">
        <f t="shared" si="38"/>
        <v>0</v>
      </c>
      <c r="N88" s="29">
        <f t="shared" si="38"/>
        <v>0</v>
      </c>
      <c r="O88" s="29">
        <f t="shared" si="38"/>
        <v>0</v>
      </c>
      <c r="P88" s="29">
        <f t="shared" si="38"/>
        <v>0</v>
      </c>
      <c r="Q88" s="29">
        <f t="shared" si="38"/>
        <v>0</v>
      </c>
      <c r="R88" s="29">
        <f t="shared" si="38"/>
        <v>2680</v>
      </c>
      <c r="S88" s="29">
        <f t="shared" si="38"/>
        <v>0</v>
      </c>
      <c r="T88" s="29">
        <f t="shared" si="38"/>
        <v>9045</v>
      </c>
      <c r="U88" s="65"/>
      <c r="V88" s="29"/>
      <c r="W88" s="29"/>
      <c r="X88" s="29"/>
      <c r="Y88" s="29"/>
      <c r="Z88" s="29"/>
      <c r="AA88" s="29">
        <f t="shared" si="36"/>
        <v>0</v>
      </c>
      <c r="AC88" s="29"/>
      <c r="AF88" s="83">
        <f t="shared" si="35"/>
        <v>0</v>
      </c>
      <c r="AG88" s="83"/>
      <c r="AI88" s="83"/>
    </row>
    <row r="89" spans="1:35" s="38" customFormat="1" ht="24" customHeight="1">
      <c r="A89" s="57"/>
      <c r="B89" s="58" t="s">
        <v>690</v>
      </c>
      <c r="C89" s="29">
        <f t="shared" si="33"/>
        <v>9071</v>
      </c>
      <c r="D89" s="29">
        <v>26</v>
      </c>
      <c r="E89" s="29">
        <f t="shared" si="34"/>
        <v>9045</v>
      </c>
      <c r="F89" s="29"/>
      <c r="G89" s="29"/>
      <c r="H89" s="29"/>
      <c r="I89" s="29"/>
      <c r="J89" s="29"/>
      <c r="K89" s="29"/>
      <c r="L89" s="29"/>
      <c r="M89" s="29"/>
      <c r="N89" s="29"/>
      <c r="O89" s="29"/>
      <c r="P89" s="29"/>
      <c r="Q89" s="29"/>
      <c r="R89" s="29"/>
      <c r="S89" s="29"/>
      <c r="T89" s="29">
        <v>9045</v>
      </c>
      <c r="U89" s="65"/>
      <c r="V89" s="29"/>
      <c r="W89" s="29"/>
      <c r="X89" s="29"/>
      <c r="Y89" s="29"/>
      <c r="Z89" s="29"/>
      <c r="AA89" s="29">
        <f t="shared" si="36"/>
        <v>0</v>
      </c>
      <c r="AB89" s="81"/>
      <c r="AC89" s="29"/>
      <c r="AF89" s="83">
        <f t="shared" si="35"/>
        <v>0</v>
      </c>
      <c r="AG89" s="83"/>
      <c r="AI89" s="83">
        <f>E89-U89-V89</f>
        <v>9045</v>
      </c>
    </row>
    <row r="90" spans="1:35" s="38" customFormat="1" ht="24" customHeight="1">
      <c r="A90" s="57"/>
      <c r="B90" s="58" t="s">
        <v>691</v>
      </c>
      <c r="C90" s="29">
        <f t="shared" si="33"/>
        <v>2756</v>
      </c>
      <c r="D90" s="29">
        <v>76</v>
      </c>
      <c r="E90" s="29">
        <f t="shared" si="34"/>
        <v>2680</v>
      </c>
      <c r="F90" s="29"/>
      <c r="G90" s="29"/>
      <c r="H90" s="29"/>
      <c r="I90" s="29"/>
      <c r="J90" s="29"/>
      <c r="K90" s="29"/>
      <c r="L90" s="29"/>
      <c r="M90" s="29"/>
      <c r="N90" s="29"/>
      <c r="O90" s="29"/>
      <c r="P90" s="29"/>
      <c r="Q90" s="29"/>
      <c r="R90" s="29">
        <f>-428+3108</f>
        <v>2680</v>
      </c>
      <c r="S90" s="29"/>
      <c r="T90" s="29"/>
      <c r="U90" s="65"/>
      <c r="V90" s="29"/>
      <c r="W90" s="29"/>
      <c r="X90" s="29"/>
      <c r="Y90" s="29"/>
      <c r="Z90" s="29"/>
      <c r="AA90" s="29">
        <f t="shared" si="36"/>
        <v>0</v>
      </c>
      <c r="AB90" s="81"/>
      <c r="AC90" s="29">
        <v>3108</v>
      </c>
      <c r="AE90" s="38">
        <v>428</v>
      </c>
      <c r="AF90" s="83">
        <f t="shared" si="35"/>
        <v>2680</v>
      </c>
      <c r="AG90" s="83">
        <f>E90-AF90</f>
        <v>0</v>
      </c>
      <c r="AI90" s="83"/>
    </row>
    <row r="91" spans="1:35" ht="19.5" customHeight="1">
      <c r="A91" s="48">
        <v>5</v>
      </c>
      <c r="B91" s="44" t="s">
        <v>728</v>
      </c>
      <c r="C91" s="29">
        <f>C92+C93</f>
        <v>3786</v>
      </c>
      <c r="D91" s="29">
        <f t="shared" ref="D91:T91" si="39">D92+D93</f>
        <v>16</v>
      </c>
      <c r="E91" s="29">
        <f t="shared" si="39"/>
        <v>3770</v>
      </c>
      <c r="F91" s="29">
        <f t="shared" si="39"/>
        <v>0</v>
      </c>
      <c r="G91" s="29">
        <f t="shared" si="39"/>
        <v>0</v>
      </c>
      <c r="H91" s="29">
        <f t="shared" si="39"/>
        <v>0</v>
      </c>
      <c r="I91" s="29">
        <f t="shared" si="39"/>
        <v>0</v>
      </c>
      <c r="J91" s="29">
        <f t="shared" si="39"/>
        <v>0</v>
      </c>
      <c r="K91" s="29">
        <f t="shared" si="39"/>
        <v>0</v>
      </c>
      <c r="L91" s="29">
        <f t="shared" si="39"/>
        <v>0</v>
      </c>
      <c r="M91" s="29">
        <f t="shared" si="39"/>
        <v>0</v>
      </c>
      <c r="N91" s="29">
        <f t="shared" si="39"/>
        <v>0</v>
      </c>
      <c r="O91" s="29">
        <f t="shared" si="39"/>
        <v>0</v>
      </c>
      <c r="P91" s="29">
        <f t="shared" si="39"/>
        <v>0</v>
      </c>
      <c r="Q91" s="29">
        <f t="shared" si="39"/>
        <v>0</v>
      </c>
      <c r="R91" s="29">
        <f t="shared" si="39"/>
        <v>1237</v>
      </c>
      <c r="S91" s="29">
        <f t="shared" si="39"/>
        <v>0</v>
      </c>
      <c r="T91" s="29">
        <f t="shared" si="39"/>
        <v>2533</v>
      </c>
      <c r="U91" s="65"/>
      <c r="V91" s="29"/>
      <c r="W91" s="29"/>
      <c r="X91" s="29"/>
      <c r="Y91" s="29"/>
      <c r="Z91" s="29"/>
      <c r="AA91" s="29">
        <f t="shared" ref="AA91:AA96" si="40">W91+X91+Y91+Z91</f>
        <v>0</v>
      </c>
      <c r="AC91" s="29"/>
      <c r="AF91" s="83">
        <f t="shared" si="35"/>
        <v>0</v>
      </c>
      <c r="AG91" s="83"/>
      <c r="AI91" s="83"/>
    </row>
    <row r="92" spans="1:35" s="38" customFormat="1" ht="24" customHeight="1">
      <c r="A92" s="57"/>
      <c r="B92" s="58" t="s">
        <v>690</v>
      </c>
      <c r="C92" s="29">
        <f t="shared" si="33"/>
        <v>2549</v>
      </c>
      <c r="D92" s="29">
        <v>16</v>
      </c>
      <c r="E92" s="29">
        <f t="shared" si="34"/>
        <v>2533</v>
      </c>
      <c r="F92" s="29"/>
      <c r="G92" s="29"/>
      <c r="H92" s="29"/>
      <c r="I92" s="29"/>
      <c r="J92" s="29"/>
      <c r="K92" s="29"/>
      <c r="L92" s="29"/>
      <c r="M92" s="29"/>
      <c r="N92" s="29"/>
      <c r="O92" s="29"/>
      <c r="P92" s="29"/>
      <c r="Q92" s="29"/>
      <c r="R92" s="29"/>
      <c r="S92" s="29"/>
      <c r="T92" s="29">
        <v>2533</v>
      </c>
      <c r="U92" s="65"/>
      <c r="V92" s="29"/>
      <c r="W92" s="29"/>
      <c r="X92" s="29"/>
      <c r="Y92" s="29"/>
      <c r="Z92" s="29"/>
      <c r="AA92" s="29">
        <f t="shared" si="40"/>
        <v>0</v>
      </c>
      <c r="AB92" s="81"/>
      <c r="AC92" s="29"/>
      <c r="AF92" s="83">
        <f t="shared" si="35"/>
        <v>0</v>
      </c>
      <c r="AG92" s="83"/>
      <c r="AI92" s="83">
        <f>E92-U92-V92</f>
        <v>2533</v>
      </c>
    </row>
    <row r="93" spans="1:35" s="38" customFormat="1" ht="24" customHeight="1">
      <c r="A93" s="57"/>
      <c r="B93" s="58" t="s">
        <v>691</v>
      </c>
      <c r="C93" s="29">
        <f t="shared" si="33"/>
        <v>1237</v>
      </c>
      <c r="D93" s="29"/>
      <c r="E93" s="29">
        <f t="shared" si="34"/>
        <v>1237</v>
      </c>
      <c r="F93" s="29"/>
      <c r="G93" s="29"/>
      <c r="H93" s="29"/>
      <c r="I93" s="29"/>
      <c r="J93" s="29"/>
      <c r="K93" s="29"/>
      <c r="L93" s="29"/>
      <c r="M93" s="29"/>
      <c r="N93" s="29"/>
      <c r="O93" s="29"/>
      <c r="P93" s="29"/>
      <c r="Q93" s="29"/>
      <c r="R93" s="29">
        <f>-160+1397</f>
        <v>1237</v>
      </c>
      <c r="S93" s="29"/>
      <c r="T93" s="29"/>
      <c r="U93" s="65"/>
      <c r="V93" s="29"/>
      <c r="W93" s="29"/>
      <c r="X93" s="29"/>
      <c r="Y93" s="29"/>
      <c r="Z93" s="29"/>
      <c r="AA93" s="29">
        <f t="shared" si="40"/>
        <v>0</v>
      </c>
      <c r="AB93" s="81"/>
      <c r="AC93" s="29">
        <v>1397</v>
      </c>
      <c r="AE93" s="38">
        <v>160</v>
      </c>
      <c r="AF93" s="83">
        <f t="shared" si="35"/>
        <v>1237</v>
      </c>
      <c r="AG93" s="83">
        <f>E93-AF93</f>
        <v>0</v>
      </c>
      <c r="AI93" s="83"/>
    </row>
    <row r="94" spans="1:35" ht="19.5" customHeight="1">
      <c r="A94" s="48">
        <v>6</v>
      </c>
      <c r="B94" s="44" t="s">
        <v>729</v>
      </c>
      <c r="C94" s="29">
        <f>C95+C96</f>
        <v>494</v>
      </c>
      <c r="D94" s="29">
        <f t="shared" ref="D94:T94" si="41">D95+D96</f>
        <v>0</v>
      </c>
      <c r="E94" s="29">
        <f t="shared" si="41"/>
        <v>494</v>
      </c>
      <c r="F94" s="29">
        <f t="shared" si="41"/>
        <v>0</v>
      </c>
      <c r="G94" s="29">
        <f t="shared" si="41"/>
        <v>0</v>
      </c>
      <c r="H94" s="29">
        <f t="shared" si="41"/>
        <v>0</v>
      </c>
      <c r="I94" s="29">
        <f t="shared" si="41"/>
        <v>0</v>
      </c>
      <c r="J94" s="29">
        <f t="shared" si="41"/>
        <v>0</v>
      </c>
      <c r="K94" s="29">
        <f t="shared" si="41"/>
        <v>0</v>
      </c>
      <c r="L94" s="29">
        <f t="shared" si="41"/>
        <v>0</v>
      </c>
      <c r="M94" s="29">
        <f t="shared" si="41"/>
        <v>0</v>
      </c>
      <c r="N94" s="29">
        <f t="shared" si="41"/>
        <v>0</v>
      </c>
      <c r="O94" s="29">
        <f t="shared" si="41"/>
        <v>0</v>
      </c>
      <c r="P94" s="29">
        <f t="shared" si="41"/>
        <v>0</v>
      </c>
      <c r="Q94" s="29">
        <f t="shared" si="41"/>
        <v>0</v>
      </c>
      <c r="R94" s="29">
        <f t="shared" si="41"/>
        <v>280</v>
      </c>
      <c r="S94" s="29">
        <f t="shared" si="41"/>
        <v>0</v>
      </c>
      <c r="T94" s="29">
        <f t="shared" si="41"/>
        <v>214</v>
      </c>
      <c r="U94" s="65"/>
      <c r="V94" s="29"/>
      <c r="W94" s="29"/>
      <c r="X94" s="29"/>
      <c r="Y94" s="29"/>
      <c r="Z94" s="29"/>
      <c r="AA94" s="29">
        <f t="shared" si="40"/>
        <v>0</v>
      </c>
      <c r="AC94" s="29"/>
      <c r="AF94" s="83">
        <f t="shared" si="35"/>
        <v>0</v>
      </c>
      <c r="AG94" s="83"/>
      <c r="AI94" s="83"/>
    </row>
    <row r="95" spans="1:35" s="38" customFormat="1" ht="24" customHeight="1">
      <c r="A95" s="57"/>
      <c r="B95" s="58" t="s">
        <v>690</v>
      </c>
      <c r="C95" s="29">
        <f t="shared" si="33"/>
        <v>214</v>
      </c>
      <c r="D95" s="29"/>
      <c r="E95" s="29">
        <f t="shared" si="34"/>
        <v>214</v>
      </c>
      <c r="F95" s="29"/>
      <c r="G95" s="29"/>
      <c r="H95" s="29"/>
      <c r="I95" s="29"/>
      <c r="J95" s="29"/>
      <c r="K95" s="29"/>
      <c r="L95" s="29"/>
      <c r="M95" s="29"/>
      <c r="N95" s="29"/>
      <c r="O95" s="29"/>
      <c r="P95" s="29"/>
      <c r="Q95" s="29"/>
      <c r="R95" s="29"/>
      <c r="S95" s="29"/>
      <c r="T95" s="29">
        <v>214</v>
      </c>
      <c r="U95" s="65"/>
      <c r="V95" s="29"/>
      <c r="W95" s="29"/>
      <c r="X95" s="29"/>
      <c r="Y95" s="29"/>
      <c r="Z95" s="29"/>
      <c r="AA95" s="29">
        <f t="shared" si="40"/>
        <v>0</v>
      </c>
      <c r="AB95" s="81"/>
      <c r="AC95" s="29"/>
      <c r="AF95" s="83">
        <f t="shared" si="35"/>
        <v>0</v>
      </c>
      <c r="AG95" s="83"/>
      <c r="AI95" s="83">
        <f>E95-U95-V95</f>
        <v>214</v>
      </c>
    </row>
    <row r="96" spans="1:35" s="38" customFormat="1" ht="24" customHeight="1">
      <c r="A96" s="57"/>
      <c r="B96" s="58" t="s">
        <v>691</v>
      </c>
      <c r="C96" s="29">
        <f t="shared" si="33"/>
        <v>280</v>
      </c>
      <c r="D96" s="29"/>
      <c r="E96" s="29">
        <f t="shared" si="34"/>
        <v>280</v>
      </c>
      <c r="F96" s="29"/>
      <c r="G96" s="29"/>
      <c r="H96" s="29"/>
      <c r="I96" s="29"/>
      <c r="J96" s="29"/>
      <c r="K96" s="29"/>
      <c r="L96" s="29"/>
      <c r="M96" s="29"/>
      <c r="N96" s="29"/>
      <c r="O96" s="29"/>
      <c r="P96" s="29"/>
      <c r="Q96" s="29"/>
      <c r="R96" s="29">
        <v>280</v>
      </c>
      <c r="S96" s="29"/>
      <c r="T96" s="29"/>
      <c r="U96" s="65"/>
      <c r="V96" s="29"/>
      <c r="W96" s="29"/>
      <c r="X96" s="29"/>
      <c r="Y96" s="29"/>
      <c r="Z96" s="29"/>
      <c r="AA96" s="29">
        <f t="shared" si="40"/>
        <v>0</v>
      </c>
      <c r="AB96" s="81"/>
      <c r="AC96" s="29">
        <v>280</v>
      </c>
      <c r="AF96" s="83">
        <f t="shared" si="35"/>
        <v>280</v>
      </c>
      <c r="AG96" s="83">
        <f>E96-AF96</f>
        <v>0</v>
      </c>
      <c r="AI96" s="83"/>
    </row>
    <row r="97" spans="1:35" ht="19.5" customHeight="1">
      <c r="A97" s="48">
        <v>7</v>
      </c>
      <c r="B97" s="44" t="s">
        <v>730</v>
      </c>
      <c r="C97" s="29">
        <f>C98+C99</f>
        <v>6080</v>
      </c>
      <c r="D97" s="29">
        <f t="shared" ref="D97:T97" si="42">D98+D99</f>
        <v>39</v>
      </c>
      <c r="E97" s="29">
        <f t="shared" si="42"/>
        <v>6041</v>
      </c>
      <c r="F97" s="29">
        <f t="shared" si="42"/>
        <v>0</v>
      </c>
      <c r="G97" s="29">
        <f t="shared" si="42"/>
        <v>0</v>
      </c>
      <c r="H97" s="29">
        <f t="shared" si="42"/>
        <v>0</v>
      </c>
      <c r="I97" s="29">
        <f t="shared" si="42"/>
        <v>0</v>
      </c>
      <c r="J97" s="29">
        <f t="shared" si="42"/>
        <v>0</v>
      </c>
      <c r="K97" s="29">
        <f t="shared" si="42"/>
        <v>0</v>
      </c>
      <c r="L97" s="29">
        <f t="shared" si="42"/>
        <v>0</v>
      </c>
      <c r="M97" s="29">
        <f t="shared" si="42"/>
        <v>0</v>
      </c>
      <c r="N97" s="29">
        <f t="shared" si="42"/>
        <v>0</v>
      </c>
      <c r="O97" s="29">
        <f t="shared" si="42"/>
        <v>0</v>
      </c>
      <c r="P97" s="29">
        <f t="shared" si="42"/>
        <v>0</v>
      </c>
      <c r="Q97" s="29">
        <f t="shared" si="42"/>
        <v>0</v>
      </c>
      <c r="R97" s="29">
        <f t="shared" si="42"/>
        <v>1570</v>
      </c>
      <c r="S97" s="29">
        <f t="shared" si="42"/>
        <v>0</v>
      </c>
      <c r="T97" s="29">
        <f t="shared" si="42"/>
        <v>4471</v>
      </c>
      <c r="U97" s="65"/>
      <c r="V97" s="29"/>
      <c r="W97" s="29"/>
      <c r="X97" s="29"/>
      <c r="Y97" s="29"/>
      <c r="Z97" s="29"/>
      <c r="AA97" s="29">
        <f t="shared" ref="AA97:AA113" si="43">W97+X97+Y97+Z97</f>
        <v>0</v>
      </c>
      <c r="AC97" s="29"/>
      <c r="AF97" s="83">
        <f t="shared" si="35"/>
        <v>0</v>
      </c>
      <c r="AG97" s="83"/>
      <c r="AI97" s="83"/>
    </row>
    <row r="98" spans="1:35" s="38" customFormat="1" ht="24" customHeight="1">
      <c r="A98" s="57"/>
      <c r="B98" s="58" t="s">
        <v>690</v>
      </c>
      <c r="C98" s="29">
        <f t="shared" si="33"/>
        <v>4500</v>
      </c>
      <c r="D98" s="29">
        <v>29</v>
      </c>
      <c r="E98" s="29">
        <f t="shared" si="34"/>
        <v>4471</v>
      </c>
      <c r="F98" s="29"/>
      <c r="G98" s="29"/>
      <c r="H98" s="29"/>
      <c r="I98" s="29"/>
      <c r="J98" s="29"/>
      <c r="K98" s="29"/>
      <c r="L98" s="29"/>
      <c r="M98" s="29"/>
      <c r="N98" s="29"/>
      <c r="O98" s="29"/>
      <c r="P98" s="29"/>
      <c r="Q98" s="29"/>
      <c r="R98" s="29"/>
      <c r="S98" s="29"/>
      <c r="T98" s="29">
        <v>4471</v>
      </c>
      <c r="U98" s="65"/>
      <c r="V98" s="29"/>
      <c r="W98" s="29"/>
      <c r="X98" s="29"/>
      <c r="Y98" s="29"/>
      <c r="Z98" s="29"/>
      <c r="AA98" s="29">
        <f t="shared" si="43"/>
        <v>0</v>
      </c>
      <c r="AB98" s="81"/>
      <c r="AC98" s="29"/>
      <c r="AF98" s="83">
        <f t="shared" si="35"/>
        <v>0</v>
      </c>
      <c r="AG98" s="83"/>
      <c r="AI98" s="83">
        <f>E98-U98-V98</f>
        <v>4471</v>
      </c>
    </row>
    <row r="99" spans="1:35" s="38" customFormat="1" ht="24" customHeight="1">
      <c r="A99" s="57"/>
      <c r="B99" s="58" t="s">
        <v>691</v>
      </c>
      <c r="C99" s="29">
        <f t="shared" si="33"/>
        <v>1580</v>
      </c>
      <c r="D99" s="29">
        <v>10</v>
      </c>
      <c r="E99" s="29">
        <f t="shared" si="34"/>
        <v>1570</v>
      </c>
      <c r="F99" s="29"/>
      <c r="G99" s="29"/>
      <c r="H99" s="29"/>
      <c r="I99" s="29"/>
      <c r="J99" s="29"/>
      <c r="K99" s="29"/>
      <c r="L99" s="29"/>
      <c r="M99" s="29"/>
      <c r="N99" s="29"/>
      <c r="O99" s="29"/>
      <c r="P99" s="29"/>
      <c r="Q99" s="29"/>
      <c r="R99" s="29">
        <f>-388+1958</f>
        <v>1570</v>
      </c>
      <c r="S99" s="29"/>
      <c r="T99" s="29"/>
      <c r="U99" s="65"/>
      <c r="V99" s="29"/>
      <c r="W99" s="29">
        <v>-388</v>
      </c>
      <c r="X99" s="29"/>
      <c r="Y99" s="29"/>
      <c r="Z99" s="29"/>
      <c r="AA99" s="29">
        <f t="shared" si="43"/>
        <v>-388</v>
      </c>
      <c r="AB99" s="81"/>
      <c r="AC99" s="29">
        <v>1570</v>
      </c>
      <c r="AF99" s="83">
        <f t="shared" si="35"/>
        <v>1570</v>
      </c>
      <c r="AG99" s="83">
        <f>E99-AF99</f>
        <v>0</v>
      </c>
      <c r="AI99" s="83"/>
    </row>
    <row r="100" spans="1:35" ht="19.5" customHeight="1">
      <c r="A100" s="48">
        <v>8</v>
      </c>
      <c r="B100" s="44" t="s">
        <v>731</v>
      </c>
      <c r="C100" s="29">
        <f>C101+C102</f>
        <v>1672</v>
      </c>
      <c r="D100" s="29">
        <f t="shared" ref="D100:T100" si="44">D101+D102</f>
        <v>0</v>
      </c>
      <c r="E100" s="29">
        <f t="shared" si="44"/>
        <v>1672</v>
      </c>
      <c r="F100" s="29">
        <f t="shared" si="44"/>
        <v>0</v>
      </c>
      <c r="G100" s="29">
        <f t="shared" si="44"/>
        <v>0</v>
      </c>
      <c r="H100" s="29">
        <f t="shared" si="44"/>
        <v>0</v>
      </c>
      <c r="I100" s="29">
        <f t="shared" si="44"/>
        <v>0</v>
      </c>
      <c r="J100" s="29">
        <f t="shared" si="44"/>
        <v>0</v>
      </c>
      <c r="K100" s="29">
        <f t="shared" si="44"/>
        <v>0</v>
      </c>
      <c r="L100" s="29">
        <f t="shared" si="44"/>
        <v>0</v>
      </c>
      <c r="M100" s="29">
        <f t="shared" si="44"/>
        <v>0</v>
      </c>
      <c r="N100" s="29">
        <f t="shared" si="44"/>
        <v>0</v>
      </c>
      <c r="O100" s="29">
        <f t="shared" si="44"/>
        <v>0</v>
      </c>
      <c r="P100" s="29">
        <f t="shared" si="44"/>
        <v>0</v>
      </c>
      <c r="Q100" s="29">
        <f t="shared" si="44"/>
        <v>0</v>
      </c>
      <c r="R100" s="29">
        <f t="shared" si="44"/>
        <v>801</v>
      </c>
      <c r="S100" s="29">
        <f t="shared" si="44"/>
        <v>0</v>
      </c>
      <c r="T100" s="29">
        <f t="shared" si="44"/>
        <v>871</v>
      </c>
      <c r="U100" s="65"/>
      <c r="V100" s="29"/>
      <c r="W100" s="29"/>
      <c r="X100" s="29"/>
      <c r="Y100" s="29"/>
      <c r="Z100" s="29"/>
      <c r="AA100" s="29">
        <f t="shared" si="43"/>
        <v>0</v>
      </c>
      <c r="AC100" s="29"/>
      <c r="AF100" s="83">
        <f t="shared" si="35"/>
        <v>0</v>
      </c>
      <c r="AG100" s="83"/>
      <c r="AI100" s="83"/>
    </row>
    <row r="101" spans="1:35" s="38" customFormat="1" ht="21.75" customHeight="1">
      <c r="A101" s="57"/>
      <c r="B101" s="58" t="s">
        <v>690</v>
      </c>
      <c r="C101" s="29">
        <f t="shared" si="33"/>
        <v>871</v>
      </c>
      <c r="D101" s="29"/>
      <c r="E101" s="29">
        <f t="shared" si="34"/>
        <v>871</v>
      </c>
      <c r="F101" s="29"/>
      <c r="G101" s="29"/>
      <c r="H101" s="29"/>
      <c r="I101" s="29"/>
      <c r="J101" s="29"/>
      <c r="K101" s="29"/>
      <c r="L101" s="29"/>
      <c r="M101" s="29"/>
      <c r="N101" s="29"/>
      <c r="O101" s="29"/>
      <c r="P101" s="29"/>
      <c r="Q101" s="29"/>
      <c r="R101" s="29"/>
      <c r="S101" s="29"/>
      <c r="T101" s="29">
        <f>115+756</f>
        <v>871</v>
      </c>
      <c r="U101" s="65"/>
      <c r="V101" s="29">
        <v>115</v>
      </c>
      <c r="W101" s="29"/>
      <c r="X101" s="29"/>
      <c r="Y101" s="29"/>
      <c r="Z101" s="29"/>
      <c r="AA101" s="29">
        <f t="shared" si="43"/>
        <v>0</v>
      </c>
      <c r="AB101" s="81" t="s">
        <v>732</v>
      </c>
      <c r="AC101" s="29"/>
      <c r="AF101" s="83">
        <f t="shared" si="35"/>
        <v>0</v>
      </c>
      <c r="AG101" s="83"/>
      <c r="AI101" s="83">
        <f>E101-U101-V101</f>
        <v>756</v>
      </c>
    </row>
    <row r="102" spans="1:35" s="38" customFormat="1" ht="24" customHeight="1">
      <c r="A102" s="57"/>
      <c r="B102" s="58" t="s">
        <v>691</v>
      </c>
      <c r="C102" s="29">
        <f t="shared" si="33"/>
        <v>801</v>
      </c>
      <c r="D102" s="29"/>
      <c r="E102" s="29">
        <f t="shared" si="34"/>
        <v>801</v>
      </c>
      <c r="F102" s="29"/>
      <c r="G102" s="29"/>
      <c r="H102" s="29"/>
      <c r="I102" s="29"/>
      <c r="J102" s="29"/>
      <c r="K102" s="29"/>
      <c r="L102" s="29"/>
      <c r="M102" s="29"/>
      <c r="N102" s="29"/>
      <c r="O102" s="29"/>
      <c r="P102" s="29"/>
      <c r="Q102" s="29"/>
      <c r="R102" s="29">
        <v>801</v>
      </c>
      <c r="S102" s="29"/>
      <c r="T102" s="29"/>
      <c r="U102" s="65"/>
      <c r="V102" s="29"/>
      <c r="W102" s="29"/>
      <c r="X102" s="29"/>
      <c r="Y102" s="29"/>
      <c r="Z102" s="29"/>
      <c r="AA102" s="29">
        <f t="shared" si="43"/>
        <v>0</v>
      </c>
      <c r="AB102" s="81"/>
      <c r="AC102" s="29">
        <v>801</v>
      </c>
      <c r="AF102" s="83">
        <f t="shared" si="35"/>
        <v>801</v>
      </c>
      <c r="AG102" s="83">
        <f>E102-AF102</f>
        <v>0</v>
      </c>
      <c r="AI102" s="83"/>
    </row>
    <row r="103" spans="1:35" ht="19.5" customHeight="1">
      <c r="A103" s="48">
        <v>9</v>
      </c>
      <c r="B103" s="44" t="s">
        <v>733</v>
      </c>
      <c r="C103" s="29">
        <f>C104</f>
        <v>580</v>
      </c>
      <c r="D103" s="29">
        <f t="shared" ref="D103:T103" si="45">D104</f>
        <v>0</v>
      </c>
      <c r="E103" s="29">
        <f t="shared" si="45"/>
        <v>580</v>
      </c>
      <c r="F103" s="29">
        <f t="shared" si="45"/>
        <v>0</v>
      </c>
      <c r="G103" s="29">
        <f t="shared" si="45"/>
        <v>0</v>
      </c>
      <c r="H103" s="29">
        <f t="shared" si="45"/>
        <v>0</v>
      </c>
      <c r="I103" s="29">
        <f t="shared" si="45"/>
        <v>0</v>
      </c>
      <c r="J103" s="29">
        <f t="shared" si="45"/>
        <v>0</v>
      </c>
      <c r="K103" s="29">
        <f t="shared" si="45"/>
        <v>0</v>
      </c>
      <c r="L103" s="29">
        <f t="shared" si="45"/>
        <v>0</v>
      </c>
      <c r="M103" s="29">
        <f t="shared" si="45"/>
        <v>0</v>
      </c>
      <c r="N103" s="29">
        <f t="shared" si="45"/>
        <v>0</v>
      </c>
      <c r="O103" s="29">
        <f t="shared" si="45"/>
        <v>0</v>
      </c>
      <c r="P103" s="29">
        <f t="shared" si="45"/>
        <v>0</v>
      </c>
      <c r="Q103" s="29">
        <f t="shared" si="45"/>
        <v>0</v>
      </c>
      <c r="R103" s="29">
        <f t="shared" si="45"/>
        <v>0</v>
      </c>
      <c r="S103" s="29">
        <f t="shared" si="45"/>
        <v>0</v>
      </c>
      <c r="T103" s="29">
        <f t="shared" si="45"/>
        <v>580</v>
      </c>
      <c r="U103" s="65"/>
      <c r="V103" s="29"/>
      <c r="W103" s="29"/>
      <c r="X103" s="29"/>
      <c r="Y103" s="29"/>
      <c r="Z103" s="29"/>
      <c r="AA103" s="29">
        <f t="shared" si="43"/>
        <v>0</v>
      </c>
      <c r="AC103" s="29"/>
      <c r="AF103" s="83">
        <f t="shared" si="35"/>
        <v>0</v>
      </c>
      <c r="AG103" s="83"/>
      <c r="AI103" s="83"/>
    </row>
    <row r="104" spans="1:35" s="38" customFormat="1" ht="24" customHeight="1">
      <c r="A104" s="57"/>
      <c r="B104" s="58" t="s">
        <v>690</v>
      </c>
      <c r="C104" s="29">
        <f t="shared" si="33"/>
        <v>580</v>
      </c>
      <c r="D104" s="29"/>
      <c r="E104" s="29">
        <f t="shared" si="34"/>
        <v>580</v>
      </c>
      <c r="F104" s="29"/>
      <c r="G104" s="29"/>
      <c r="H104" s="29"/>
      <c r="I104" s="29"/>
      <c r="J104" s="29"/>
      <c r="K104" s="29"/>
      <c r="L104" s="29"/>
      <c r="M104" s="29"/>
      <c r="N104" s="29"/>
      <c r="O104" s="29"/>
      <c r="P104" s="29"/>
      <c r="Q104" s="29"/>
      <c r="R104" s="29"/>
      <c r="S104" s="29"/>
      <c r="T104" s="29">
        <v>580</v>
      </c>
      <c r="U104" s="65"/>
      <c r="V104" s="29"/>
      <c r="W104" s="29"/>
      <c r="X104" s="29"/>
      <c r="Y104" s="29"/>
      <c r="Z104" s="29"/>
      <c r="AA104" s="29">
        <f t="shared" si="43"/>
        <v>0</v>
      </c>
      <c r="AB104" s="81"/>
      <c r="AC104" s="29"/>
      <c r="AF104" s="83">
        <f t="shared" si="35"/>
        <v>0</v>
      </c>
      <c r="AG104" s="83"/>
      <c r="AI104" s="83">
        <f>E104-U104-V104</f>
        <v>580</v>
      </c>
    </row>
    <row r="105" spans="1:35" ht="19.5" customHeight="1">
      <c r="A105" s="48">
        <v>10</v>
      </c>
      <c r="B105" s="44" t="s">
        <v>734</v>
      </c>
      <c r="C105" s="29">
        <f>C106+C107</f>
        <v>3386</v>
      </c>
      <c r="D105" s="29">
        <f t="shared" ref="D105:T105" si="46">D106+D107</f>
        <v>44</v>
      </c>
      <c r="E105" s="29">
        <f t="shared" si="46"/>
        <v>3342</v>
      </c>
      <c r="F105" s="29">
        <f t="shared" si="46"/>
        <v>0</v>
      </c>
      <c r="G105" s="29">
        <f t="shared" si="46"/>
        <v>0</v>
      </c>
      <c r="H105" s="29">
        <f t="shared" si="46"/>
        <v>0</v>
      </c>
      <c r="I105" s="29">
        <f t="shared" si="46"/>
        <v>0</v>
      </c>
      <c r="J105" s="29">
        <f t="shared" si="46"/>
        <v>0</v>
      </c>
      <c r="K105" s="29">
        <f t="shared" si="46"/>
        <v>0</v>
      </c>
      <c r="L105" s="29">
        <f t="shared" si="46"/>
        <v>0</v>
      </c>
      <c r="M105" s="29">
        <f t="shared" si="46"/>
        <v>0</v>
      </c>
      <c r="N105" s="29">
        <f t="shared" si="46"/>
        <v>0</v>
      </c>
      <c r="O105" s="29">
        <f t="shared" si="46"/>
        <v>0</v>
      </c>
      <c r="P105" s="29">
        <f t="shared" si="46"/>
        <v>0</v>
      </c>
      <c r="Q105" s="29">
        <f t="shared" si="46"/>
        <v>0</v>
      </c>
      <c r="R105" s="29">
        <f t="shared" si="46"/>
        <v>1456</v>
      </c>
      <c r="S105" s="29">
        <f t="shared" si="46"/>
        <v>0</v>
      </c>
      <c r="T105" s="29">
        <f t="shared" si="46"/>
        <v>1886</v>
      </c>
      <c r="U105" s="65"/>
      <c r="V105" s="29"/>
      <c r="W105" s="29"/>
      <c r="X105" s="29"/>
      <c r="Y105" s="29"/>
      <c r="Z105" s="29"/>
      <c r="AA105" s="29">
        <f t="shared" si="43"/>
        <v>0</v>
      </c>
      <c r="AC105" s="29"/>
      <c r="AF105" s="83">
        <f t="shared" si="35"/>
        <v>0</v>
      </c>
      <c r="AG105" s="83"/>
      <c r="AI105" s="83"/>
    </row>
    <row r="106" spans="1:35" s="38" customFormat="1" ht="25.5" customHeight="1">
      <c r="A106" s="57"/>
      <c r="B106" s="58" t="s">
        <v>690</v>
      </c>
      <c r="C106" s="29">
        <f t="shared" si="33"/>
        <v>1915</v>
      </c>
      <c r="D106" s="29">
        <v>29</v>
      </c>
      <c r="E106" s="29">
        <f t="shared" si="34"/>
        <v>1886</v>
      </c>
      <c r="F106" s="29"/>
      <c r="G106" s="29"/>
      <c r="H106" s="29"/>
      <c r="I106" s="29"/>
      <c r="J106" s="29"/>
      <c r="K106" s="29"/>
      <c r="L106" s="29"/>
      <c r="M106" s="29"/>
      <c r="N106" s="29"/>
      <c r="O106" s="29"/>
      <c r="P106" s="29"/>
      <c r="Q106" s="29"/>
      <c r="R106" s="29"/>
      <c r="S106" s="29"/>
      <c r="T106" s="29">
        <f>90+1796</f>
        <v>1886</v>
      </c>
      <c r="U106" s="65"/>
      <c r="V106" s="29">
        <v>90</v>
      </c>
      <c r="W106" s="29"/>
      <c r="X106" s="29"/>
      <c r="Y106" s="29"/>
      <c r="Z106" s="29"/>
      <c r="AA106" s="29">
        <f t="shared" si="43"/>
        <v>0</v>
      </c>
      <c r="AB106" s="81" t="s">
        <v>735</v>
      </c>
      <c r="AC106" s="29"/>
      <c r="AF106" s="83">
        <f t="shared" si="35"/>
        <v>0</v>
      </c>
      <c r="AG106" s="83"/>
      <c r="AI106" s="83">
        <f>E106-U106-V106</f>
        <v>1796</v>
      </c>
    </row>
    <row r="107" spans="1:35" s="38" customFormat="1" ht="24" customHeight="1">
      <c r="A107" s="57"/>
      <c r="B107" s="58" t="s">
        <v>691</v>
      </c>
      <c r="C107" s="29">
        <f t="shared" si="33"/>
        <v>1471</v>
      </c>
      <c r="D107" s="29">
        <v>15</v>
      </c>
      <c r="E107" s="29">
        <f t="shared" si="34"/>
        <v>1456</v>
      </c>
      <c r="F107" s="29"/>
      <c r="G107" s="29"/>
      <c r="H107" s="29"/>
      <c r="I107" s="29"/>
      <c r="J107" s="29"/>
      <c r="K107" s="29"/>
      <c r="L107" s="29"/>
      <c r="M107" s="29"/>
      <c r="N107" s="29"/>
      <c r="O107" s="29"/>
      <c r="P107" s="29"/>
      <c r="Q107" s="29"/>
      <c r="R107" s="29">
        <v>1456</v>
      </c>
      <c r="S107" s="29"/>
      <c r="T107" s="29"/>
      <c r="U107" s="65"/>
      <c r="V107" s="29"/>
      <c r="W107" s="29"/>
      <c r="X107" s="29"/>
      <c r="Y107" s="29"/>
      <c r="Z107" s="29"/>
      <c r="AA107" s="29">
        <f t="shared" si="43"/>
        <v>0</v>
      </c>
      <c r="AB107" s="81"/>
      <c r="AC107" s="29">
        <v>1456</v>
      </c>
      <c r="AF107" s="83">
        <f t="shared" si="35"/>
        <v>1456</v>
      </c>
      <c r="AG107" s="83">
        <f>E107-AF107</f>
        <v>0</v>
      </c>
      <c r="AI107" s="83"/>
    </row>
    <row r="108" spans="1:35" ht="33" customHeight="1">
      <c r="A108" s="48">
        <v>11</v>
      </c>
      <c r="B108" s="44" t="s">
        <v>736</v>
      </c>
      <c r="C108" s="29">
        <f>C109+C110</f>
        <v>1163</v>
      </c>
      <c r="D108" s="29">
        <f t="shared" ref="D108:T108" si="47">D109+D110</f>
        <v>0</v>
      </c>
      <c r="E108" s="29">
        <f t="shared" si="47"/>
        <v>1163</v>
      </c>
      <c r="F108" s="29">
        <f t="shared" si="47"/>
        <v>0</v>
      </c>
      <c r="G108" s="29">
        <f t="shared" si="47"/>
        <v>0</v>
      </c>
      <c r="H108" s="29">
        <f t="shared" si="47"/>
        <v>0</v>
      </c>
      <c r="I108" s="29">
        <f t="shared" si="47"/>
        <v>0</v>
      </c>
      <c r="J108" s="29">
        <f t="shared" si="47"/>
        <v>0</v>
      </c>
      <c r="K108" s="29">
        <f t="shared" si="47"/>
        <v>0</v>
      </c>
      <c r="L108" s="29">
        <f t="shared" si="47"/>
        <v>0</v>
      </c>
      <c r="M108" s="29">
        <f t="shared" si="47"/>
        <v>0</v>
      </c>
      <c r="N108" s="29">
        <f t="shared" si="47"/>
        <v>0</v>
      </c>
      <c r="O108" s="29">
        <f t="shared" si="47"/>
        <v>0</v>
      </c>
      <c r="P108" s="29">
        <f t="shared" si="47"/>
        <v>0</v>
      </c>
      <c r="Q108" s="29">
        <f t="shared" si="47"/>
        <v>0</v>
      </c>
      <c r="R108" s="29">
        <f t="shared" si="47"/>
        <v>650</v>
      </c>
      <c r="S108" s="29">
        <f t="shared" si="47"/>
        <v>0</v>
      </c>
      <c r="T108" s="29">
        <f t="shared" si="47"/>
        <v>513</v>
      </c>
      <c r="U108" s="65"/>
      <c r="V108" s="29"/>
      <c r="W108" s="29"/>
      <c r="X108" s="29"/>
      <c r="Y108" s="29"/>
      <c r="Z108" s="29"/>
      <c r="AA108" s="29">
        <f t="shared" si="43"/>
        <v>0</v>
      </c>
      <c r="AC108" s="29"/>
      <c r="AF108" s="83">
        <f t="shared" si="35"/>
        <v>0</v>
      </c>
      <c r="AG108" s="83"/>
      <c r="AI108" s="83"/>
    </row>
    <row r="109" spans="1:35" s="38" customFormat="1" ht="24" customHeight="1">
      <c r="A109" s="57"/>
      <c r="B109" s="58" t="s">
        <v>690</v>
      </c>
      <c r="C109" s="29">
        <f t="shared" si="33"/>
        <v>513</v>
      </c>
      <c r="D109" s="29"/>
      <c r="E109" s="29">
        <f t="shared" si="34"/>
        <v>513</v>
      </c>
      <c r="F109" s="29"/>
      <c r="G109" s="29"/>
      <c r="H109" s="29"/>
      <c r="I109" s="29"/>
      <c r="J109" s="29"/>
      <c r="K109" s="29"/>
      <c r="L109" s="29"/>
      <c r="M109" s="29"/>
      <c r="N109" s="29"/>
      <c r="O109" s="29"/>
      <c r="P109" s="29"/>
      <c r="Q109" s="29"/>
      <c r="R109" s="29"/>
      <c r="S109" s="29"/>
      <c r="T109" s="29">
        <v>513</v>
      </c>
      <c r="U109" s="65"/>
      <c r="V109" s="29"/>
      <c r="W109" s="29"/>
      <c r="X109" s="29"/>
      <c r="Y109" s="29"/>
      <c r="Z109" s="29"/>
      <c r="AA109" s="29">
        <f t="shared" si="43"/>
        <v>0</v>
      </c>
      <c r="AB109" s="81"/>
      <c r="AC109" s="29"/>
      <c r="AF109" s="83">
        <f t="shared" si="35"/>
        <v>0</v>
      </c>
      <c r="AG109" s="83"/>
      <c r="AI109" s="83">
        <f>E109-U109-V109</f>
        <v>513</v>
      </c>
    </row>
    <row r="110" spans="1:35" s="38" customFormat="1" ht="24" customHeight="1">
      <c r="A110" s="57"/>
      <c r="B110" s="58" t="s">
        <v>691</v>
      </c>
      <c r="C110" s="29">
        <f t="shared" si="33"/>
        <v>650</v>
      </c>
      <c r="D110" s="29"/>
      <c r="E110" s="29">
        <f t="shared" si="34"/>
        <v>650</v>
      </c>
      <c r="F110" s="29"/>
      <c r="G110" s="29"/>
      <c r="H110" s="29"/>
      <c r="I110" s="29"/>
      <c r="J110" s="29"/>
      <c r="K110" s="29"/>
      <c r="L110" s="29"/>
      <c r="M110" s="29"/>
      <c r="N110" s="29"/>
      <c r="O110" s="29"/>
      <c r="P110" s="29"/>
      <c r="Q110" s="29"/>
      <c r="R110" s="29">
        <v>650</v>
      </c>
      <c r="S110" s="29"/>
      <c r="T110" s="29"/>
      <c r="U110" s="65"/>
      <c r="V110" s="29"/>
      <c r="W110" s="29"/>
      <c r="X110" s="29"/>
      <c r="Y110" s="29"/>
      <c r="Z110" s="29"/>
      <c r="AA110" s="29">
        <f t="shared" si="43"/>
        <v>0</v>
      </c>
      <c r="AB110" s="81"/>
      <c r="AC110" s="29">
        <v>650</v>
      </c>
      <c r="AF110" s="83">
        <f t="shared" si="35"/>
        <v>650</v>
      </c>
      <c r="AG110" s="83">
        <f>E110-AF110</f>
        <v>0</v>
      </c>
      <c r="AI110" s="83"/>
    </row>
    <row r="111" spans="1:35" ht="34.5" customHeight="1">
      <c r="A111" s="48">
        <v>12</v>
      </c>
      <c r="B111" s="44" t="s">
        <v>737</v>
      </c>
      <c r="C111" s="29">
        <f>C112+C113</f>
        <v>1167</v>
      </c>
      <c r="D111" s="29">
        <f t="shared" ref="D111:T111" si="48">D112+D113</f>
        <v>24</v>
      </c>
      <c r="E111" s="29">
        <f t="shared" si="48"/>
        <v>1143</v>
      </c>
      <c r="F111" s="29">
        <f t="shared" si="48"/>
        <v>0</v>
      </c>
      <c r="G111" s="29">
        <f t="shared" si="48"/>
        <v>0</v>
      </c>
      <c r="H111" s="29">
        <f t="shared" si="48"/>
        <v>0</v>
      </c>
      <c r="I111" s="29">
        <f t="shared" si="48"/>
        <v>0</v>
      </c>
      <c r="J111" s="29">
        <f t="shared" si="48"/>
        <v>0</v>
      </c>
      <c r="K111" s="29">
        <f t="shared" si="48"/>
        <v>0</v>
      </c>
      <c r="L111" s="29">
        <f t="shared" si="48"/>
        <v>0</v>
      </c>
      <c r="M111" s="29">
        <f t="shared" si="48"/>
        <v>0</v>
      </c>
      <c r="N111" s="29">
        <f t="shared" si="48"/>
        <v>0</v>
      </c>
      <c r="O111" s="29">
        <f t="shared" si="48"/>
        <v>0</v>
      </c>
      <c r="P111" s="29">
        <f t="shared" si="48"/>
        <v>0</v>
      </c>
      <c r="Q111" s="29">
        <f t="shared" si="48"/>
        <v>0</v>
      </c>
      <c r="R111" s="29">
        <f t="shared" si="48"/>
        <v>742</v>
      </c>
      <c r="S111" s="29">
        <f t="shared" si="48"/>
        <v>0</v>
      </c>
      <c r="T111" s="29">
        <f t="shared" si="48"/>
        <v>401</v>
      </c>
      <c r="U111" s="65"/>
      <c r="V111" s="29"/>
      <c r="W111" s="29"/>
      <c r="X111" s="29"/>
      <c r="Y111" s="29"/>
      <c r="Z111" s="29"/>
      <c r="AA111" s="29">
        <f t="shared" si="43"/>
        <v>0</v>
      </c>
      <c r="AC111" s="29"/>
      <c r="AF111" s="83">
        <f t="shared" si="35"/>
        <v>0</v>
      </c>
      <c r="AG111" s="83"/>
      <c r="AI111" s="83"/>
    </row>
    <row r="112" spans="1:35" s="38" customFormat="1" ht="24" customHeight="1">
      <c r="A112" s="57"/>
      <c r="B112" s="58" t="s">
        <v>690</v>
      </c>
      <c r="C112" s="29">
        <f t="shared" si="33"/>
        <v>401</v>
      </c>
      <c r="D112" s="29"/>
      <c r="E112" s="29">
        <f t="shared" si="34"/>
        <v>401</v>
      </c>
      <c r="F112" s="29"/>
      <c r="G112" s="29"/>
      <c r="H112" s="29"/>
      <c r="I112" s="29"/>
      <c r="J112" s="29"/>
      <c r="K112" s="29"/>
      <c r="L112" s="29"/>
      <c r="M112" s="29"/>
      <c r="N112" s="29"/>
      <c r="O112" s="29"/>
      <c r="P112" s="29"/>
      <c r="Q112" s="29"/>
      <c r="R112" s="29"/>
      <c r="S112" s="29"/>
      <c r="T112" s="29">
        <v>401</v>
      </c>
      <c r="U112" s="65"/>
      <c r="V112" s="29"/>
      <c r="W112" s="29"/>
      <c r="X112" s="29"/>
      <c r="Y112" s="29"/>
      <c r="Z112" s="29"/>
      <c r="AA112" s="29">
        <f t="shared" si="43"/>
        <v>0</v>
      </c>
      <c r="AB112" s="81"/>
      <c r="AC112" s="29"/>
      <c r="AF112" s="83">
        <f t="shared" si="35"/>
        <v>0</v>
      </c>
      <c r="AG112" s="83"/>
      <c r="AI112" s="83">
        <f>E112-U112-V112</f>
        <v>401</v>
      </c>
    </row>
    <row r="113" spans="1:35" s="38" customFormat="1" ht="24" customHeight="1">
      <c r="A113" s="57"/>
      <c r="B113" s="58" t="s">
        <v>691</v>
      </c>
      <c r="C113" s="29">
        <f t="shared" si="33"/>
        <v>766</v>
      </c>
      <c r="D113" s="29">
        <v>24</v>
      </c>
      <c r="E113" s="29">
        <f t="shared" si="34"/>
        <v>742</v>
      </c>
      <c r="F113" s="29"/>
      <c r="G113" s="29"/>
      <c r="H113" s="29"/>
      <c r="I113" s="29"/>
      <c r="J113" s="29"/>
      <c r="K113" s="29"/>
      <c r="L113" s="29"/>
      <c r="M113" s="29"/>
      <c r="N113" s="29"/>
      <c r="O113" s="29"/>
      <c r="P113" s="29"/>
      <c r="Q113" s="29"/>
      <c r="R113" s="29">
        <v>742</v>
      </c>
      <c r="S113" s="29"/>
      <c r="T113" s="29"/>
      <c r="U113" s="65"/>
      <c r="V113" s="29"/>
      <c r="W113" s="29"/>
      <c r="X113" s="29"/>
      <c r="Y113" s="29"/>
      <c r="Z113" s="29"/>
      <c r="AA113" s="29">
        <f t="shared" si="43"/>
        <v>0</v>
      </c>
      <c r="AB113" s="81"/>
      <c r="AC113" s="29">
        <v>742</v>
      </c>
      <c r="AF113" s="83">
        <f t="shared" si="35"/>
        <v>742</v>
      </c>
      <c r="AG113" s="83">
        <f>E113-AF113</f>
        <v>0</v>
      </c>
      <c r="AI113" s="83"/>
    </row>
    <row r="114" spans="1:35" ht="31.5" customHeight="1">
      <c r="A114" s="48">
        <v>13</v>
      </c>
      <c r="B114" s="44" t="s">
        <v>738</v>
      </c>
      <c r="C114" s="29">
        <f>C115+C116</f>
        <v>1580</v>
      </c>
      <c r="D114" s="29">
        <f t="shared" ref="D114:T114" si="49">D115+D116</f>
        <v>9</v>
      </c>
      <c r="E114" s="29">
        <f t="shared" si="49"/>
        <v>1571</v>
      </c>
      <c r="F114" s="29">
        <f t="shared" si="49"/>
        <v>0</v>
      </c>
      <c r="G114" s="29">
        <f t="shared" si="49"/>
        <v>0</v>
      </c>
      <c r="H114" s="29">
        <f t="shared" si="49"/>
        <v>0</v>
      </c>
      <c r="I114" s="29">
        <f t="shared" si="49"/>
        <v>0</v>
      </c>
      <c r="J114" s="29">
        <f t="shared" si="49"/>
        <v>0</v>
      </c>
      <c r="K114" s="29">
        <f t="shared" si="49"/>
        <v>0</v>
      </c>
      <c r="L114" s="29">
        <f t="shared" si="49"/>
        <v>0</v>
      </c>
      <c r="M114" s="29">
        <f t="shared" si="49"/>
        <v>0</v>
      </c>
      <c r="N114" s="29">
        <f t="shared" si="49"/>
        <v>0</v>
      </c>
      <c r="O114" s="29">
        <f t="shared" si="49"/>
        <v>0</v>
      </c>
      <c r="P114" s="29">
        <f t="shared" si="49"/>
        <v>0</v>
      </c>
      <c r="Q114" s="29">
        <f t="shared" si="49"/>
        <v>0</v>
      </c>
      <c r="R114" s="29">
        <f t="shared" si="49"/>
        <v>831</v>
      </c>
      <c r="S114" s="29">
        <f t="shared" si="49"/>
        <v>0</v>
      </c>
      <c r="T114" s="29">
        <f t="shared" si="49"/>
        <v>740</v>
      </c>
      <c r="U114" s="65"/>
      <c r="V114" s="29"/>
      <c r="W114" s="29"/>
      <c r="X114" s="29"/>
      <c r="Y114" s="29"/>
      <c r="Z114" s="29"/>
      <c r="AA114" s="29">
        <f t="shared" ref="AA114:AA124" si="50">W114+X114+Y114+Z114</f>
        <v>0</v>
      </c>
      <c r="AC114" s="29"/>
      <c r="AF114" s="83">
        <f t="shared" si="35"/>
        <v>0</v>
      </c>
      <c r="AG114" s="83"/>
      <c r="AI114" s="83"/>
    </row>
    <row r="115" spans="1:35" s="38" customFormat="1" ht="24" customHeight="1">
      <c r="A115" s="57"/>
      <c r="B115" s="58" t="s">
        <v>690</v>
      </c>
      <c r="C115" s="29">
        <f t="shared" si="33"/>
        <v>740</v>
      </c>
      <c r="D115" s="29"/>
      <c r="E115" s="29">
        <f t="shared" si="34"/>
        <v>740</v>
      </c>
      <c r="F115" s="29"/>
      <c r="G115" s="29"/>
      <c r="H115" s="29"/>
      <c r="I115" s="29"/>
      <c r="J115" s="29"/>
      <c r="K115" s="29"/>
      <c r="L115" s="29"/>
      <c r="M115" s="29"/>
      <c r="N115" s="29"/>
      <c r="O115" s="29"/>
      <c r="P115" s="29"/>
      <c r="Q115" s="29"/>
      <c r="R115" s="29"/>
      <c r="S115" s="29"/>
      <c r="T115" s="29">
        <v>740</v>
      </c>
      <c r="U115" s="65"/>
      <c r="V115" s="29"/>
      <c r="W115" s="29"/>
      <c r="X115" s="29"/>
      <c r="Y115" s="29"/>
      <c r="Z115" s="29"/>
      <c r="AA115" s="29">
        <f t="shared" si="50"/>
        <v>0</v>
      </c>
      <c r="AB115" s="81"/>
      <c r="AC115" s="29"/>
      <c r="AF115" s="83">
        <f t="shared" si="35"/>
        <v>0</v>
      </c>
      <c r="AG115" s="83"/>
      <c r="AI115" s="83">
        <f>E115-U115-V115</f>
        <v>740</v>
      </c>
    </row>
    <row r="116" spans="1:35" s="38" customFormat="1" ht="24" customHeight="1">
      <c r="A116" s="57"/>
      <c r="B116" s="58" t="s">
        <v>691</v>
      </c>
      <c r="C116" s="29">
        <f t="shared" si="33"/>
        <v>840</v>
      </c>
      <c r="D116" s="29">
        <v>9</v>
      </c>
      <c r="E116" s="29">
        <f t="shared" si="34"/>
        <v>831</v>
      </c>
      <c r="F116" s="29"/>
      <c r="G116" s="29"/>
      <c r="H116" s="29"/>
      <c r="I116" s="29"/>
      <c r="J116" s="29"/>
      <c r="K116" s="29"/>
      <c r="L116" s="29"/>
      <c r="M116" s="29"/>
      <c r="N116" s="29"/>
      <c r="O116" s="29"/>
      <c r="P116" s="29"/>
      <c r="Q116" s="29"/>
      <c r="R116" s="29">
        <v>831</v>
      </c>
      <c r="S116" s="29"/>
      <c r="T116" s="29"/>
      <c r="U116" s="65"/>
      <c r="V116" s="29"/>
      <c r="W116" s="29"/>
      <c r="X116" s="29"/>
      <c r="Y116" s="29"/>
      <c r="Z116" s="29"/>
      <c r="AA116" s="29">
        <f t="shared" si="50"/>
        <v>0</v>
      </c>
      <c r="AB116" s="81"/>
      <c r="AC116" s="29">
        <v>831</v>
      </c>
      <c r="AF116" s="83">
        <f t="shared" si="35"/>
        <v>831</v>
      </c>
      <c r="AG116" s="83">
        <f>E116-AF116</f>
        <v>0</v>
      </c>
      <c r="AI116" s="83"/>
    </row>
    <row r="117" spans="1:35" ht="19.5" customHeight="1">
      <c r="A117" s="48">
        <v>14</v>
      </c>
      <c r="B117" s="44" t="s">
        <v>739</v>
      </c>
      <c r="C117" s="29">
        <f>C118+C119</f>
        <v>1384</v>
      </c>
      <c r="D117" s="29">
        <f t="shared" ref="D117:T117" si="51">D118+D119</f>
        <v>0</v>
      </c>
      <c r="E117" s="29">
        <f t="shared" si="51"/>
        <v>1384</v>
      </c>
      <c r="F117" s="29">
        <f t="shared" si="51"/>
        <v>0</v>
      </c>
      <c r="G117" s="29">
        <f t="shared" si="51"/>
        <v>0</v>
      </c>
      <c r="H117" s="29">
        <f t="shared" si="51"/>
        <v>0</v>
      </c>
      <c r="I117" s="29">
        <f t="shared" si="51"/>
        <v>0</v>
      </c>
      <c r="J117" s="29">
        <f t="shared" si="51"/>
        <v>0</v>
      </c>
      <c r="K117" s="29">
        <f t="shared" si="51"/>
        <v>0</v>
      </c>
      <c r="L117" s="29">
        <f t="shared" si="51"/>
        <v>0</v>
      </c>
      <c r="M117" s="29">
        <f t="shared" si="51"/>
        <v>0</v>
      </c>
      <c r="N117" s="29">
        <f t="shared" si="51"/>
        <v>0</v>
      </c>
      <c r="O117" s="29">
        <f t="shared" si="51"/>
        <v>0</v>
      </c>
      <c r="P117" s="29">
        <f t="shared" si="51"/>
        <v>0</v>
      </c>
      <c r="Q117" s="29">
        <f t="shared" si="51"/>
        <v>0</v>
      </c>
      <c r="R117" s="29">
        <f t="shared" si="51"/>
        <v>830</v>
      </c>
      <c r="S117" s="29">
        <f t="shared" si="51"/>
        <v>0</v>
      </c>
      <c r="T117" s="29">
        <f t="shared" si="51"/>
        <v>554</v>
      </c>
      <c r="U117" s="65"/>
      <c r="V117" s="29"/>
      <c r="W117" s="29"/>
      <c r="X117" s="29"/>
      <c r="Y117" s="29"/>
      <c r="Z117" s="29"/>
      <c r="AA117" s="29">
        <f t="shared" si="50"/>
        <v>0</v>
      </c>
      <c r="AC117" s="29"/>
      <c r="AF117" s="83">
        <f t="shared" si="35"/>
        <v>0</v>
      </c>
      <c r="AG117" s="83"/>
      <c r="AI117" s="83"/>
    </row>
    <row r="118" spans="1:35" s="38" customFormat="1" ht="24" customHeight="1">
      <c r="A118" s="57"/>
      <c r="B118" s="58" t="s">
        <v>690</v>
      </c>
      <c r="C118" s="29">
        <f t="shared" si="33"/>
        <v>554</v>
      </c>
      <c r="D118" s="29"/>
      <c r="E118" s="29">
        <f t="shared" si="34"/>
        <v>554</v>
      </c>
      <c r="F118" s="29"/>
      <c r="G118" s="29"/>
      <c r="H118" s="29"/>
      <c r="I118" s="29"/>
      <c r="J118" s="29"/>
      <c r="K118" s="29"/>
      <c r="L118" s="29"/>
      <c r="M118" s="29"/>
      <c r="N118" s="29"/>
      <c r="O118" s="29"/>
      <c r="P118" s="29"/>
      <c r="Q118" s="29"/>
      <c r="R118" s="29"/>
      <c r="S118" s="29"/>
      <c r="T118" s="29">
        <v>554</v>
      </c>
      <c r="U118" s="65"/>
      <c r="V118" s="29"/>
      <c r="W118" s="29"/>
      <c r="X118" s="29"/>
      <c r="Y118" s="29"/>
      <c r="Z118" s="29"/>
      <c r="AA118" s="29">
        <f t="shared" si="50"/>
        <v>0</v>
      </c>
      <c r="AB118" s="81"/>
      <c r="AC118" s="29"/>
      <c r="AF118" s="83">
        <f t="shared" si="35"/>
        <v>0</v>
      </c>
      <c r="AG118" s="83"/>
      <c r="AI118" s="83">
        <f>E118-U118-V118</f>
        <v>554</v>
      </c>
    </row>
    <row r="119" spans="1:35" s="38" customFormat="1" ht="24" customHeight="1">
      <c r="A119" s="57"/>
      <c r="B119" s="58" t="s">
        <v>691</v>
      </c>
      <c r="C119" s="29">
        <f t="shared" si="33"/>
        <v>830</v>
      </c>
      <c r="D119" s="29"/>
      <c r="E119" s="29">
        <f t="shared" si="34"/>
        <v>830</v>
      </c>
      <c r="F119" s="29"/>
      <c r="G119" s="29"/>
      <c r="H119" s="29"/>
      <c r="I119" s="29"/>
      <c r="J119" s="29"/>
      <c r="K119" s="29"/>
      <c r="L119" s="29"/>
      <c r="M119" s="29"/>
      <c r="N119" s="29"/>
      <c r="O119" s="29"/>
      <c r="P119" s="29"/>
      <c r="Q119" s="29"/>
      <c r="R119" s="29">
        <v>830</v>
      </c>
      <c r="S119" s="29"/>
      <c r="T119" s="29"/>
      <c r="U119" s="65"/>
      <c r="V119" s="29"/>
      <c r="W119" s="29"/>
      <c r="X119" s="29"/>
      <c r="Y119" s="29"/>
      <c r="Z119" s="29"/>
      <c r="AA119" s="29">
        <f t="shared" si="50"/>
        <v>0</v>
      </c>
      <c r="AB119" s="81"/>
      <c r="AC119" s="29">
        <v>830</v>
      </c>
      <c r="AF119" s="83">
        <f t="shared" si="35"/>
        <v>830</v>
      </c>
      <c r="AG119" s="83">
        <f>E119-AF119</f>
        <v>0</v>
      </c>
      <c r="AI119" s="83"/>
    </row>
    <row r="120" spans="1:35" ht="19.5" customHeight="1">
      <c r="A120" s="48">
        <v>15</v>
      </c>
      <c r="B120" s="44" t="s">
        <v>740</v>
      </c>
      <c r="C120" s="29">
        <f>C121</f>
        <v>804</v>
      </c>
      <c r="D120" s="29">
        <f t="shared" ref="D120:T120" si="52">D121</f>
        <v>0</v>
      </c>
      <c r="E120" s="29">
        <f t="shared" si="52"/>
        <v>804</v>
      </c>
      <c r="F120" s="29">
        <f t="shared" si="52"/>
        <v>0</v>
      </c>
      <c r="G120" s="29">
        <f t="shared" si="52"/>
        <v>0</v>
      </c>
      <c r="H120" s="29">
        <f t="shared" si="52"/>
        <v>0</v>
      </c>
      <c r="I120" s="29">
        <f t="shared" si="52"/>
        <v>0</v>
      </c>
      <c r="J120" s="29">
        <f t="shared" si="52"/>
        <v>0</v>
      </c>
      <c r="K120" s="29">
        <f t="shared" si="52"/>
        <v>0</v>
      </c>
      <c r="L120" s="29">
        <f t="shared" si="52"/>
        <v>0</v>
      </c>
      <c r="M120" s="29">
        <f t="shared" si="52"/>
        <v>0</v>
      </c>
      <c r="N120" s="29">
        <f t="shared" si="52"/>
        <v>0</v>
      </c>
      <c r="O120" s="29">
        <f t="shared" si="52"/>
        <v>0</v>
      </c>
      <c r="P120" s="29">
        <f t="shared" si="52"/>
        <v>0</v>
      </c>
      <c r="Q120" s="29">
        <f t="shared" si="52"/>
        <v>0</v>
      </c>
      <c r="R120" s="29">
        <f t="shared" si="52"/>
        <v>0</v>
      </c>
      <c r="S120" s="29">
        <f t="shared" si="52"/>
        <v>0</v>
      </c>
      <c r="T120" s="29">
        <f t="shared" si="52"/>
        <v>804</v>
      </c>
      <c r="U120" s="65"/>
      <c r="V120" s="29"/>
      <c r="W120" s="29"/>
      <c r="X120" s="29"/>
      <c r="Y120" s="29"/>
      <c r="Z120" s="29"/>
      <c r="AA120" s="29">
        <f t="shared" si="50"/>
        <v>0</v>
      </c>
      <c r="AC120" s="29"/>
      <c r="AF120" s="83">
        <f t="shared" si="35"/>
        <v>0</v>
      </c>
      <c r="AG120" s="83"/>
      <c r="AI120" s="83"/>
    </row>
    <row r="121" spans="1:35" s="38" customFormat="1" ht="24" customHeight="1">
      <c r="A121" s="57"/>
      <c r="B121" s="58" t="s">
        <v>690</v>
      </c>
      <c r="C121" s="29">
        <f t="shared" si="33"/>
        <v>804</v>
      </c>
      <c r="D121" s="29"/>
      <c r="E121" s="29">
        <f t="shared" si="34"/>
        <v>804</v>
      </c>
      <c r="F121" s="29"/>
      <c r="G121" s="29"/>
      <c r="H121" s="29"/>
      <c r="I121" s="29"/>
      <c r="J121" s="29"/>
      <c r="K121" s="29"/>
      <c r="L121" s="29"/>
      <c r="M121" s="29"/>
      <c r="N121" s="29"/>
      <c r="O121" s="29"/>
      <c r="P121" s="29"/>
      <c r="Q121" s="29"/>
      <c r="R121" s="29"/>
      <c r="S121" s="29"/>
      <c r="T121" s="29">
        <v>804</v>
      </c>
      <c r="U121" s="65"/>
      <c r="V121" s="29"/>
      <c r="W121" s="29"/>
      <c r="X121" s="29"/>
      <c r="Y121" s="29"/>
      <c r="Z121" s="29"/>
      <c r="AA121" s="29">
        <f t="shared" si="50"/>
        <v>0</v>
      </c>
      <c r="AB121" s="81"/>
      <c r="AC121" s="29"/>
      <c r="AF121" s="83">
        <f t="shared" si="35"/>
        <v>0</v>
      </c>
      <c r="AG121" s="83"/>
      <c r="AI121" s="83">
        <f>E121-U121-V121</f>
        <v>804</v>
      </c>
    </row>
    <row r="122" spans="1:35" ht="19.5" customHeight="1">
      <c r="A122" s="48">
        <v>16</v>
      </c>
      <c r="B122" s="44" t="s">
        <v>741</v>
      </c>
      <c r="C122" s="29">
        <f>C123</f>
        <v>400</v>
      </c>
      <c r="D122" s="29">
        <f t="shared" ref="D122:T122" si="53">D123</f>
        <v>0</v>
      </c>
      <c r="E122" s="29">
        <f t="shared" si="53"/>
        <v>400</v>
      </c>
      <c r="F122" s="29">
        <f t="shared" si="53"/>
        <v>0</v>
      </c>
      <c r="G122" s="29">
        <f t="shared" si="53"/>
        <v>0</v>
      </c>
      <c r="H122" s="29">
        <f t="shared" si="53"/>
        <v>0</v>
      </c>
      <c r="I122" s="29">
        <f t="shared" si="53"/>
        <v>0</v>
      </c>
      <c r="J122" s="29">
        <f t="shared" si="53"/>
        <v>0</v>
      </c>
      <c r="K122" s="29">
        <f t="shared" si="53"/>
        <v>0</v>
      </c>
      <c r="L122" s="29">
        <f t="shared" si="53"/>
        <v>0</v>
      </c>
      <c r="M122" s="29">
        <f t="shared" si="53"/>
        <v>0</v>
      </c>
      <c r="N122" s="29">
        <f t="shared" si="53"/>
        <v>0</v>
      </c>
      <c r="O122" s="29">
        <f t="shared" si="53"/>
        <v>0</v>
      </c>
      <c r="P122" s="29">
        <f t="shared" si="53"/>
        <v>0</v>
      </c>
      <c r="Q122" s="29">
        <f t="shared" si="53"/>
        <v>0</v>
      </c>
      <c r="R122" s="29">
        <f t="shared" si="53"/>
        <v>0</v>
      </c>
      <c r="S122" s="29">
        <f t="shared" si="53"/>
        <v>0</v>
      </c>
      <c r="T122" s="29">
        <f t="shared" si="53"/>
        <v>400</v>
      </c>
      <c r="U122" s="65"/>
      <c r="V122" s="29"/>
      <c r="W122" s="29"/>
      <c r="X122" s="29"/>
      <c r="Y122" s="29"/>
      <c r="Z122" s="29"/>
      <c r="AA122" s="29">
        <f t="shared" si="50"/>
        <v>0</v>
      </c>
      <c r="AC122" s="29"/>
      <c r="AF122" s="83">
        <f t="shared" si="35"/>
        <v>0</v>
      </c>
      <c r="AG122" s="83"/>
      <c r="AI122" s="83"/>
    </row>
    <row r="123" spans="1:35" s="38" customFormat="1" ht="24" customHeight="1">
      <c r="A123" s="57"/>
      <c r="B123" s="58" t="s">
        <v>690</v>
      </c>
      <c r="C123" s="29">
        <f t="shared" si="33"/>
        <v>400</v>
      </c>
      <c r="D123" s="29"/>
      <c r="E123" s="29">
        <f t="shared" si="34"/>
        <v>400</v>
      </c>
      <c r="F123" s="29"/>
      <c r="G123" s="29"/>
      <c r="H123" s="29"/>
      <c r="I123" s="29"/>
      <c r="J123" s="29"/>
      <c r="K123" s="29"/>
      <c r="L123" s="29"/>
      <c r="M123" s="29"/>
      <c r="N123" s="29"/>
      <c r="O123" s="29"/>
      <c r="P123" s="29"/>
      <c r="Q123" s="29"/>
      <c r="R123" s="29"/>
      <c r="S123" s="29"/>
      <c r="T123" s="29">
        <v>400</v>
      </c>
      <c r="U123" s="65"/>
      <c r="V123" s="29"/>
      <c r="W123" s="29"/>
      <c r="X123" s="29"/>
      <c r="Y123" s="29"/>
      <c r="Z123" s="29"/>
      <c r="AA123" s="29">
        <f t="shared" si="50"/>
        <v>0</v>
      </c>
      <c r="AB123" s="81"/>
      <c r="AC123" s="29"/>
      <c r="AF123" s="83">
        <f t="shared" si="35"/>
        <v>0</v>
      </c>
      <c r="AG123" s="83"/>
      <c r="AI123" s="83">
        <f>E123-U123-V123</f>
        <v>400</v>
      </c>
    </row>
    <row r="124" spans="1:35" ht="34.5" customHeight="1">
      <c r="A124" s="48">
        <v>17</v>
      </c>
      <c r="B124" s="44" t="s">
        <v>742</v>
      </c>
      <c r="C124" s="29">
        <f>C125</f>
        <v>300</v>
      </c>
      <c r="D124" s="29">
        <f t="shared" ref="D124:T124" si="54">D125</f>
        <v>0</v>
      </c>
      <c r="E124" s="29">
        <f t="shared" si="54"/>
        <v>300</v>
      </c>
      <c r="F124" s="29">
        <f t="shared" si="54"/>
        <v>0</v>
      </c>
      <c r="G124" s="29">
        <f t="shared" si="54"/>
        <v>0</v>
      </c>
      <c r="H124" s="29">
        <f t="shared" si="54"/>
        <v>0</v>
      </c>
      <c r="I124" s="29">
        <f t="shared" si="54"/>
        <v>0</v>
      </c>
      <c r="J124" s="29">
        <f t="shared" si="54"/>
        <v>0</v>
      </c>
      <c r="K124" s="29">
        <f t="shared" si="54"/>
        <v>0</v>
      </c>
      <c r="L124" s="29">
        <f t="shared" si="54"/>
        <v>0</v>
      </c>
      <c r="M124" s="29">
        <f t="shared" si="54"/>
        <v>0</v>
      </c>
      <c r="N124" s="29">
        <f t="shared" si="54"/>
        <v>0</v>
      </c>
      <c r="O124" s="29">
        <f t="shared" si="54"/>
        <v>0</v>
      </c>
      <c r="P124" s="29">
        <f t="shared" si="54"/>
        <v>0</v>
      </c>
      <c r="Q124" s="29">
        <f t="shared" si="54"/>
        <v>0</v>
      </c>
      <c r="R124" s="29">
        <f t="shared" si="54"/>
        <v>0</v>
      </c>
      <c r="S124" s="29">
        <f t="shared" si="54"/>
        <v>0</v>
      </c>
      <c r="T124" s="29">
        <f t="shared" si="54"/>
        <v>300</v>
      </c>
      <c r="U124" s="65"/>
      <c r="V124" s="29"/>
      <c r="W124" s="29"/>
      <c r="X124" s="29"/>
      <c r="Y124" s="29"/>
      <c r="Z124" s="29"/>
      <c r="AA124" s="29">
        <f t="shared" si="50"/>
        <v>0</v>
      </c>
      <c r="AC124" s="29"/>
      <c r="AF124" s="83">
        <f t="shared" si="35"/>
        <v>0</v>
      </c>
      <c r="AG124" s="83"/>
      <c r="AI124" s="83"/>
    </row>
    <row r="125" spans="1:35" s="38" customFormat="1" ht="24" customHeight="1">
      <c r="A125" s="57"/>
      <c r="B125" s="58" t="s">
        <v>690</v>
      </c>
      <c r="C125" s="29">
        <f t="shared" si="33"/>
        <v>300</v>
      </c>
      <c r="D125" s="29"/>
      <c r="E125" s="29">
        <f t="shared" si="34"/>
        <v>300</v>
      </c>
      <c r="F125" s="29"/>
      <c r="G125" s="29"/>
      <c r="H125" s="29"/>
      <c r="I125" s="29"/>
      <c r="J125" s="29"/>
      <c r="K125" s="29"/>
      <c r="L125" s="29"/>
      <c r="M125" s="29"/>
      <c r="N125" s="29"/>
      <c r="O125" s="29"/>
      <c r="P125" s="29"/>
      <c r="Q125" s="29"/>
      <c r="R125" s="29"/>
      <c r="S125" s="29"/>
      <c r="T125" s="29">
        <v>300</v>
      </c>
      <c r="U125" s="65"/>
      <c r="V125" s="29"/>
      <c r="W125" s="29"/>
      <c r="X125" s="29"/>
      <c r="Y125" s="29"/>
      <c r="Z125" s="29"/>
      <c r="AA125" s="29">
        <f t="shared" ref="AA125:AA133" si="55">W125+X125+Y125+Z125</f>
        <v>0</v>
      </c>
      <c r="AB125" s="81"/>
      <c r="AC125" s="29"/>
      <c r="AF125" s="83">
        <f t="shared" si="35"/>
        <v>0</v>
      </c>
      <c r="AG125" s="83"/>
      <c r="AI125" s="83">
        <f>E125-U125-V125</f>
        <v>300</v>
      </c>
    </row>
    <row r="126" spans="1:35" ht="33.75" customHeight="1">
      <c r="A126" s="48">
        <v>18</v>
      </c>
      <c r="B126" s="44" t="s">
        <v>743</v>
      </c>
      <c r="C126" s="29">
        <f>C127</f>
        <v>70</v>
      </c>
      <c r="D126" s="29">
        <f t="shared" ref="D126:T126" si="56">D127</f>
        <v>0</v>
      </c>
      <c r="E126" s="29">
        <f t="shared" si="56"/>
        <v>70</v>
      </c>
      <c r="F126" s="29">
        <f t="shared" si="56"/>
        <v>0</v>
      </c>
      <c r="G126" s="29">
        <f t="shared" si="56"/>
        <v>0</v>
      </c>
      <c r="H126" s="29">
        <f t="shared" si="56"/>
        <v>0</v>
      </c>
      <c r="I126" s="29">
        <f t="shared" si="56"/>
        <v>0</v>
      </c>
      <c r="J126" s="29">
        <f t="shared" si="56"/>
        <v>0</v>
      </c>
      <c r="K126" s="29">
        <f t="shared" si="56"/>
        <v>0</v>
      </c>
      <c r="L126" s="29">
        <f t="shared" si="56"/>
        <v>0</v>
      </c>
      <c r="M126" s="29">
        <f t="shared" si="56"/>
        <v>0</v>
      </c>
      <c r="N126" s="29">
        <f t="shared" si="56"/>
        <v>0</v>
      </c>
      <c r="O126" s="29">
        <f t="shared" si="56"/>
        <v>0</v>
      </c>
      <c r="P126" s="29">
        <f t="shared" si="56"/>
        <v>0</v>
      </c>
      <c r="Q126" s="29">
        <f t="shared" si="56"/>
        <v>0</v>
      </c>
      <c r="R126" s="29">
        <f t="shared" si="56"/>
        <v>0</v>
      </c>
      <c r="S126" s="29">
        <f t="shared" si="56"/>
        <v>0</v>
      </c>
      <c r="T126" s="29">
        <f t="shared" si="56"/>
        <v>70</v>
      </c>
      <c r="U126" s="65"/>
      <c r="V126" s="29"/>
      <c r="W126" s="29"/>
      <c r="X126" s="29"/>
      <c r="Y126" s="29"/>
      <c r="Z126" s="29"/>
      <c r="AA126" s="29">
        <f t="shared" si="55"/>
        <v>0</v>
      </c>
      <c r="AC126" s="29"/>
      <c r="AF126" s="83">
        <f t="shared" si="35"/>
        <v>0</v>
      </c>
      <c r="AG126" s="83"/>
      <c r="AI126" s="83"/>
    </row>
    <row r="127" spans="1:35" s="38" customFormat="1" ht="24" customHeight="1">
      <c r="A127" s="57"/>
      <c r="B127" s="58" t="s">
        <v>690</v>
      </c>
      <c r="C127" s="29">
        <f t="shared" si="33"/>
        <v>70</v>
      </c>
      <c r="D127" s="29"/>
      <c r="E127" s="29">
        <f t="shared" si="34"/>
        <v>70</v>
      </c>
      <c r="F127" s="29"/>
      <c r="G127" s="29"/>
      <c r="H127" s="29"/>
      <c r="I127" s="29"/>
      <c r="J127" s="29"/>
      <c r="K127" s="29"/>
      <c r="L127" s="29"/>
      <c r="M127" s="29"/>
      <c r="N127" s="29"/>
      <c r="O127" s="29"/>
      <c r="P127" s="29"/>
      <c r="Q127" s="29"/>
      <c r="R127" s="29"/>
      <c r="S127" s="29"/>
      <c r="T127" s="29">
        <v>70</v>
      </c>
      <c r="U127" s="65"/>
      <c r="V127" s="29"/>
      <c r="W127" s="29"/>
      <c r="X127" s="29"/>
      <c r="Y127" s="29"/>
      <c r="Z127" s="29"/>
      <c r="AA127" s="29">
        <f t="shared" si="55"/>
        <v>0</v>
      </c>
      <c r="AB127" s="81"/>
      <c r="AC127" s="29"/>
      <c r="AF127" s="83">
        <f t="shared" si="35"/>
        <v>0</v>
      </c>
      <c r="AG127" s="83"/>
      <c r="AI127" s="83">
        <f>E127-U127-V127</f>
        <v>70</v>
      </c>
    </row>
    <row r="128" spans="1:35" ht="19.5" customHeight="1">
      <c r="A128" s="48">
        <v>19</v>
      </c>
      <c r="B128" s="44" t="s">
        <v>744</v>
      </c>
      <c r="C128" s="29">
        <f t="shared" ref="C128:T128" si="57">C129+C130</f>
        <v>1025</v>
      </c>
      <c r="D128" s="29">
        <f t="shared" si="57"/>
        <v>0</v>
      </c>
      <c r="E128" s="29">
        <f t="shared" si="57"/>
        <v>1025</v>
      </c>
      <c r="F128" s="29">
        <f t="shared" si="57"/>
        <v>0</v>
      </c>
      <c r="G128" s="29">
        <f t="shared" si="57"/>
        <v>0</v>
      </c>
      <c r="H128" s="29">
        <f t="shared" si="57"/>
        <v>0</v>
      </c>
      <c r="I128" s="29">
        <f t="shared" si="57"/>
        <v>0</v>
      </c>
      <c r="J128" s="29">
        <f t="shared" si="57"/>
        <v>0</v>
      </c>
      <c r="K128" s="29">
        <f t="shared" si="57"/>
        <v>0</v>
      </c>
      <c r="L128" s="29">
        <f t="shared" si="57"/>
        <v>0</v>
      </c>
      <c r="M128" s="29">
        <f t="shared" si="57"/>
        <v>0</v>
      </c>
      <c r="N128" s="29">
        <f t="shared" si="57"/>
        <v>0</v>
      </c>
      <c r="O128" s="29">
        <f t="shared" si="57"/>
        <v>0</v>
      </c>
      <c r="P128" s="29">
        <f t="shared" si="57"/>
        <v>0</v>
      </c>
      <c r="Q128" s="29">
        <f t="shared" si="57"/>
        <v>0</v>
      </c>
      <c r="R128" s="29">
        <f t="shared" si="57"/>
        <v>0</v>
      </c>
      <c r="S128" s="29">
        <f t="shared" si="57"/>
        <v>0</v>
      </c>
      <c r="T128" s="29">
        <f t="shared" si="57"/>
        <v>1025</v>
      </c>
      <c r="U128" s="65"/>
      <c r="V128" s="29"/>
      <c r="W128" s="29"/>
      <c r="X128" s="29"/>
      <c r="Y128" s="29"/>
      <c r="Z128" s="29"/>
      <c r="AA128" s="29">
        <f t="shared" si="55"/>
        <v>0</v>
      </c>
      <c r="AC128" s="29"/>
      <c r="AF128" s="83">
        <f t="shared" si="35"/>
        <v>0</v>
      </c>
      <c r="AG128" s="83"/>
      <c r="AI128" s="83"/>
    </row>
    <row r="129" spans="1:36" s="38" customFormat="1" ht="24" customHeight="1">
      <c r="A129" s="57"/>
      <c r="B129" s="58" t="s">
        <v>690</v>
      </c>
      <c r="C129" s="29">
        <f t="shared" si="33"/>
        <v>920</v>
      </c>
      <c r="D129" s="29"/>
      <c r="E129" s="29">
        <f t="shared" si="34"/>
        <v>920</v>
      </c>
      <c r="F129" s="29"/>
      <c r="G129" s="29"/>
      <c r="H129" s="29"/>
      <c r="I129" s="29"/>
      <c r="J129" s="29"/>
      <c r="K129" s="29"/>
      <c r="L129" s="29"/>
      <c r="M129" s="29"/>
      <c r="N129" s="29"/>
      <c r="O129" s="29"/>
      <c r="P129" s="29"/>
      <c r="Q129" s="29"/>
      <c r="R129" s="29"/>
      <c r="S129" s="29"/>
      <c r="T129" s="29">
        <v>920</v>
      </c>
      <c r="U129" s="65"/>
      <c r="V129" s="29"/>
      <c r="W129" s="29"/>
      <c r="X129" s="29"/>
      <c r="Y129" s="29"/>
      <c r="Z129" s="29"/>
      <c r="AA129" s="29">
        <f t="shared" si="55"/>
        <v>0</v>
      </c>
      <c r="AB129" s="81"/>
      <c r="AC129" s="29"/>
      <c r="AF129" s="83">
        <f t="shared" si="35"/>
        <v>0</v>
      </c>
      <c r="AG129" s="83"/>
      <c r="AI129" s="83">
        <f>E129-U129-V129</f>
        <v>920</v>
      </c>
    </row>
    <row r="130" spans="1:36" s="38" customFormat="1" ht="24" customHeight="1">
      <c r="A130" s="57"/>
      <c r="B130" s="58" t="s">
        <v>691</v>
      </c>
      <c r="C130" s="29">
        <f t="shared" si="33"/>
        <v>105</v>
      </c>
      <c r="D130" s="29"/>
      <c r="E130" s="29">
        <f t="shared" si="34"/>
        <v>105</v>
      </c>
      <c r="F130" s="29"/>
      <c r="G130" s="29"/>
      <c r="H130" s="29"/>
      <c r="I130" s="29"/>
      <c r="J130" s="29"/>
      <c r="K130" s="29"/>
      <c r="L130" s="29"/>
      <c r="M130" s="29"/>
      <c r="N130" s="29"/>
      <c r="O130" s="29"/>
      <c r="P130" s="29"/>
      <c r="Q130" s="29"/>
      <c r="R130" s="29"/>
      <c r="S130" s="29"/>
      <c r="T130" s="29">
        <v>105</v>
      </c>
      <c r="U130" s="65"/>
      <c r="V130" s="29"/>
      <c r="W130" s="29"/>
      <c r="X130" s="29"/>
      <c r="Y130" s="29"/>
      <c r="Z130" s="29"/>
      <c r="AA130" s="29">
        <f t="shared" si="55"/>
        <v>0</v>
      </c>
      <c r="AB130" s="81"/>
      <c r="AC130" s="29">
        <v>105</v>
      </c>
      <c r="AF130" s="83">
        <f t="shared" si="35"/>
        <v>105</v>
      </c>
      <c r="AG130" s="83">
        <f>E130-AF130</f>
        <v>0</v>
      </c>
      <c r="AI130" s="83"/>
    </row>
    <row r="131" spans="1:36" ht="19.5" customHeight="1">
      <c r="A131" s="48">
        <v>20</v>
      </c>
      <c r="B131" s="44" t="s">
        <v>745</v>
      </c>
      <c r="C131" s="29">
        <f>C132</f>
        <v>100</v>
      </c>
      <c r="D131" s="29">
        <f t="shared" ref="D131:T131" si="58">D132</f>
        <v>0</v>
      </c>
      <c r="E131" s="29">
        <f t="shared" si="58"/>
        <v>100</v>
      </c>
      <c r="F131" s="29">
        <f t="shared" si="58"/>
        <v>0</v>
      </c>
      <c r="G131" s="29">
        <f t="shared" si="58"/>
        <v>0</v>
      </c>
      <c r="H131" s="29">
        <f t="shared" si="58"/>
        <v>0</v>
      </c>
      <c r="I131" s="29">
        <f t="shared" si="58"/>
        <v>0</v>
      </c>
      <c r="J131" s="29">
        <f t="shared" si="58"/>
        <v>0</v>
      </c>
      <c r="K131" s="29">
        <f t="shared" si="58"/>
        <v>0</v>
      </c>
      <c r="L131" s="29">
        <f t="shared" si="58"/>
        <v>0</v>
      </c>
      <c r="M131" s="29">
        <f t="shared" si="58"/>
        <v>0</v>
      </c>
      <c r="N131" s="29">
        <f t="shared" si="58"/>
        <v>0</v>
      </c>
      <c r="O131" s="29">
        <f t="shared" si="58"/>
        <v>0</v>
      </c>
      <c r="P131" s="29">
        <f t="shared" si="58"/>
        <v>0</v>
      </c>
      <c r="Q131" s="29">
        <f t="shared" si="58"/>
        <v>0</v>
      </c>
      <c r="R131" s="29">
        <f t="shared" si="58"/>
        <v>100</v>
      </c>
      <c r="S131" s="29">
        <f t="shared" si="58"/>
        <v>0</v>
      </c>
      <c r="T131" s="29">
        <f t="shared" si="58"/>
        <v>0</v>
      </c>
      <c r="U131" s="65"/>
      <c r="V131" s="29"/>
      <c r="W131" s="29"/>
      <c r="X131" s="29"/>
      <c r="Y131" s="29"/>
      <c r="Z131" s="29"/>
      <c r="AA131" s="29">
        <f t="shared" si="55"/>
        <v>0</v>
      </c>
      <c r="AC131" s="29"/>
      <c r="AF131" s="83">
        <f t="shared" si="35"/>
        <v>0</v>
      </c>
      <c r="AG131" s="83"/>
      <c r="AI131" s="83"/>
    </row>
    <row r="132" spans="1:36" s="38" customFormat="1" ht="24" customHeight="1">
      <c r="A132" s="57"/>
      <c r="B132" s="58" t="s">
        <v>691</v>
      </c>
      <c r="C132" s="29">
        <f t="shared" si="33"/>
        <v>100</v>
      </c>
      <c r="D132" s="29"/>
      <c r="E132" s="29">
        <f t="shared" si="34"/>
        <v>100</v>
      </c>
      <c r="F132" s="29"/>
      <c r="G132" s="29"/>
      <c r="H132" s="29"/>
      <c r="I132" s="29"/>
      <c r="J132" s="29"/>
      <c r="K132" s="29"/>
      <c r="L132" s="29"/>
      <c r="M132" s="29"/>
      <c r="N132" s="29"/>
      <c r="O132" s="29"/>
      <c r="P132" s="29"/>
      <c r="Q132" s="29"/>
      <c r="R132" s="29">
        <v>100</v>
      </c>
      <c r="S132" s="29"/>
      <c r="T132" s="29"/>
      <c r="U132" s="65"/>
      <c r="V132" s="29"/>
      <c r="W132" s="29"/>
      <c r="X132" s="29"/>
      <c r="Y132" s="29"/>
      <c r="Z132" s="29"/>
      <c r="AA132" s="29">
        <f t="shared" si="55"/>
        <v>0</v>
      </c>
      <c r="AB132" s="81"/>
      <c r="AC132" s="29">
        <v>100</v>
      </c>
      <c r="AF132" s="83">
        <f t="shared" si="35"/>
        <v>100</v>
      </c>
      <c r="AG132" s="83">
        <f>E132-AF132</f>
        <v>0</v>
      </c>
      <c r="AI132" s="83"/>
    </row>
    <row r="133" spans="1:36" s="26" customFormat="1" ht="22.5" customHeight="1">
      <c r="A133" s="54" t="s">
        <v>18</v>
      </c>
      <c r="B133" s="55" t="s">
        <v>746</v>
      </c>
      <c r="C133" s="30">
        <f>SUM(C134:C135)</f>
        <v>402409</v>
      </c>
      <c r="D133" s="30">
        <f t="shared" ref="D133:V133" si="59">SUM(D134:D135)</f>
        <v>1175</v>
      </c>
      <c r="E133" s="30">
        <f t="shared" si="59"/>
        <v>401234</v>
      </c>
      <c r="F133" s="30">
        <f t="shared" si="59"/>
        <v>977</v>
      </c>
      <c r="G133" s="30">
        <f t="shared" si="59"/>
        <v>0</v>
      </c>
      <c r="H133" s="30">
        <f t="shared" si="59"/>
        <v>0</v>
      </c>
      <c r="I133" s="30">
        <f t="shared" si="59"/>
        <v>0</v>
      </c>
      <c r="J133" s="30">
        <f t="shared" si="59"/>
        <v>0</v>
      </c>
      <c r="K133" s="30">
        <f t="shared" si="59"/>
        <v>14801</v>
      </c>
      <c r="L133" s="30">
        <f t="shared" si="59"/>
        <v>92644</v>
      </c>
      <c r="M133" s="30">
        <f t="shared" si="59"/>
        <v>0</v>
      </c>
      <c r="N133" s="30">
        <f t="shared" si="59"/>
        <v>0</v>
      </c>
      <c r="O133" s="30">
        <f t="shared" si="59"/>
        <v>2995</v>
      </c>
      <c r="P133" s="30">
        <f t="shared" si="59"/>
        <v>0</v>
      </c>
      <c r="Q133" s="30">
        <f t="shared" si="59"/>
        <v>0</v>
      </c>
      <c r="R133" s="30">
        <f t="shared" si="59"/>
        <v>289817</v>
      </c>
      <c r="S133" s="30">
        <f t="shared" si="59"/>
        <v>0</v>
      </c>
      <c r="T133" s="30">
        <f t="shared" si="59"/>
        <v>0</v>
      </c>
      <c r="U133" s="30">
        <f t="shared" si="59"/>
        <v>0</v>
      </c>
      <c r="V133" s="30">
        <f t="shared" si="59"/>
        <v>0</v>
      </c>
      <c r="W133" s="30"/>
      <c r="X133" s="30"/>
      <c r="Y133" s="30"/>
      <c r="Z133" s="30"/>
      <c r="AA133" s="29">
        <f t="shared" si="55"/>
        <v>0</v>
      </c>
      <c r="AB133" s="87"/>
      <c r="AC133" s="30"/>
      <c r="AF133" s="83">
        <f t="shared" si="35"/>
        <v>0</v>
      </c>
      <c r="AG133" s="83">
        <f>E133-AF133</f>
        <v>401234</v>
      </c>
      <c r="AI133" s="83">
        <f>E133-U133-V133</f>
        <v>401234</v>
      </c>
      <c r="AJ133" s="88">
        <f>SUM(AJ136:AJ141)</f>
        <v>1559468</v>
      </c>
    </row>
    <row r="134" spans="1:36" s="38" customFormat="1" ht="22.5" customHeight="1">
      <c r="A134" s="57"/>
      <c r="B134" s="58" t="s">
        <v>690</v>
      </c>
      <c r="C134" s="72">
        <f t="shared" si="33"/>
        <v>276199</v>
      </c>
      <c r="D134" s="72">
        <f>249+773</f>
        <v>1022</v>
      </c>
      <c r="E134" s="72">
        <f t="shared" si="34"/>
        <v>275177</v>
      </c>
      <c r="F134" s="72"/>
      <c r="G134" s="72"/>
      <c r="H134" s="72"/>
      <c r="I134" s="72"/>
      <c r="J134" s="72"/>
      <c r="K134" s="72"/>
      <c r="L134" s="29">
        <v>63560</v>
      </c>
      <c r="M134" s="72"/>
      <c r="N134" s="72"/>
      <c r="O134" s="72"/>
      <c r="P134" s="72"/>
      <c r="Q134" s="72"/>
      <c r="R134" s="72">
        <f>216796-5179</f>
        <v>211617</v>
      </c>
      <c r="S134" s="72"/>
      <c r="T134" s="72"/>
      <c r="U134" s="80"/>
      <c r="V134" s="72"/>
      <c r="W134" s="72"/>
      <c r="X134" s="72"/>
      <c r="Y134" s="72"/>
      <c r="Z134" s="72"/>
      <c r="AA134" s="72"/>
      <c r="AB134" s="81"/>
      <c r="AC134" s="72"/>
      <c r="AF134" s="83"/>
      <c r="AG134" s="83"/>
      <c r="AI134" s="83"/>
      <c r="AJ134" s="85"/>
    </row>
    <row r="135" spans="1:36" s="38" customFormat="1" ht="22.5" customHeight="1">
      <c r="A135" s="57"/>
      <c r="B135" s="58" t="s">
        <v>691</v>
      </c>
      <c r="C135" s="72">
        <f t="shared" si="33"/>
        <v>126210</v>
      </c>
      <c r="D135" s="72">
        <v>153</v>
      </c>
      <c r="E135" s="72">
        <f t="shared" si="34"/>
        <v>126057</v>
      </c>
      <c r="F135" s="72">
        <v>977</v>
      </c>
      <c r="G135" s="72"/>
      <c r="H135" s="72"/>
      <c r="I135" s="72"/>
      <c r="J135" s="72"/>
      <c r="K135" s="72">
        <v>14801</v>
      </c>
      <c r="L135" s="29">
        <f>-312+29396</f>
        <v>29084</v>
      </c>
      <c r="M135" s="72"/>
      <c r="N135" s="72"/>
      <c r="O135" s="72">
        <v>2995</v>
      </c>
      <c r="P135" s="72"/>
      <c r="Q135" s="72"/>
      <c r="R135" s="72">
        <v>78200</v>
      </c>
      <c r="S135" s="72"/>
      <c r="T135" s="72"/>
      <c r="U135" s="80"/>
      <c r="V135" s="72"/>
      <c r="W135" s="72"/>
      <c r="X135" s="72"/>
      <c r="Y135" s="72"/>
      <c r="Z135" s="72"/>
      <c r="AA135" s="72"/>
      <c r="AB135" s="81"/>
      <c r="AC135" s="72"/>
      <c r="AF135" s="83"/>
      <c r="AG135" s="83"/>
      <c r="AI135" s="83"/>
      <c r="AJ135" s="85"/>
    </row>
    <row r="136" spans="1:36" s="26" customFormat="1" ht="32.25" customHeight="1">
      <c r="A136" s="54" t="s">
        <v>125</v>
      </c>
      <c r="B136" s="55" t="s">
        <v>747</v>
      </c>
      <c r="C136" s="30">
        <f t="shared" ref="C136:V136" si="60">C137+C140+C143+C147+C148+C149+C152+C155+C158+C220+C224</f>
        <v>650326</v>
      </c>
      <c r="D136" s="30">
        <f t="shared" si="60"/>
        <v>1274</v>
      </c>
      <c r="E136" s="30">
        <f t="shared" si="60"/>
        <v>649052</v>
      </c>
      <c r="F136" s="30">
        <f t="shared" si="60"/>
        <v>192873</v>
      </c>
      <c r="G136" s="30">
        <f t="shared" si="60"/>
        <v>0</v>
      </c>
      <c r="H136" s="30">
        <f t="shared" si="60"/>
        <v>112788</v>
      </c>
      <c r="I136" s="30">
        <f t="shared" si="60"/>
        <v>61409</v>
      </c>
      <c r="J136" s="30">
        <f t="shared" si="60"/>
        <v>20984</v>
      </c>
      <c r="K136" s="30">
        <f t="shared" si="60"/>
        <v>0</v>
      </c>
      <c r="L136" s="30">
        <f t="shared" si="60"/>
        <v>0</v>
      </c>
      <c r="M136" s="30">
        <f t="shared" si="60"/>
        <v>0</v>
      </c>
      <c r="N136" s="30">
        <f t="shared" si="60"/>
        <v>0</v>
      </c>
      <c r="O136" s="30">
        <f t="shared" si="60"/>
        <v>121675</v>
      </c>
      <c r="P136" s="30">
        <f t="shared" si="60"/>
        <v>0</v>
      </c>
      <c r="Q136" s="30">
        <f t="shared" si="60"/>
        <v>78968</v>
      </c>
      <c r="R136" s="30">
        <f t="shared" si="60"/>
        <v>0</v>
      </c>
      <c r="S136" s="30">
        <f t="shared" si="60"/>
        <v>28475</v>
      </c>
      <c r="T136" s="30">
        <f t="shared" si="60"/>
        <v>110848</v>
      </c>
      <c r="U136" s="30">
        <f t="shared" si="60"/>
        <v>0</v>
      </c>
      <c r="V136" s="30">
        <f t="shared" si="60"/>
        <v>0</v>
      </c>
      <c r="W136" s="30">
        <f>W137+W140+W143+W147+W148+W149</f>
        <v>0</v>
      </c>
      <c r="X136" s="30">
        <f>X137+X140+X143+X147+X148+X149</f>
        <v>0</v>
      </c>
      <c r="Y136" s="30">
        <f>Y137+Y140+Y143+Y147+Y148+Y149</f>
        <v>0</v>
      </c>
      <c r="Z136" s="30">
        <f>Z137+Z140+Z143+Z147+Z148+Z149</f>
        <v>0</v>
      </c>
      <c r="AA136" s="30">
        <f>AA137+AA140+AA143+AA147+AA148+AA149</f>
        <v>0</v>
      </c>
      <c r="AB136" s="30"/>
      <c r="AC136" s="30">
        <f t="shared" ref="AC136:AH136" si="61">AC137+AC140+AC143+AC147+AC148+AC149</f>
        <v>0</v>
      </c>
      <c r="AD136" s="30">
        <f t="shared" si="61"/>
        <v>0</v>
      </c>
      <c r="AE136" s="30">
        <f t="shared" si="61"/>
        <v>0</v>
      </c>
      <c r="AF136" s="30">
        <f t="shared" si="61"/>
        <v>0</v>
      </c>
      <c r="AG136" s="30">
        <f t="shared" si="61"/>
        <v>0</v>
      </c>
      <c r="AH136" s="30">
        <f t="shared" si="61"/>
        <v>0</v>
      </c>
      <c r="AI136" s="30"/>
      <c r="AJ136" s="88">
        <f>SUM(AI137:AI229)</f>
        <v>1223068</v>
      </c>
    </row>
    <row r="137" spans="1:36" ht="22.5" customHeight="1">
      <c r="A137" s="48">
        <v>1</v>
      </c>
      <c r="B137" s="44" t="s">
        <v>748</v>
      </c>
      <c r="C137" s="29">
        <f>C138+C139</f>
        <v>0</v>
      </c>
      <c r="D137" s="29">
        <f t="shared" ref="D137:T137" si="62">D138+D139</f>
        <v>0</v>
      </c>
      <c r="E137" s="29">
        <f t="shared" si="62"/>
        <v>0</v>
      </c>
      <c r="F137" s="29">
        <f t="shared" si="62"/>
        <v>0</v>
      </c>
      <c r="G137" s="29">
        <f t="shared" si="62"/>
        <v>0</v>
      </c>
      <c r="H137" s="29">
        <f t="shared" si="62"/>
        <v>0</v>
      </c>
      <c r="I137" s="29">
        <f t="shared" si="62"/>
        <v>0</v>
      </c>
      <c r="J137" s="29">
        <f t="shared" si="62"/>
        <v>0</v>
      </c>
      <c r="K137" s="29">
        <f t="shared" si="62"/>
        <v>0</v>
      </c>
      <c r="L137" s="29">
        <f t="shared" si="62"/>
        <v>0</v>
      </c>
      <c r="M137" s="29">
        <f t="shared" si="62"/>
        <v>0</v>
      </c>
      <c r="N137" s="29">
        <f t="shared" si="62"/>
        <v>0</v>
      </c>
      <c r="O137" s="29">
        <f t="shared" si="62"/>
        <v>0</v>
      </c>
      <c r="P137" s="29">
        <f t="shared" si="62"/>
        <v>0</v>
      </c>
      <c r="Q137" s="29">
        <f t="shared" si="62"/>
        <v>0</v>
      </c>
      <c r="R137" s="29">
        <f t="shared" si="62"/>
        <v>0</v>
      </c>
      <c r="S137" s="29">
        <f t="shared" si="62"/>
        <v>0</v>
      </c>
      <c r="T137" s="29">
        <f t="shared" si="62"/>
        <v>0</v>
      </c>
      <c r="U137" s="65"/>
      <c r="V137" s="29"/>
      <c r="W137" s="29"/>
      <c r="X137" s="29"/>
      <c r="Y137" s="29"/>
      <c r="Z137" s="29"/>
      <c r="AA137" s="29">
        <f t="shared" ref="AA137:AA157" si="63">W137+X137+Y137+Z137</f>
        <v>0</v>
      </c>
      <c r="AB137" s="614" t="s">
        <v>749</v>
      </c>
      <c r="AC137" s="29"/>
      <c r="AF137" s="83">
        <f t="shared" si="35"/>
        <v>0</v>
      </c>
      <c r="AG137" s="83"/>
      <c r="AI137" s="83"/>
      <c r="AJ137" s="1">
        <v>46000</v>
      </c>
    </row>
    <row r="138" spans="1:36" s="38" customFormat="1" ht="24" customHeight="1">
      <c r="A138" s="57"/>
      <c r="B138" s="58" t="s">
        <v>690</v>
      </c>
      <c r="C138" s="29">
        <f t="shared" si="33"/>
        <v>0</v>
      </c>
      <c r="D138" s="29"/>
      <c r="E138" s="29">
        <f t="shared" si="34"/>
        <v>0</v>
      </c>
      <c r="F138" s="29"/>
      <c r="G138" s="29"/>
      <c r="H138" s="29"/>
      <c r="I138" s="29"/>
      <c r="J138" s="29"/>
      <c r="K138" s="29"/>
      <c r="L138" s="29"/>
      <c r="M138" s="29"/>
      <c r="N138" s="29"/>
      <c r="O138" s="29"/>
      <c r="P138" s="29"/>
      <c r="Q138" s="29"/>
      <c r="R138" s="29"/>
      <c r="S138" s="29"/>
      <c r="T138" s="29"/>
      <c r="U138" s="65"/>
      <c r="V138" s="29"/>
      <c r="W138" s="29"/>
      <c r="X138" s="29"/>
      <c r="Y138" s="29"/>
      <c r="Z138" s="29"/>
      <c r="AA138" s="29">
        <f t="shared" si="63"/>
        <v>0</v>
      </c>
      <c r="AB138" s="614"/>
      <c r="AC138" s="29"/>
      <c r="AF138" s="83">
        <f t="shared" si="35"/>
        <v>0</v>
      </c>
      <c r="AG138" s="83"/>
      <c r="AI138" s="83">
        <f>E138-U138-V138</f>
        <v>0</v>
      </c>
      <c r="AJ138" s="38">
        <v>104000</v>
      </c>
    </row>
    <row r="139" spans="1:36" s="38" customFormat="1" ht="24" customHeight="1">
      <c r="A139" s="57"/>
      <c r="B139" s="58" t="s">
        <v>691</v>
      </c>
      <c r="C139" s="29">
        <f t="shared" si="33"/>
        <v>0</v>
      </c>
      <c r="D139" s="29"/>
      <c r="E139" s="29">
        <f t="shared" si="34"/>
        <v>0</v>
      </c>
      <c r="F139" s="29"/>
      <c r="G139" s="29"/>
      <c r="H139" s="29"/>
      <c r="I139" s="29"/>
      <c r="J139" s="29"/>
      <c r="K139" s="29"/>
      <c r="L139" s="29"/>
      <c r="M139" s="29"/>
      <c r="N139" s="29"/>
      <c r="O139" s="29"/>
      <c r="P139" s="29"/>
      <c r="Q139" s="29"/>
      <c r="R139" s="29"/>
      <c r="S139" s="29"/>
      <c r="T139" s="29"/>
      <c r="U139" s="65"/>
      <c r="V139" s="29"/>
      <c r="W139" s="29">
        <v>-312</v>
      </c>
      <c r="X139" s="29"/>
      <c r="Y139" s="29"/>
      <c r="Z139" s="29"/>
      <c r="AA139" s="29">
        <f t="shared" si="63"/>
        <v>-312</v>
      </c>
      <c r="AB139" s="614"/>
      <c r="AC139" s="29">
        <v>29084</v>
      </c>
      <c r="AF139" s="83">
        <f t="shared" si="35"/>
        <v>29084</v>
      </c>
      <c r="AG139" s="83">
        <f>E139-AF139</f>
        <v>-29084</v>
      </c>
      <c r="AI139" s="83"/>
      <c r="AJ139" s="38">
        <v>23532</v>
      </c>
    </row>
    <row r="140" spans="1:36" ht="19.5" customHeight="1">
      <c r="A140" s="48">
        <v>2</v>
      </c>
      <c r="B140" s="44" t="s">
        <v>750</v>
      </c>
      <c r="C140" s="29">
        <f>C141+C142</f>
        <v>23940</v>
      </c>
      <c r="D140" s="29">
        <f t="shared" ref="D140:T140" si="64">D141+D142</f>
        <v>229</v>
      </c>
      <c r="E140" s="29">
        <f t="shared" si="64"/>
        <v>23711</v>
      </c>
      <c r="F140" s="29">
        <f t="shared" si="64"/>
        <v>23711</v>
      </c>
      <c r="G140" s="29">
        <f t="shared" si="64"/>
        <v>0</v>
      </c>
      <c r="H140" s="29">
        <f t="shared" si="64"/>
        <v>0</v>
      </c>
      <c r="I140" s="29">
        <f t="shared" si="64"/>
        <v>0</v>
      </c>
      <c r="J140" s="29">
        <f t="shared" si="64"/>
        <v>0</v>
      </c>
      <c r="K140" s="29">
        <f t="shared" si="64"/>
        <v>0</v>
      </c>
      <c r="L140" s="29">
        <f t="shared" si="64"/>
        <v>0</v>
      </c>
      <c r="M140" s="29">
        <f t="shared" si="64"/>
        <v>0</v>
      </c>
      <c r="N140" s="29">
        <f t="shared" si="64"/>
        <v>0</v>
      </c>
      <c r="O140" s="29">
        <f t="shared" si="64"/>
        <v>0</v>
      </c>
      <c r="P140" s="29">
        <f t="shared" si="64"/>
        <v>0</v>
      </c>
      <c r="Q140" s="29">
        <f t="shared" si="64"/>
        <v>0</v>
      </c>
      <c r="R140" s="29">
        <f t="shared" si="64"/>
        <v>0</v>
      </c>
      <c r="S140" s="29">
        <f t="shared" si="64"/>
        <v>0</v>
      </c>
      <c r="T140" s="29">
        <f t="shared" si="64"/>
        <v>0</v>
      </c>
      <c r="U140" s="65"/>
      <c r="V140" s="29"/>
      <c r="W140" s="29"/>
      <c r="X140" s="29"/>
      <c r="Y140" s="29"/>
      <c r="Z140" s="29"/>
      <c r="AA140" s="29">
        <f t="shared" si="63"/>
        <v>0</v>
      </c>
      <c r="AC140" s="29"/>
      <c r="AF140" s="83">
        <f t="shared" si="35"/>
        <v>0</v>
      </c>
      <c r="AG140" s="83"/>
      <c r="AI140" s="83"/>
      <c r="AJ140" s="1">
        <v>77868</v>
      </c>
    </row>
    <row r="141" spans="1:36" s="38" customFormat="1" ht="21.75" customHeight="1">
      <c r="A141" s="57"/>
      <c r="B141" s="58" t="s">
        <v>690</v>
      </c>
      <c r="C141" s="29">
        <f t="shared" si="33"/>
        <v>15997</v>
      </c>
      <c r="D141" s="29">
        <v>81</v>
      </c>
      <c r="E141" s="29">
        <f t="shared" ref="E141:E146" si="65">F141+G141+H141+I141+J141+K141+L141+M141+N141+O141+R141+S141+T141</f>
        <v>15916</v>
      </c>
      <c r="F141" s="29">
        <f>335+15581</f>
        <v>15916</v>
      </c>
      <c r="G141" s="29"/>
      <c r="H141" s="29"/>
      <c r="I141" s="29"/>
      <c r="J141" s="29"/>
      <c r="K141" s="29"/>
      <c r="L141" s="29"/>
      <c r="M141" s="29"/>
      <c r="N141" s="29"/>
      <c r="O141" s="29"/>
      <c r="P141" s="29"/>
      <c r="Q141" s="29"/>
      <c r="R141" s="29"/>
      <c r="S141" s="29"/>
      <c r="T141" s="29"/>
      <c r="U141" s="65"/>
      <c r="V141" s="29">
        <v>335</v>
      </c>
      <c r="W141" s="29"/>
      <c r="X141" s="29"/>
      <c r="Y141" s="29"/>
      <c r="Z141" s="29"/>
      <c r="AA141" s="29">
        <f t="shared" si="63"/>
        <v>0</v>
      </c>
      <c r="AB141" s="81" t="s">
        <v>751</v>
      </c>
      <c r="AC141" s="29"/>
      <c r="AF141" s="83">
        <f t="shared" si="35"/>
        <v>0</v>
      </c>
      <c r="AG141" s="83"/>
      <c r="AI141" s="83">
        <f>E141-U141-V141</f>
        <v>15581</v>
      </c>
      <c r="AJ141" s="38">
        <v>85000</v>
      </c>
    </row>
    <row r="142" spans="1:36" s="38" customFormat="1" ht="24" customHeight="1">
      <c r="A142" s="57"/>
      <c r="B142" s="58" t="s">
        <v>691</v>
      </c>
      <c r="C142" s="29">
        <f t="shared" si="33"/>
        <v>7943</v>
      </c>
      <c r="D142" s="29">
        <v>148</v>
      </c>
      <c r="E142" s="29">
        <f t="shared" si="65"/>
        <v>7795</v>
      </c>
      <c r="F142" s="29">
        <f>-567+8362</f>
        <v>7795</v>
      </c>
      <c r="G142" s="29"/>
      <c r="H142" s="29"/>
      <c r="I142" s="29"/>
      <c r="J142" s="29"/>
      <c r="K142" s="29"/>
      <c r="L142" s="29"/>
      <c r="M142" s="29"/>
      <c r="N142" s="29"/>
      <c r="O142" s="29"/>
      <c r="P142" s="29"/>
      <c r="Q142" s="29"/>
      <c r="R142" s="29"/>
      <c r="S142" s="29"/>
      <c r="T142" s="29"/>
      <c r="U142" s="65"/>
      <c r="V142" s="29"/>
      <c r="W142" s="29">
        <v>-567</v>
      </c>
      <c r="X142" s="29"/>
      <c r="Y142" s="29"/>
      <c r="Z142" s="29"/>
      <c r="AA142" s="29">
        <f t="shared" si="63"/>
        <v>-567</v>
      </c>
      <c r="AB142" s="81"/>
      <c r="AC142" s="29">
        <v>7795</v>
      </c>
      <c r="AF142" s="83">
        <f t="shared" si="35"/>
        <v>7795</v>
      </c>
      <c r="AG142" s="83">
        <f>E142-AF142</f>
        <v>0</v>
      </c>
      <c r="AI142" s="83"/>
    </row>
    <row r="143" spans="1:36" s="38" customFormat="1" ht="20.25" customHeight="1">
      <c r="A143" s="57">
        <v>3</v>
      </c>
      <c r="B143" s="44" t="s">
        <v>752</v>
      </c>
      <c r="C143" s="29">
        <f>C144+C145+C146</f>
        <v>152207</v>
      </c>
      <c r="D143" s="29">
        <f t="shared" ref="D143:T143" si="66">D144+D145+D146</f>
        <v>1045</v>
      </c>
      <c r="E143" s="29">
        <f t="shared" si="66"/>
        <v>151162</v>
      </c>
      <c r="F143" s="29">
        <f t="shared" si="66"/>
        <v>151162</v>
      </c>
      <c r="G143" s="29">
        <f t="shared" si="66"/>
        <v>0</v>
      </c>
      <c r="H143" s="29">
        <f t="shared" si="66"/>
        <v>0</v>
      </c>
      <c r="I143" s="29">
        <f t="shared" si="66"/>
        <v>0</v>
      </c>
      <c r="J143" s="29">
        <f t="shared" si="66"/>
        <v>0</v>
      </c>
      <c r="K143" s="29">
        <f t="shared" si="66"/>
        <v>0</v>
      </c>
      <c r="L143" s="29">
        <f t="shared" si="66"/>
        <v>0</v>
      </c>
      <c r="M143" s="29">
        <f t="shared" si="66"/>
        <v>0</v>
      </c>
      <c r="N143" s="29">
        <f t="shared" si="66"/>
        <v>0</v>
      </c>
      <c r="O143" s="29">
        <f t="shared" si="66"/>
        <v>0</v>
      </c>
      <c r="P143" s="29">
        <f t="shared" si="66"/>
        <v>0</v>
      </c>
      <c r="Q143" s="29">
        <f t="shared" si="66"/>
        <v>0</v>
      </c>
      <c r="R143" s="29">
        <f t="shared" si="66"/>
        <v>0</v>
      </c>
      <c r="S143" s="29">
        <f t="shared" si="66"/>
        <v>0</v>
      </c>
      <c r="T143" s="29">
        <f t="shared" si="66"/>
        <v>0</v>
      </c>
      <c r="U143" s="65"/>
      <c r="V143" s="29"/>
      <c r="W143" s="29"/>
      <c r="X143" s="29"/>
      <c r="Y143" s="29"/>
      <c r="Z143" s="29"/>
      <c r="AA143" s="29">
        <f t="shared" si="63"/>
        <v>0</v>
      </c>
      <c r="AB143" s="81"/>
      <c r="AC143" s="29"/>
      <c r="AF143" s="83">
        <f t="shared" si="35"/>
        <v>0</v>
      </c>
      <c r="AG143" s="83"/>
      <c r="AI143" s="83"/>
    </row>
    <row r="144" spans="1:36" s="38" customFormat="1" ht="23.25" customHeight="1">
      <c r="A144" s="57"/>
      <c r="B144" s="58" t="s">
        <v>752</v>
      </c>
      <c r="C144" s="29">
        <f>D144+E144</f>
        <v>94688</v>
      </c>
      <c r="D144" s="29">
        <v>583</v>
      </c>
      <c r="E144" s="29">
        <f t="shared" si="65"/>
        <v>94105</v>
      </c>
      <c r="F144" s="29">
        <v>94105</v>
      </c>
      <c r="G144" s="29"/>
      <c r="H144" s="29"/>
      <c r="I144" s="29"/>
      <c r="J144" s="29"/>
      <c r="K144" s="29"/>
      <c r="L144" s="29"/>
      <c r="M144" s="29"/>
      <c r="N144" s="29"/>
      <c r="O144" s="29"/>
      <c r="P144" s="29"/>
      <c r="Q144" s="29"/>
      <c r="R144" s="29"/>
      <c r="S144" s="29"/>
      <c r="T144" s="29"/>
      <c r="U144" s="65"/>
      <c r="V144" s="29"/>
      <c r="W144" s="29"/>
      <c r="X144" s="29"/>
      <c r="Y144" s="29"/>
      <c r="Z144" s="29"/>
      <c r="AA144" s="29">
        <f t="shared" si="63"/>
        <v>0</v>
      </c>
      <c r="AB144" s="81"/>
      <c r="AC144" s="29"/>
      <c r="AF144" s="83">
        <f t="shared" si="35"/>
        <v>0</v>
      </c>
      <c r="AG144" s="83"/>
      <c r="AI144" s="83">
        <f>E144-U144-V144</f>
        <v>94105</v>
      </c>
    </row>
    <row r="145" spans="1:35" s="38" customFormat="1" ht="23.25" customHeight="1">
      <c r="A145" s="57"/>
      <c r="B145" s="58" t="s">
        <v>753</v>
      </c>
      <c r="C145" s="29">
        <f>D145+E145</f>
        <v>37445</v>
      </c>
      <c r="D145" s="29">
        <v>462</v>
      </c>
      <c r="E145" s="29">
        <f t="shared" si="65"/>
        <v>36983</v>
      </c>
      <c r="F145" s="29">
        <f>-142+37125</f>
        <v>36983</v>
      </c>
      <c r="G145" s="29"/>
      <c r="H145" s="29"/>
      <c r="I145" s="29"/>
      <c r="J145" s="29"/>
      <c r="K145" s="29"/>
      <c r="L145" s="29"/>
      <c r="M145" s="29"/>
      <c r="N145" s="29"/>
      <c r="O145" s="29"/>
      <c r="P145" s="29"/>
      <c r="Q145" s="29"/>
      <c r="R145" s="29"/>
      <c r="S145" s="29"/>
      <c r="T145" s="29"/>
      <c r="U145" s="65"/>
      <c r="V145" s="29"/>
      <c r="W145" s="29">
        <v>-142</v>
      </c>
      <c r="X145" s="29"/>
      <c r="Y145" s="29"/>
      <c r="Z145" s="29"/>
      <c r="AA145" s="29">
        <f t="shared" si="63"/>
        <v>-142</v>
      </c>
      <c r="AB145" s="81"/>
      <c r="AC145" s="29">
        <v>36983</v>
      </c>
      <c r="AF145" s="83">
        <f t="shared" si="35"/>
        <v>36983</v>
      </c>
      <c r="AG145" s="83">
        <f>E145-AF145</f>
        <v>0</v>
      </c>
      <c r="AI145" s="83"/>
    </row>
    <row r="146" spans="1:35" s="38" customFormat="1" ht="33.75" customHeight="1">
      <c r="A146" s="57"/>
      <c r="B146" s="58" t="s">
        <v>754</v>
      </c>
      <c r="C146" s="29">
        <f>D146+E146</f>
        <v>20074</v>
      </c>
      <c r="D146" s="29"/>
      <c r="E146" s="29">
        <f t="shared" si="65"/>
        <v>20074</v>
      </c>
      <c r="F146" s="29">
        <v>20074</v>
      </c>
      <c r="G146" s="29"/>
      <c r="H146" s="29"/>
      <c r="I146" s="29"/>
      <c r="J146" s="29"/>
      <c r="K146" s="29"/>
      <c r="L146" s="29"/>
      <c r="M146" s="29"/>
      <c r="N146" s="29"/>
      <c r="O146" s="29"/>
      <c r="P146" s="29"/>
      <c r="Q146" s="29"/>
      <c r="R146" s="29"/>
      <c r="S146" s="29"/>
      <c r="T146" s="29"/>
      <c r="U146" s="65"/>
      <c r="V146" s="29">
        <v>20074</v>
      </c>
      <c r="W146" s="29"/>
      <c r="X146" s="29"/>
      <c r="Y146" s="29"/>
      <c r="Z146" s="29"/>
      <c r="AA146" s="29">
        <f t="shared" si="63"/>
        <v>0</v>
      </c>
      <c r="AB146" s="81" t="s">
        <v>755</v>
      </c>
      <c r="AC146" s="29"/>
      <c r="AF146" s="83">
        <f t="shared" si="35"/>
        <v>0</v>
      </c>
      <c r="AG146" s="83"/>
      <c r="AI146" s="83">
        <f t="shared" ref="AI146:AI151" si="67">E146-U146-V146</f>
        <v>0</v>
      </c>
    </row>
    <row r="147" spans="1:35" ht="38.25" customHeight="1">
      <c r="A147" s="48">
        <v>4</v>
      </c>
      <c r="B147" s="44" t="s">
        <v>756</v>
      </c>
      <c r="C147" s="29">
        <f>D147+E147</f>
        <v>20984</v>
      </c>
      <c r="D147" s="29"/>
      <c r="E147" s="29">
        <f t="shared" ref="E147:E159" si="68">F147+G147+H147+I147+J147+K147+L147+M147+N147+O147+R147+S147+T147</f>
        <v>20984</v>
      </c>
      <c r="F147" s="29"/>
      <c r="G147" s="29"/>
      <c r="H147" s="29"/>
      <c r="I147" s="29"/>
      <c r="J147" s="29">
        <v>20984</v>
      </c>
      <c r="K147" s="29"/>
      <c r="L147" s="29"/>
      <c r="M147" s="29"/>
      <c r="N147" s="29"/>
      <c r="O147" s="29"/>
      <c r="P147" s="29"/>
      <c r="Q147" s="29"/>
      <c r="R147" s="29"/>
      <c r="S147" s="29"/>
      <c r="T147" s="29"/>
      <c r="U147" s="65"/>
      <c r="V147" s="29"/>
      <c r="W147" s="29"/>
      <c r="X147" s="29"/>
      <c r="Y147" s="29"/>
      <c r="Z147" s="29"/>
      <c r="AA147" s="29">
        <f t="shared" si="63"/>
        <v>0</v>
      </c>
      <c r="AC147" s="29"/>
      <c r="AF147" s="83">
        <f t="shared" ref="AF147:AF157" si="69">AC147+AD147-AE147</f>
        <v>0</v>
      </c>
      <c r="AG147" s="83"/>
      <c r="AI147" s="83">
        <f t="shared" si="67"/>
        <v>20984</v>
      </c>
    </row>
    <row r="148" spans="1:35" ht="49.5" customHeight="1">
      <c r="A148" s="48">
        <v>5</v>
      </c>
      <c r="B148" s="44" t="s">
        <v>757</v>
      </c>
      <c r="C148" s="29">
        <f>D148+E148</f>
        <v>15000</v>
      </c>
      <c r="D148" s="29"/>
      <c r="E148" s="29">
        <f t="shared" si="68"/>
        <v>15000</v>
      </c>
      <c r="F148" s="29"/>
      <c r="G148" s="29"/>
      <c r="H148" s="29"/>
      <c r="I148" s="29"/>
      <c r="J148" s="29"/>
      <c r="K148" s="29"/>
      <c r="L148" s="29"/>
      <c r="M148" s="29"/>
      <c r="N148" s="29"/>
      <c r="O148" s="29">
        <v>15000</v>
      </c>
      <c r="P148" s="29"/>
      <c r="Q148" s="29"/>
      <c r="R148" s="29"/>
      <c r="S148" s="29"/>
      <c r="T148" s="29"/>
      <c r="U148" s="65"/>
      <c r="V148" s="29"/>
      <c r="W148" s="29"/>
      <c r="X148" s="29"/>
      <c r="Y148" s="29"/>
      <c r="Z148" s="29"/>
      <c r="AA148" s="29">
        <f t="shared" si="63"/>
        <v>0</v>
      </c>
      <c r="AC148" s="29"/>
      <c r="AF148" s="83">
        <f t="shared" si="69"/>
        <v>0</v>
      </c>
      <c r="AG148" s="83"/>
      <c r="AI148" s="83">
        <f t="shared" si="67"/>
        <v>15000</v>
      </c>
    </row>
    <row r="149" spans="1:35" ht="21.75" customHeight="1">
      <c r="A149" s="48">
        <v>6</v>
      </c>
      <c r="B149" s="44" t="s">
        <v>758</v>
      </c>
      <c r="C149" s="29">
        <f>C150+C151</f>
        <v>2542</v>
      </c>
      <c r="D149" s="29">
        <f t="shared" ref="D149:T149" si="70">D150+D151</f>
        <v>0</v>
      </c>
      <c r="E149" s="29">
        <f t="shared" si="68"/>
        <v>2542</v>
      </c>
      <c r="F149" s="29">
        <f t="shared" si="70"/>
        <v>0</v>
      </c>
      <c r="G149" s="29">
        <f t="shared" si="70"/>
        <v>0</v>
      </c>
      <c r="H149" s="29">
        <f t="shared" si="70"/>
        <v>0</v>
      </c>
      <c r="I149" s="29">
        <f t="shared" si="70"/>
        <v>0</v>
      </c>
      <c r="J149" s="29">
        <f t="shared" si="70"/>
        <v>0</v>
      </c>
      <c r="K149" s="29">
        <f t="shared" si="70"/>
        <v>0</v>
      </c>
      <c r="L149" s="29">
        <f t="shared" si="70"/>
        <v>0</v>
      </c>
      <c r="M149" s="29">
        <f t="shared" si="70"/>
        <v>0</v>
      </c>
      <c r="N149" s="29">
        <f t="shared" si="70"/>
        <v>0</v>
      </c>
      <c r="O149" s="29">
        <f t="shared" si="70"/>
        <v>2542</v>
      </c>
      <c r="P149" s="29">
        <f t="shared" si="70"/>
        <v>0</v>
      </c>
      <c r="Q149" s="29">
        <f t="shared" si="70"/>
        <v>0</v>
      </c>
      <c r="R149" s="29">
        <f t="shared" si="70"/>
        <v>0</v>
      </c>
      <c r="S149" s="29">
        <f t="shared" si="70"/>
        <v>0</v>
      </c>
      <c r="T149" s="29">
        <f t="shared" si="70"/>
        <v>0</v>
      </c>
      <c r="U149" s="65"/>
      <c r="V149" s="29"/>
      <c r="W149" s="29"/>
      <c r="X149" s="29"/>
      <c r="Y149" s="29"/>
      <c r="Z149" s="29"/>
      <c r="AA149" s="29">
        <f t="shared" si="63"/>
        <v>0</v>
      </c>
      <c r="AC149" s="29"/>
      <c r="AF149" s="83">
        <f t="shared" si="69"/>
        <v>0</v>
      </c>
      <c r="AG149" s="83"/>
      <c r="AI149" s="83"/>
    </row>
    <row r="150" spans="1:35" s="38" customFormat="1" ht="24" customHeight="1">
      <c r="A150" s="57"/>
      <c r="B150" s="58" t="s">
        <v>690</v>
      </c>
      <c r="C150" s="29">
        <f>D150+E150</f>
        <v>2542</v>
      </c>
      <c r="D150" s="29"/>
      <c r="E150" s="29">
        <f t="shared" si="68"/>
        <v>2542</v>
      </c>
      <c r="F150" s="29"/>
      <c r="G150" s="29"/>
      <c r="H150" s="29"/>
      <c r="I150" s="29"/>
      <c r="J150" s="29"/>
      <c r="K150" s="29"/>
      <c r="L150" s="29"/>
      <c r="M150" s="29"/>
      <c r="N150" s="29"/>
      <c r="O150" s="29">
        <v>2542</v>
      </c>
      <c r="P150" s="29"/>
      <c r="Q150" s="29"/>
      <c r="R150" s="29"/>
      <c r="S150" s="29"/>
      <c r="T150" s="29"/>
      <c r="U150" s="65"/>
      <c r="V150" s="29"/>
      <c r="W150" s="29"/>
      <c r="X150" s="29"/>
      <c r="Y150" s="29"/>
      <c r="Z150" s="29"/>
      <c r="AA150" s="29">
        <f t="shared" si="63"/>
        <v>0</v>
      </c>
      <c r="AB150" s="81"/>
      <c r="AC150" s="29"/>
      <c r="AF150" s="83">
        <f t="shared" si="69"/>
        <v>0</v>
      </c>
      <c r="AG150" s="83"/>
      <c r="AI150" s="83">
        <f t="shared" si="67"/>
        <v>2542</v>
      </c>
    </row>
    <row r="151" spans="1:35" s="38" customFormat="1" ht="27" customHeight="1">
      <c r="A151" s="57"/>
      <c r="B151" s="58" t="s">
        <v>691</v>
      </c>
      <c r="C151" s="29">
        <f>D151+E151</f>
        <v>0</v>
      </c>
      <c r="D151" s="29"/>
      <c r="E151" s="29">
        <f t="shared" si="68"/>
        <v>0</v>
      </c>
      <c r="F151" s="29"/>
      <c r="G151" s="29"/>
      <c r="H151" s="29"/>
      <c r="I151" s="29"/>
      <c r="J151" s="29"/>
      <c r="K151" s="29"/>
      <c r="L151" s="29"/>
      <c r="M151" s="29"/>
      <c r="N151" s="29"/>
      <c r="O151" s="29"/>
      <c r="P151" s="29"/>
      <c r="Q151" s="29"/>
      <c r="R151" s="29"/>
      <c r="S151" s="29"/>
      <c r="T151" s="29"/>
      <c r="U151" s="65"/>
      <c r="V151" s="29"/>
      <c r="W151" s="29"/>
      <c r="X151" s="29"/>
      <c r="Y151" s="29"/>
      <c r="Z151" s="29"/>
      <c r="AA151" s="29">
        <f t="shared" si="63"/>
        <v>0</v>
      </c>
      <c r="AB151" s="81"/>
      <c r="AC151" s="29"/>
      <c r="AF151" s="83">
        <f t="shared" si="69"/>
        <v>0</v>
      </c>
      <c r="AG151" s="83">
        <f>E151-AF151</f>
        <v>0</v>
      </c>
      <c r="AI151" s="83">
        <f t="shared" si="67"/>
        <v>0</v>
      </c>
    </row>
    <row r="152" spans="1:35" ht="21.75" customHeight="1">
      <c r="A152" s="48">
        <v>7</v>
      </c>
      <c r="B152" s="44" t="s">
        <v>759</v>
      </c>
      <c r="C152" s="29">
        <f>C153+C154</f>
        <v>90914</v>
      </c>
      <c r="D152" s="29">
        <f t="shared" ref="D152:T152" si="71">D153+D154</f>
        <v>0</v>
      </c>
      <c r="E152" s="29">
        <f t="shared" si="68"/>
        <v>90914</v>
      </c>
      <c r="F152" s="29">
        <f t="shared" si="71"/>
        <v>1000</v>
      </c>
      <c r="G152" s="29">
        <f t="shared" si="71"/>
        <v>0</v>
      </c>
      <c r="H152" s="29">
        <f t="shared" si="71"/>
        <v>0</v>
      </c>
      <c r="I152" s="29">
        <f t="shared" si="71"/>
        <v>61409</v>
      </c>
      <c r="J152" s="29">
        <f t="shared" si="71"/>
        <v>0</v>
      </c>
      <c r="K152" s="29">
        <f t="shared" si="71"/>
        <v>0</v>
      </c>
      <c r="L152" s="29">
        <f t="shared" si="71"/>
        <v>0</v>
      </c>
      <c r="M152" s="29">
        <f t="shared" si="71"/>
        <v>0</v>
      </c>
      <c r="N152" s="29">
        <f t="shared" si="71"/>
        <v>0</v>
      </c>
      <c r="O152" s="29">
        <f t="shared" si="71"/>
        <v>30</v>
      </c>
      <c r="P152" s="29">
        <f t="shared" si="71"/>
        <v>0</v>
      </c>
      <c r="Q152" s="29">
        <f t="shared" si="71"/>
        <v>0</v>
      </c>
      <c r="R152" s="29">
        <f t="shared" si="71"/>
        <v>0</v>
      </c>
      <c r="S152" s="29">
        <f t="shared" si="71"/>
        <v>28475</v>
      </c>
      <c r="T152" s="29">
        <f t="shared" si="71"/>
        <v>0</v>
      </c>
      <c r="U152" s="65"/>
      <c r="V152" s="29"/>
      <c r="W152" s="29"/>
      <c r="X152" s="29"/>
      <c r="Y152" s="29"/>
      <c r="Z152" s="29"/>
      <c r="AA152" s="29">
        <f t="shared" si="63"/>
        <v>0</v>
      </c>
      <c r="AC152" s="29"/>
      <c r="AF152" s="83">
        <f t="shared" si="69"/>
        <v>0</v>
      </c>
      <c r="AG152" s="83"/>
      <c r="AI152" s="83"/>
    </row>
    <row r="153" spans="1:35" s="38" customFormat="1" ht="24" customHeight="1">
      <c r="A153" s="57"/>
      <c r="B153" s="58" t="s">
        <v>690</v>
      </c>
      <c r="C153" s="29">
        <f>D153+E153</f>
        <v>76425</v>
      </c>
      <c r="D153" s="29"/>
      <c r="E153" s="29">
        <f t="shared" si="68"/>
        <v>76425</v>
      </c>
      <c r="F153" s="29">
        <v>1000</v>
      </c>
      <c r="G153" s="29"/>
      <c r="H153" s="29"/>
      <c r="I153" s="29">
        <f>1950+45000</f>
        <v>46950</v>
      </c>
      <c r="J153" s="29"/>
      <c r="K153" s="29"/>
      <c r="L153" s="29"/>
      <c r="M153" s="29"/>
      <c r="N153" s="29"/>
      <c r="O153" s="29"/>
      <c r="P153" s="29"/>
      <c r="Q153" s="29"/>
      <c r="R153" s="29"/>
      <c r="S153" s="29">
        <v>28475</v>
      </c>
      <c r="T153" s="29"/>
      <c r="U153" s="65"/>
      <c r="V153" s="29"/>
      <c r="W153" s="29"/>
      <c r="X153" s="29"/>
      <c r="Y153" s="29"/>
      <c r="Z153" s="29"/>
      <c r="AA153" s="29">
        <f t="shared" si="63"/>
        <v>0</v>
      </c>
      <c r="AB153" s="81"/>
      <c r="AC153" s="29"/>
      <c r="AF153" s="83">
        <f t="shared" si="69"/>
        <v>0</v>
      </c>
      <c r="AG153" s="83"/>
      <c r="AI153" s="83">
        <f>E153-U153-V153</f>
        <v>76425</v>
      </c>
    </row>
    <row r="154" spans="1:35" s="38" customFormat="1" ht="27" customHeight="1">
      <c r="A154" s="57"/>
      <c r="B154" s="58" t="s">
        <v>691</v>
      </c>
      <c r="C154" s="29">
        <f>D154+E154</f>
        <v>14489</v>
      </c>
      <c r="D154" s="29"/>
      <c r="E154" s="29">
        <f t="shared" si="68"/>
        <v>14489</v>
      </c>
      <c r="F154" s="29"/>
      <c r="G154" s="29"/>
      <c r="H154" s="29"/>
      <c r="I154" s="29">
        <v>14459</v>
      </c>
      <c r="J154" s="29"/>
      <c r="K154" s="29"/>
      <c r="L154" s="29"/>
      <c r="M154" s="29"/>
      <c r="N154" s="29"/>
      <c r="O154" s="29">
        <v>30</v>
      </c>
      <c r="P154" s="29"/>
      <c r="Q154" s="29"/>
      <c r="R154" s="29"/>
      <c r="S154" s="29"/>
      <c r="T154" s="29"/>
      <c r="U154" s="65"/>
      <c r="V154" s="29"/>
      <c r="W154" s="29"/>
      <c r="X154" s="29"/>
      <c r="Y154" s="29"/>
      <c r="Z154" s="29"/>
      <c r="AA154" s="29">
        <f t="shared" si="63"/>
        <v>0</v>
      </c>
      <c r="AB154" s="81"/>
      <c r="AC154" s="29"/>
      <c r="AF154" s="83">
        <f t="shared" si="69"/>
        <v>0</v>
      </c>
      <c r="AG154" s="83">
        <f>E154-AF154</f>
        <v>14489</v>
      </c>
      <c r="AI154" s="83">
        <f>E154-U154-V154</f>
        <v>14489</v>
      </c>
    </row>
    <row r="155" spans="1:35" ht="21.75" customHeight="1">
      <c r="A155" s="48">
        <v>8</v>
      </c>
      <c r="B155" s="44" t="s">
        <v>760</v>
      </c>
      <c r="C155" s="29">
        <f>C156+C157</f>
        <v>129788</v>
      </c>
      <c r="D155" s="29">
        <f t="shared" ref="D155:T155" si="72">D156+D157</f>
        <v>0</v>
      </c>
      <c r="E155" s="29">
        <f t="shared" si="68"/>
        <v>129788</v>
      </c>
      <c r="F155" s="29">
        <f t="shared" si="72"/>
        <v>17000</v>
      </c>
      <c r="G155" s="29">
        <f t="shared" si="72"/>
        <v>0</v>
      </c>
      <c r="H155" s="29">
        <f t="shared" si="72"/>
        <v>112788</v>
      </c>
      <c r="I155" s="29">
        <f t="shared" si="72"/>
        <v>0</v>
      </c>
      <c r="J155" s="29">
        <f t="shared" si="72"/>
        <v>0</v>
      </c>
      <c r="K155" s="29">
        <f t="shared" si="72"/>
        <v>0</v>
      </c>
      <c r="L155" s="29">
        <f t="shared" si="72"/>
        <v>0</v>
      </c>
      <c r="M155" s="29">
        <f t="shared" si="72"/>
        <v>0</v>
      </c>
      <c r="N155" s="29">
        <f t="shared" si="72"/>
        <v>0</v>
      </c>
      <c r="O155" s="29">
        <f t="shared" si="72"/>
        <v>0</v>
      </c>
      <c r="P155" s="29">
        <f t="shared" si="72"/>
        <v>0</v>
      </c>
      <c r="Q155" s="29">
        <f t="shared" si="72"/>
        <v>0</v>
      </c>
      <c r="R155" s="29">
        <f t="shared" si="72"/>
        <v>0</v>
      </c>
      <c r="S155" s="29">
        <f t="shared" si="72"/>
        <v>0</v>
      </c>
      <c r="T155" s="29">
        <f t="shared" si="72"/>
        <v>0</v>
      </c>
      <c r="U155" s="65"/>
      <c r="V155" s="29"/>
      <c r="W155" s="29"/>
      <c r="X155" s="29"/>
      <c r="Y155" s="29"/>
      <c r="Z155" s="29"/>
      <c r="AA155" s="29">
        <f t="shared" si="63"/>
        <v>0</v>
      </c>
      <c r="AC155" s="29"/>
      <c r="AF155" s="83">
        <f t="shared" si="69"/>
        <v>0</v>
      </c>
      <c r="AG155" s="83"/>
      <c r="AI155" s="83"/>
    </row>
    <row r="156" spans="1:35" s="38" customFormat="1" ht="24" customHeight="1">
      <c r="A156" s="57"/>
      <c r="B156" s="58" t="s">
        <v>690</v>
      </c>
      <c r="C156" s="29">
        <f>D156+E156</f>
        <v>104000</v>
      </c>
      <c r="D156" s="29"/>
      <c r="E156" s="29">
        <f t="shared" si="68"/>
        <v>104000</v>
      </c>
      <c r="F156" s="29">
        <v>17000</v>
      </c>
      <c r="G156" s="29"/>
      <c r="H156" s="29">
        <v>87000</v>
      </c>
      <c r="I156" s="29"/>
      <c r="J156" s="29"/>
      <c r="K156" s="29"/>
      <c r="L156" s="29"/>
      <c r="M156" s="29"/>
      <c r="N156" s="29"/>
      <c r="O156" s="29"/>
      <c r="P156" s="29"/>
      <c r="Q156" s="29"/>
      <c r="R156" s="29"/>
      <c r="S156" s="29"/>
      <c r="T156" s="29"/>
      <c r="U156" s="65"/>
      <c r="V156" s="29"/>
      <c r="W156" s="29"/>
      <c r="X156" s="29"/>
      <c r="Y156" s="29"/>
      <c r="Z156" s="29"/>
      <c r="AA156" s="29">
        <f t="shared" si="63"/>
        <v>0</v>
      </c>
      <c r="AB156" s="81"/>
      <c r="AC156" s="29"/>
      <c r="AF156" s="83">
        <f t="shared" si="69"/>
        <v>0</v>
      </c>
      <c r="AG156" s="83"/>
      <c r="AI156" s="83">
        <f>E156-U156-V156</f>
        <v>104000</v>
      </c>
    </row>
    <row r="157" spans="1:35" s="38" customFormat="1" ht="27" customHeight="1">
      <c r="A157" s="57"/>
      <c r="B157" s="58" t="s">
        <v>691</v>
      </c>
      <c r="C157" s="29">
        <f>D157+E157</f>
        <v>25788</v>
      </c>
      <c r="D157" s="29"/>
      <c r="E157" s="29">
        <f t="shared" si="68"/>
        <v>25788</v>
      </c>
      <c r="F157" s="29"/>
      <c r="G157" s="29"/>
      <c r="H157" s="29">
        <v>25788</v>
      </c>
      <c r="I157" s="29"/>
      <c r="J157" s="29"/>
      <c r="K157" s="29"/>
      <c r="L157" s="29"/>
      <c r="M157" s="29"/>
      <c r="N157" s="29"/>
      <c r="O157" s="29"/>
      <c r="P157" s="29"/>
      <c r="Q157" s="29"/>
      <c r="R157" s="29"/>
      <c r="S157" s="29"/>
      <c r="T157" s="29"/>
      <c r="U157" s="65"/>
      <c r="V157" s="29"/>
      <c r="W157" s="29"/>
      <c r="X157" s="29"/>
      <c r="Y157" s="29"/>
      <c r="Z157" s="29"/>
      <c r="AA157" s="29">
        <f t="shared" si="63"/>
        <v>0</v>
      </c>
      <c r="AB157" s="81"/>
      <c r="AC157" s="29"/>
      <c r="AF157" s="83">
        <f t="shared" si="69"/>
        <v>0</v>
      </c>
      <c r="AG157" s="83">
        <f>E157-AF157</f>
        <v>25788</v>
      </c>
      <c r="AI157" s="83">
        <f>E157-U157-V157</f>
        <v>25788</v>
      </c>
    </row>
    <row r="158" spans="1:35" s="69" customFormat="1" ht="27.75" customHeight="1">
      <c r="A158" s="90">
        <v>9</v>
      </c>
      <c r="B158" s="91" t="s">
        <v>761</v>
      </c>
      <c r="C158" s="92">
        <f>SUM(C159:C160)</f>
        <v>50983</v>
      </c>
      <c r="D158" s="92">
        <f t="shared" ref="D158:V158" si="73">SUM(D159:D160)</f>
        <v>0</v>
      </c>
      <c r="E158" s="92">
        <f t="shared" si="68"/>
        <v>50983</v>
      </c>
      <c r="F158" s="92">
        <f>SUM(F159:F160)</f>
        <v>0</v>
      </c>
      <c r="G158" s="92">
        <f t="shared" si="73"/>
        <v>0</v>
      </c>
      <c r="H158" s="92">
        <f t="shared" si="73"/>
        <v>0</v>
      </c>
      <c r="I158" s="92">
        <f t="shared" si="73"/>
        <v>0</v>
      </c>
      <c r="J158" s="92">
        <f t="shared" si="73"/>
        <v>0</v>
      </c>
      <c r="K158" s="92">
        <f t="shared" si="73"/>
        <v>0</v>
      </c>
      <c r="L158" s="92">
        <f t="shared" si="73"/>
        <v>0</v>
      </c>
      <c r="M158" s="92">
        <f t="shared" si="73"/>
        <v>0</v>
      </c>
      <c r="N158" s="92">
        <f t="shared" si="73"/>
        <v>0</v>
      </c>
      <c r="O158" s="92">
        <f t="shared" si="73"/>
        <v>25135</v>
      </c>
      <c r="P158" s="92">
        <f t="shared" si="73"/>
        <v>0</v>
      </c>
      <c r="Q158" s="92">
        <f t="shared" si="73"/>
        <v>0</v>
      </c>
      <c r="R158" s="92">
        <f t="shared" si="73"/>
        <v>0</v>
      </c>
      <c r="S158" s="92">
        <f t="shared" si="73"/>
        <v>0</v>
      </c>
      <c r="T158" s="92">
        <f t="shared" si="73"/>
        <v>25848</v>
      </c>
      <c r="U158" s="92">
        <f t="shared" si="73"/>
        <v>0</v>
      </c>
      <c r="V158" s="92">
        <f t="shared" si="73"/>
        <v>0</v>
      </c>
      <c r="W158" s="92"/>
      <c r="X158" s="92"/>
      <c r="Y158" s="92"/>
      <c r="Z158" s="92"/>
      <c r="AA158" s="92"/>
      <c r="AB158" s="93"/>
      <c r="AC158" s="92"/>
      <c r="AF158" s="94"/>
      <c r="AG158" s="94"/>
      <c r="AI158" s="94"/>
    </row>
    <row r="159" spans="1:35" s="38" customFormat="1" ht="27.75" customHeight="1">
      <c r="A159" s="57"/>
      <c r="B159" s="58" t="s">
        <v>690</v>
      </c>
      <c r="C159" s="72">
        <f>C162+C165+C168+C171+C174+C177</f>
        <v>23532</v>
      </c>
      <c r="D159" s="72">
        <f t="shared" ref="D159:V159" si="74">D162+D165+D168+D171+D174+D177</f>
        <v>0</v>
      </c>
      <c r="E159" s="72">
        <f t="shared" si="68"/>
        <v>23532</v>
      </c>
      <c r="F159" s="72">
        <f t="shared" si="74"/>
        <v>0</v>
      </c>
      <c r="G159" s="72">
        <f t="shared" si="74"/>
        <v>0</v>
      </c>
      <c r="H159" s="72">
        <f t="shared" si="74"/>
        <v>0</v>
      </c>
      <c r="I159" s="72">
        <f t="shared" si="74"/>
        <v>0</v>
      </c>
      <c r="J159" s="72">
        <f t="shared" si="74"/>
        <v>0</v>
      </c>
      <c r="K159" s="72">
        <f t="shared" si="74"/>
        <v>0</v>
      </c>
      <c r="L159" s="72">
        <f t="shared" si="74"/>
        <v>0</v>
      </c>
      <c r="M159" s="72">
        <f t="shared" si="74"/>
        <v>0</v>
      </c>
      <c r="N159" s="72">
        <f t="shared" si="74"/>
        <v>0</v>
      </c>
      <c r="O159" s="72">
        <f t="shared" si="74"/>
        <v>0</v>
      </c>
      <c r="P159" s="72">
        <f t="shared" si="74"/>
        <v>0</v>
      </c>
      <c r="Q159" s="72">
        <f t="shared" si="74"/>
        <v>0</v>
      </c>
      <c r="R159" s="72">
        <f t="shared" si="74"/>
        <v>0</v>
      </c>
      <c r="S159" s="72">
        <f t="shared" si="74"/>
        <v>0</v>
      </c>
      <c r="T159" s="72">
        <f t="shared" si="74"/>
        <v>23532</v>
      </c>
      <c r="U159" s="72">
        <f t="shared" si="74"/>
        <v>0</v>
      </c>
      <c r="V159" s="72">
        <f t="shared" si="74"/>
        <v>0</v>
      </c>
      <c r="W159" s="72"/>
      <c r="X159" s="72"/>
      <c r="Y159" s="72"/>
      <c r="Z159" s="72"/>
      <c r="AA159" s="72"/>
      <c r="AB159" s="81"/>
      <c r="AC159" s="72"/>
      <c r="AF159" s="83"/>
      <c r="AG159" s="83"/>
      <c r="AI159" s="83"/>
    </row>
    <row r="160" spans="1:35" ht="27.75" customHeight="1">
      <c r="A160" s="48"/>
      <c r="B160" s="58" t="s">
        <v>691</v>
      </c>
      <c r="C160" s="29">
        <f>C163+C166+C169+C172+C175+C178+C179+SUM(C180:C219)</f>
        <v>27451</v>
      </c>
      <c r="D160" s="29">
        <f>D163+D166+D169+D172+D175+D178+D179+SUM(D180:D219)</f>
        <v>0</v>
      </c>
      <c r="E160" s="29">
        <f>E163+E166+E169+E172+E175+E178+E179+SUM(E180:E219)</f>
        <v>27451</v>
      </c>
      <c r="F160" s="29">
        <f t="shared" ref="F160:AA160" si="75">F163+F166+F169+F172+F175+F178+F179+SUM(F180:F219)</f>
        <v>0</v>
      </c>
      <c r="G160" s="29">
        <f t="shared" si="75"/>
        <v>0</v>
      </c>
      <c r="H160" s="29">
        <f t="shared" si="75"/>
        <v>0</v>
      </c>
      <c r="I160" s="29">
        <f t="shared" si="75"/>
        <v>0</v>
      </c>
      <c r="J160" s="29">
        <f t="shared" si="75"/>
        <v>0</v>
      </c>
      <c r="K160" s="29">
        <f t="shared" si="75"/>
        <v>0</v>
      </c>
      <c r="L160" s="29">
        <f t="shared" si="75"/>
        <v>0</v>
      </c>
      <c r="M160" s="29">
        <f t="shared" si="75"/>
        <v>0</v>
      </c>
      <c r="N160" s="29">
        <f t="shared" si="75"/>
        <v>0</v>
      </c>
      <c r="O160" s="29">
        <f t="shared" si="75"/>
        <v>25135</v>
      </c>
      <c r="P160" s="29">
        <f t="shared" si="75"/>
        <v>0</v>
      </c>
      <c r="Q160" s="29">
        <f t="shared" si="75"/>
        <v>0</v>
      </c>
      <c r="R160" s="29">
        <f t="shared" si="75"/>
        <v>0</v>
      </c>
      <c r="S160" s="29">
        <f t="shared" si="75"/>
        <v>0</v>
      </c>
      <c r="T160" s="29">
        <f t="shared" si="75"/>
        <v>2316</v>
      </c>
      <c r="U160" s="29">
        <f t="shared" si="75"/>
        <v>0</v>
      </c>
      <c r="V160" s="29">
        <f t="shared" si="75"/>
        <v>0</v>
      </c>
      <c r="W160" s="29">
        <f t="shared" si="75"/>
        <v>0</v>
      </c>
      <c r="X160" s="29">
        <f t="shared" si="75"/>
        <v>0</v>
      </c>
      <c r="Y160" s="29">
        <f t="shared" si="75"/>
        <v>0</v>
      </c>
      <c r="Z160" s="29">
        <f t="shared" si="75"/>
        <v>0</v>
      </c>
      <c r="AA160" s="29">
        <f t="shared" si="75"/>
        <v>0</v>
      </c>
      <c r="AC160" s="29"/>
      <c r="AF160" s="61"/>
      <c r="AG160" s="61"/>
      <c r="AI160" s="61"/>
    </row>
    <row r="161" spans="1:35" ht="21.75" customHeight="1">
      <c r="A161" s="48" t="s">
        <v>645</v>
      </c>
      <c r="B161" s="44" t="s">
        <v>762</v>
      </c>
      <c r="C161" s="29">
        <f>C162+C163</f>
        <v>20000</v>
      </c>
      <c r="D161" s="29">
        <f t="shared" ref="D161:T161" si="76">D162+D163</f>
        <v>0</v>
      </c>
      <c r="E161" s="29">
        <f t="shared" ref="E161:E178" si="77">F161+G161+H161+I161+J161+K161+L161+M161+N161+O161+R161+S161+T161</f>
        <v>20000</v>
      </c>
      <c r="F161" s="29">
        <f t="shared" si="76"/>
        <v>0</v>
      </c>
      <c r="G161" s="29">
        <f t="shared" si="76"/>
        <v>0</v>
      </c>
      <c r="H161" s="29">
        <f t="shared" si="76"/>
        <v>0</v>
      </c>
      <c r="I161" s="29">
        <f t="shared" si="76"/>
        <v>0</v>
      </c>
      <c r="J161" s="29">
        <f t="shared" si="76"/>
        <v>0</v>
      </c>
      <c r="K161" s="29">
        <f t="shared" si="76"/>
        <v>0</v>
      </c>
      <c r="L161" s="29">
        <f t="shared" si="76"/>
        <v>0</v>
      </c>
      <c r="M161" s="29">
        <f t="shared" si="76"/>
        <v>0</v>
      </c>
      <c r="N161" s="29">
        <f t="shared" si="76"/>
        <v>0</v>
      </c>
      <c r="O161" s="29">
        <f t="shared" si="76"/>
        <v>0</v>
      </c>
      <c r="P161" s="29">
        <f t="shared" si="76"/>
        <v>0</v>
      </c>
      <c r="Q161" s="29">
        <f t="shared" si="76"/>
        <v>0</v>
      </c>
      <c r="R161" s="29">
        <f t="shared" si="76"/>
        <v>0</v>
      </c>
      <c r="S161" s="29">
        <f t="shared" si="76"/>
        <v>0</v>
      </c>
      <c r="T161" s="29">
        <f t="shared" si="76"/>
        <v>20000</v>
      </c>
      <c r="U161" s="65"/>
      <c r="V161" s="29"/>
      <c r="W161" s="29"/>
      <c r="X161" s="29"/>
      <c r="Y161" s="29"/>
      <c r="Z161" s="29"/>
      <c r="AA161" s="29">
        <f t="shared" ref="AA161:AA179" si="78">W161+X161+Y161+Z161</f>
        <v>0</v>
      </c>
      <c r="AC161" s="29"/>
      <c r="AF161" s="83">
        <f t="shared" ref="AF161:AF179" si="79">AC161+AD161-AE161</f>
        <v>0</v>
      </c>
      <c r="AG161" s="83"/>
      <c r="AI161" s="83"/>
    </row>
    <row r="162" spans="1:35" s="38" customFormat="1" ht="24" customHeight="1">
      <c r="A162" s="57"/>
      <c r="B162" s="58" t="s">
        <v>690</v>
      </c>
      <c r="C162" s="72">
        <f>D162+E162</f>
        <v>20000</v>
      </c>
      <c r="D162" s="72"/>
      <c r="E162" s="72">
        <f t="shared" si="77"/>
        <v>20000</v>
      </c>
      <c r="F162" s="72"/>
      <c r="G162" s="72"/>
      <c r="H162" s="72"/>
      <c r="I162" s="72"/>
      <c r="J162" s="72"/>
      <c r="K162" s="72"/>
      <c r="L162" s="72"/>
      <c r="M162" s="72"/>
      <c r="N162" s="72"/>
      <c r="O162" s="72"/>
      <c r="P162" s="72"/>
      <c r="Q162" s="72"/>
      <c r="R162" s="72"/>
      <c r="S162" s="72"/>
      <c r="T162" s="72">
        <v>20000</v>
      </c>
      <c r="U162" s="80"/>
      <c r="V162" s="72"/>
      <c r="W162" s="72"/>
      <c r="X162" s="72"/>
      <c r="Y162" s="72"/>
      <c r="Z162" s="72"/>
      <c r="AA162" s="72">
        <f t="shared" si="78"/>
        <v>0</v>
      </c>
      <c r="AB162" s="81"/>
      <c r="AC162" s="72"/>
      <c r="AF162" s="83">
        <f t="shared" si="79"/>
        <v>0</v>
      </c>
      <c r="AG162" s="83"/>
      <c r="AI162" s="83">
        <f>E162-U162-V162</f>
        <v>20000</v>
      </c>
    </row>
    <row r="163" spans="1:35" s="38" customFormat="1" ht="27" customHeight="1">
      <c r="A163" s="57"/>
      <c r="B163" s="58" t="s">
        <v>691</v>
      </c>
      <c r="C163" s="29">
        <f>D163+E163</f>
        <v>0</v>
      </c>
      <c r="D163" s="29"/>
      <c r="E163" s="29">
        <f t="shared" si="77"/>
        <v>0</v>
      </c>
      <c r="F163" s="29"/>
      <c r="G163" s="29"/>
      <c r="H163" s="29"/>
      <c r="I163" s="29"/>
      <c r="J163" s="29"/>
      <c r="K163" s="29"/>
      <c r="L163" s="29"/>
      <c r="M163" s="29"/>
      <c r="N163" s="29"/>
      <c r="O163" s="29"/>
      <c r="P163" s="29"/>
      <c r="Q163" s="29"/>
      <c r="R163" s="29"/>
      <c r="S163" s="29"/>
      <c r="T163" s="29"/>
      <c r="U163" s="65"/>
      <c r="V163" s="29"/>
      <c r="W163" s="29"/>
      <c r="X163" s="29"/>
      <c r="Y163" s="29"/>
      <c r="Z163" s="29"/>
      <c r="AA163" s="29">
        <f t="shared" si="78"/>
        <v>0</v>
      </c>
      <c r="AB163" s="81"/>
      <c r="AC163" s="29"/>
      <c r="AF163" s="83">
        <f t="shared" si="79"/>
        <v>0</v>
      </c>
      <c r="AG163" s="83">
        <f>E163-AF163</f>
        <v>0</v>
      </c>
      <c r="AI163" s="83">
        <f>E163-U163-V163</f>
        <v>0</v>
      </c>
    </row>
    <row r="164" spans="1:35" ht="21.75" customHeight="1">
      <c r="A164" s="48" t="s">
        <v>645</v>
      </c>
      <c r="B164" s="44" t="s">
        <v>763</v>
      </c>
      <c r="C164" s="29">
        <f>C165+C166</f>
        <v>1275</v>
      </c>
      <c r="D164" s="29">
        <f t="shared" ref="D164:T164" si="80">D165+D166</f>
        <v>0</v>
      </c>
      <c r="E164" s="29">
        <f t="shared" si="77"/>
        <v>1275</v>
      </c>
      <c r="F164" s="29">
        <f t="shared" si="80"/>
        <v>0</v>
      </c>
      <c r="G164" s="29">
        <f t="shared" si="80"/>
        <v>0</v>
      </c>
      <c r="H164" s="29">
        <f t="shared" si="80"/>
        <v>0</v>
      </c>
      <c r="I164" s="29">
        <f t="shared" si="80"/>
        <v>0</v>
      </c>
      <c r="J164" s="29">
        <f t="shared" si="80"/>
        <v>0</v>
      </c>
      <c r="K164" s="29">
        <f t="shared" si="80"/>
        <v>0</v>
      </c>
      <c r="L164" s="29">
        <f t="shared" si="80"/>
        <v>0</v>
      </c>
      <c r="M164" s="29">
        <f t="shared" si="80"/>
        <v>0</v>
      </c>
      <c r="N164" s="29">
        <f t="shared" si="80"/>
        <v>0</v>
      </c>
      <c r="O164" s="29">
        <f t="shared" si="80"/>
        <v>10</v>
      </c>
      <c r="P164" s="29">
        <f t="shared" si="80"/>
        <v>0</v>
      </c>
      <c r="Q164" s="29">
        <f t="shared" si="80"/>
        <v>0</v>
      </c>
      <c r="R164" s="29">
        <f t="shared" si="80"/>
        <v>0</v>
      </c>
      <c r="S164" s="29">
        <f t="shared" si="80"/>
        <v>0</v>
      </c>
      <c r="T164" s="29">
        <f t="shared" si="80"/>
        <v>1265</v>
      </c>
      <c r="U164" s="65"/>
      <c r="V164" s="29"/>
      <c r="W164" s="29"/>
      <c r="X164" s="29"/>
      <c r="Y164" s="29"/>
      <c r="Z164" s="29"/>
      <c r="AA164" s="29">
        <f t="shared" si="78"/>
        <v>0</v>
      </c>
      <c r="AC164" s="29"/>
      <c r="AF164" s="83">
        <f t="shared" si="79"/>
        <v>0</v>
      </c>
      <c r="AG164" s="83"/>
      <c r="AI164" s="83"/>
    </row>
    <row r="165" spans="1:35" s="38" customFormat="1" ht="24" customHeight="1">
      <c r="A165" s="57"/>
      <c r="B165" s="58" t="s">
        <v>690</v>
      </c>
      <c r="C165" s="72">
        <f>D165+E165</f>
        <v>1115</v>
      </c>
      <c r="D165" s="72"/>
      <c r="E165" s="72">
        <f t="shared" si="77"/>
        <v>1115</v>
      </c>
      <c r="F165" s="72"/>
      <c r="G165" s="72"/>
      <c r="H165" s="72"/>
      <c r="I165" s="72"/>
      <c r="J165" s="72"/>
      <c r="K165" s="72"/>
      <c r="L165" s="72"/>
      <c r="M165" s="72"/>
      <c r="N165" s="72"/>
      <c r="O165" s="72"/>
      <c r="P165" s="72"/>
      <c r="Q165" s="72"/>
      <c r="R165" s="72"/>
      <c r="S165" s="72"/>
      <c r="T165" s="72">
        <v>1115</v>
      </c>
      <c r="U165" s="80"/>
      <c r="V165" s="72"/>
      <c r="W165" s="72"/>
      <c r="X165" s="72"/>
      <c r="Y165" s="72"/>
      <c r="Z165" s="72"/>
      <c r="AA165" s="72">
        <f t="shared" si="78"/>
        <v>0</v>
      </c>
      <c r="AB165" s="81"/>
      <c r="AC165" s="72"/>
      <c r="AF165" s="83">
        <f t="shared" si="79"/>
        <v>0</v>
      </c>
      <c r="AG165" s="83"/>
      <c r="AI165" s="83">
        <f>E165-U165-V165</f>
        <v>1115</v>
      </c>
    </row>
    <row r="166" spans="1:35" s="38" customFormat="1" ht="27" customHeight="1">
      <c r="A166" s="57"/>
      <c r="B166" s="58" t="s">
        <v>691</v>
      </c>
      <c r="C166" s="29">
        <f>D166+E166</f>
        <v>160</v>
      </c>
      <c r="D166" s="29"/>
      <c r="E166" s="29">
        <f t="shared" si="77"/>
        <v>160</v>
      </c>
      <c r="F166" s="29"/>
      <c r="G166" s="29"/>
      <c r="H166" s="29"/>
      <c r="I166" s="29"/>
      <c r="J166" s="29"/>
      <c r="K166" s="29"/>
      <c r="L166" s="29"/>
      <c r="M166" s="29"/>
      <c r="N166" s="29"/>
      <c r="O166" s="29">
        <v>10</v>
      </c>
      <c r="P166" s="29"/>
      <c r="Q166" s="29"/>
      <c r="R166" s="29"/>
      <c r="S166" s="29"/>
      <c r="T166" s="29">
        <v>150</v>
      </c>
      <c r="U166" s="65"/>
      <c r="V166" s="29"/>
      <c r="W166" s="29"/>
      <c r="X166" s="29"/>
      <c r="Y166" s="29"/>
      <c r="Z166" s="29"/>
      <c r="AA166" s="29">
        <f t="shared" si="78"/>
        <v>0</v>
      </c>
      <c r="AB166" s="81"/>
      <c r="AC166" s="29"/>
      <c r="AF166" s="83">
        <f t="shared" si="79"/>
        <v>0</v>
      </c>
      <c r="AG166" s="83">
        <f>E166-AF166</f>
        <v>160</v>
      </c>
      <c r="AI166" s="83">
        <f>E166-U166-V166</f>
        <v>160</v>
      </c>
    </row>
    <row r="167" spans="1:35" ht="21.75" customHeight="1">
      <c r="A167" s="48" t="s">
        <v>645</v>
      </c>
      <c r="B167" s="44" t="s">
        <v>764</v>
      </c>
      <c r="C167" s="29">
        <f>C168+C169</f>
        <v>273</v>
      </c>
      <c r="D167" s="29">
        <f t="shared" ref="D167:T167" si="81">D168+D169</f>
        <v>0</v>
      </c>
      <c r="E167" s="29">
        <f t="shared" si="77"/>
        <v>273</v>
      </c>
      <c r="F167" s="29">
        <f t="shared" si="81"/>
        <v>0</v>
      </c>
      <c r="G167" s="29">
        <f t="shared" si="81"/>
        <v>0</v>
      </c>
      <c r="H167" s="29">
        <f t="shared" si="81"/>
        <v>0</v>
      </c>
      <c r="I167" s="29">
        <f t="shared" si="81"/>
        <v>0</v>
      </c>
      <c r="J167" s="29">
        <f t="shared" si="81"/>
        <v>0</v>
      </c>
      <c r="K167" s="29">
        <f t="shared" si="81"/>
        <v>0</v>
      </c>
      <c r="L167" s="29">
        <f t="shared" si="81"/>
        <v>0</v>
      </c>
      <c r="M167" s="29">
        <f t="shared" si="81"/>
        <v>0</v>
      </c>
      <c r="N167" s="29">
        <f t="shared" si="81"/>
        <v>0</v>
      </c>
      <c r="O167" s="29">
        <f t="shared" si="81"/>
        <v>0</v>
      </c>
      <c r="P167" s="29">
        <f t="shared" si="81"/>
        <v>0</v>
      </c>
      <c r="Q167" s="29">
        <f t="shared" si="81"/>
        <v>0</v>
      </c>
      <c r="R167" s="29">
        <f t="shared" si="81"/>
        <v>0</v>
      </c>
      <c r="S167" s="29">
        <f t="shared" si="81"/>
        <v>0</v>
      </c>
      <c r="T167" s="29">
        <f t="shared" si="81"/>
        <v>273</v>
      </c>
      <c r="U167" s="65"/>
      <c r="V167" s="29"/>
      <c r="W167" s="29"/>
      <c r="X167" s="29"/>
      <c r="Y167" s="29"/>
      <c r="Z167" s="29"/>
      <c r="AA167" s="29">
        <f t="shared" si="78"/>
        <v>0</v>
      </c>
      <c r="AC167" s="29"/>
      <c r="AF167" s="83">
        <f t="shared" si="79"/>
        <v>0</v>
      </c>
      <c r="AG167" s="83"/>
      <c r="AI167" s="83"/>
    </row>
    <row r="168" spans="1:35" s="38" customFormat="1" ht="24" customHeight="1">
      <c r="A168" s="57"/>
      <c r="B168" s="58" t="s">
        <v>690</v>
      </c>
      <c r="C168" s="72">
        <f>D168+E168</f>
        <v>97</v>
      </c>
      <c r="D168" s="72"/>
      <c r="E168" s="72">
        <f t="shared" si="77"/>
        <v>97</v>
      </c>
      <c r="F168" s="72"/>
      <c r="G168" s="72"/>
      <c r="H168" s="72"/>
      <c r="I168" s="72"/>
      <c r="J168" s="72"/>
      <c r="K168" s="72"/>
      <c r="L168" s="72"/>
      <c r="M168" s="72"/>
      <c r="N168" s="72"/>
      <c r="O168" s="72"/>
      <c r="P168" s="72"/>
      <c r="Q168" s="72"/>
      <c r="R168" s="72"/>
      <c r="S168" s="72"/>
      <c r="T168" s="72">
        <v>97</v>
      </c>
      <c r="U168" s="80"/>
      <c r="V168" s="72"/>
      <c r="W168" s="72"/>
      <c r="X168" s="72"/>
      <c r="Y168" s="72"/>
      <c r="Z168" s="72"/>
      <c r="AA168" s="72">
        <f t="shared" si="78"/>
        <v>0</v>
      </c>
      <c r="AB168" s="81"/>
      <c r="AC168" s="72"/>
      <c r="AF168" s="83">
        <f t="shared" si="79"/>
        <v>0</v>
      </c>
      <c r="AG168" s="83"/>
      <c r="AI168" s="83">
        <f>E168-U168-V168</f>
        <v>97</v>
      </c>
    </row>
    <row r="169" spans="1:35" s="38" customFormat="1" ht="27" customHeight="1">
      <c r="A169" s="57"/>
      <c r="B169" s="58" t="s">
        <v>691</v>
      </c>
      <c r="C169" s="29">
        <f>D169+E169</f>
        <v>176</v>
      </c>
      <c r="D169" s="29"/>
      <c r="E169" s="29">
        <f t="shared" si="77"/>
        <v>176</v>
      </c>
      <c r="F169" s="29"/>
      <c r="G169" s="29"/>
      <c r="H169" s="29"/>
      <c r="I169" s="29"/>
      <c r="J169" s="29"/>
      <c r="K169" s="29"/>
      <c r="L169" s="29"/>
      <c r="M169" s="29"/>
      <c r="N169" s="29"/>
      <c r="O169" s="29"/>
      <c r="P169" s="29"/>
      <c r="Q169" s="29"/>
      <c r="R169" s="29"/>
      <c r="S169" s="29"/>
      <c r="T169" s="29">
        <v>176</v>
      </c>
      <c r="U169" s="65"/>
      <c r="V169" s="29"/>
      <c r="W169" s="29"/>
      <c r="X169" s="29"/>
      <c r="Y169" s="29"/>
      <c r="Z169" s="29"/>
      <c r="AA169" s="29">
        <f t="shared" si="78"/>
        <v>0</v>
      </c>
      <c r="AB169" s="81"/>
      <c r="AC169" s="29"/>
      <c r="AF169" s="83">
        <f t="shared" si="79"/>
        <v>0</v>
      </c>
      <c r="AG169" s="83">
        <f>E169-AF169</f>
        <v>176</v>
      </c>
      <c r="AI169" s="83">
        <f>E169-U169-V169</f>
        <v>176</v>
      </c>
    </row>
    <row r="170" spans="1:35" ht="21.75" customHeight="1">
      <c r="A170" s="48" t="s">
        <v>645</v>
      </c>
      <c r="B170" s="44" t="s">
        <v>765</v>
      </c>
      <c r="C170" s="29">
        <f>C171+C172</f>
        <v>518</v>
      </c>
      <c r="D170" s="29">
        <f t="shared" ref="D170:T170" si="82">D171+D172</f>
        <v>0</v>
      </c>
      <c r="E170" s="29">
        <f t="shared" si="77"/>
        <v>518</v>
      </c>
      <c r="F170" s="29">
        <f t="shared" si="82"/>
        <v>0</v>
      </c>
      <c r="G170" s="29">
        <f t="shared" si="82"/>
        <v>0</v>
      </c>
      <c r="H170" s="29">
        <f t="shared" si="82"/>
        <v>0</v>
      </c>
      <c r="I170" s="29">
        <f t="shared" si="82"/>
        <v>0</v>
      </c>
      <c r="J170" s="29">
        <f t="shared" si="82"/>
        <v>0</v>
      </c>
      <c r="K170" s="29">
        <f t="shared" si="82"/>
        <v>0</v>
      </c>
      <c r="L170" s="29">
        <f t="shared" si="82"/>
        <v>0</v>
      </c>
      <c r="M170" s="29">
        <f t="shared" si="82"/>
        <v>0</v>
      </c>
      <c r="N170" s="29">
        <f t="shared" si="82"/>
        <v>0</v>
      </c>
      <c r="O170" s="29">
        <f t="shared" si="82"/>
        <v>0</v>
      </c>
      <c r="P170" s="29">
        <f t="shared" si="82"/>
        <v>0</v>
      </c>
      <c r="Q170" s="29">
        <f t="shared" si="82"/>
        <v>0</v>
      </c>
      <c r="R170" s="29">
        <f t="shared" si="82"/>
        <v>0</v>
      </c>
      <c r="S170" s="29">
        <f t="shared" si="82"/>
        <v>0</v>
      </c>
      <c r="T170" s="29">
        <f t="shared" si="82"/>
        <v>518</v>
      </c>
      <c r="U170" s="65"/>
      <c r="V170" s="29"/>
      <c r="W170" s="29"/>
      <c r="X170" s="29"/>
      <c r="Y170" s="29"/>
      <c r="Z170" s="29"/>
      <c r="AA170" s="29">
        <f t="shared" si="78"/>
        <v>0</v>
      </c>
      <c r="AC170" s="29"/>
      <c r="AF170" s="83">
        <f t="shared" si="79"/>
        <v>0</v>
      </c>
      <c r="AG170" s="83"/>
      <c r="AI170" s="83"/>
    </row>
    <row r="171" spans="1:35" s="38" customFormat="1" ht="24" customHeight="1">
      <c r="A171" s="57"/>
      <c r="B171" s="58" t="s">
        <v>690</v>
      </c>
      <c r="C171" s="72">
        <f>D171+E171</f>
        <v>500</v>
      </c>
      <c r="D171" s="72"/>
      <c r="E171" s="72">
        <f t="shared" si="77"/>
        <v>500</v>
      </c>
      <c r="F171" s="72"/>
      <c r="G171" s="72"/>
      <c r="H171" s="72"/>
      <c r="I171" s="72"/>
      <c r="J171" s="72"/>
      <c r="K171" s="72"/>
      <c r="L171" s="72"/>
      <c r="M171" s="72"/>
      <c r="N171" s="72"/>
      <c r="O171" s="72"/>
      <c r="P171" s="72"/>
      <c r="Q171" s="72"/>
      <c r="R171" s="72"/>
      <c r="S171" s="72"/>
      <c r="T171" s="72">
        <v>500</v>
      </c>
      <c r="U171" s="80"/>
      <c r="V171" s="72"/>
      <c r="W171" s="72"/>
      <c r="X171" s="72"/>
      <c r="Y171" s="72"/>
      <c r="Z171" s="72"/>
      <c r="AA171" s="72">
        <f t="shared" si="78"/>
        <v>0</v>
      </c>
      <c r="AB171" s="81"/>
      <c r="AC171" s="72"/>
      <c r="AF171" s="83">
        <f t="shared" si="79"/>
        <v>0</v>
      </c>
      <c r="AG171" s="83"/>
      <c r="AI171" s="83">
        <f>E171-U171-V171</f>
        <v>500</v>
      </c>
    </row>
    <row r="172" spans="1:35" s="38" customFormat="1" ht="27" customHeight="1">
      <c r="A172" s="57"/>
      <c r="B172" s="58" t="s">
        <v>691</v>
      </c>
      <c r="C172" s="29">
        <f>D172+E172</f>
        <v>18</v>
      </c>
      <c r="D172" s="29"/>
      <c r="E172" s="29">
        <f t="shared" si="77"/>
        <v>18</v>
      </c>
      <c r="F172" s="29"/>
      <c r="G172" s="29"/>
      <c r="H172" s="29"/>
      <c r="I172" s="29"/>
      <c r="J172" s="29"/>
      <c r="K172" s="29"/>
      <c r="L172" s="29"/>
      <c r="M172" s="29"/>
      <c r="N172" s="29"/>
      <c r="O172" s="29"/>
      <c r="P172" s="29"/>
      <c r="Q172" s="29"/>
      <c r="R172" s="29"/>
      <c r="S172" s="29"/>
      <c r="T172" s="29">
        <v>18</v>
      </c>
      <c r="U172" s="65"/>
      <c r="V172" s="29"/>
      <c r="W172" s="29"/>
      <c r="X172" s="29"/>
      <c r="Y172" s="29"/>
      <c r="Z172" s="29"/>
      <c r="AA172" s="29">
        <f t="shared" si="78"/>
        <v>0</v>
      </c>
      <c r="AB172" s="81"/>
      <c r="AC172" s="29"/>
      <c r="AF172" s="83">
        <f t="shared" si="79"/>
        <v>0</v>
      </c>
      <c r="AG172" s="83">
        <f>E172-AF172</f>
        <v>18</v>
      </c>
      <c r="AI172" s="83">
        <f>E172-U172-V172</f>
        <v>18</v>
      </c>
    </row>
    <row r="173" spans="1:35" ht="21.75" customHeight="1">
      <c r="A173" s="48" t="s">
        <v>645</v>
      </c>
      <c r="B173" s="44" t="s">
        <v>766</v>
      </c>
      <c r="C173" s="29">
        <f>C174+C175</f>
        <v>562</v>
      </c>
      <c r="D173" s="29">
        <f t="shared" ref="D173:T173" si="83">D174+D175</f>
        <v>0</v>
      </c>
      <c r="E173" s="29">
        <f t="shared" si="77"/>
        <v>562</v>
      </c>
      <c r="F173" s="29">
        <f t="shared" si="83"/>
        <v>0</v>
      </c>
      <c r="G173" s="29">
        <f t="shared" si="83"/>
        <v>0</v>
      </c>
      <c r="H173" s="29">
        <f t="shared" si="83"/>
        <v>0</v>
      </c>
      <c r="I173" s="29">
        <f t="shared" si="83"/>
        <v>0</v>
      </c>
      <c r="J173" s="29">
        <f t="shared" si="83"/>
        <v>0</v>
      </c>
      <c r="K173" s="29">
        <f t="shared" si="83"/>
        <v>0</v>
      </c>
      <c r="L173" s="29">
        <f t="shared" si="83"/>
        <v>0</v>
      </c>
      <c r="M173" s="29">
        <f t="shared" si="83"/>
        <v>0</v>
      </c>
      <c r="N173" s="29">
        <f t="shared" si="83"/>
        <v>0</v>
      </c>
      <c r="O173" s="29">
        <f t="shared" si="83"/>
        <v>0</v>
      </c>
      <c r="P173" s="29">
        <f t="shared" si="83"/>
        <v>0</v>
      </c>
      <c r="Q173" s="29">
        <f t="shared" si="83"/>
        <v>0</v>
      </c>
      <c r="R173" s="29">
        <f t="shared" si="83"/>
        <v>0</v>
      </c>
      <c r="S173" s="29">
        <f t="shared" si="83"/>
        <v>0</v>
      </c>
      <c r="T173" s="29">
        <f t="shared" si="83"/>
        <v>562</v>
      </c>
      <c r="U173" s="65"/>
      <c r="V173" s="29"/>
      <c r="W173" s="29"/>
      <c r="X173" s="29"/>
      <c r="Y173" s="29"/>
      <c r="Z173" s="29"/>
      <c r="AA173" s="29">
        <f t="shared" si="78"/>
        <v>0</v>
      </c>
      <c r="AC173" s="29"/>
      <c r="AF173" s="83">
        <f t="shared" si="79"/>
        <v>0</v>
      </c>
      <c r="AG173" s="83"/>
      <c r="AI173" s="83"/>
    </row>
    <row r="174" spans="1:35" s="38" customFormat="1" ht="24" customHeight="1">
      <c r="A174" s="57"/>
      <c r="B174" s="58" t="s">
        <v>690</v>
      </c>
      <c r="C174" s="72">
        <f>D174+E174</f>
        <v>400</v>
      </c>
      <c r="D174" s="72"/>
      <c r="E174" s="72">
        <f t="shared" si="77"/>
        <v>400</v>
      </c>
      <c r="F174" s="72"/>
      <c r="G174" s="72"/>
      <c r="H174" s="72"/>
      <c r="I174" s="72"/>
      <c r="J174" s="72"/>
      <c r="K174" s="72"/>
      <c r="L174" s="72"/>
      <c r="M174" s="72"/>
      <c r="N174" s="72"/>
      <c r="O174" s="72"/>
      <c r="P174" s="72"/>
      <c r="Q174" s="72"/>
      <c r="R174" s="72"/>
      <c r="S174" s="72"/>
      <c r="T174" s="72">
        <v>400</v>
      </c>
      <c r="U174" s="80"/>
      <c r="V174" s="72"/>
      <c r="W174" s="72"/>
      <c r="X174" s="72"/>
      <c r="Y174" s="72"/>
      <c r="Z174" s="72"/>
      <c r="AA174" s="72">
        <f t="shared" si="78"/>
        <v>0</v>
      </c>
      <c r="AB174" s="81"/>
      <c r="AC174" s="72"/>
      <c r="AF174" s="83">
        <f t="shared" si="79"/>
        <v>0</v>
      </c>
      <c r="AG174" s="83"/>
      <c r="AI174" s="83">
        <f>E174-U174-V174</f>
        <v>400</v>
      </c>
    </row>
    <row r="175" spans="1:35" s="38" customFormat="1" ht="27" customHeight="1">
      <c r="A175" s="57"/>
      <c r="B175" s="58" t="s">
        <v>691</v>
      </c>
      <c r="C175" s="29">
        <f>D175+E175</f>
        <v>162</v>
      </c>
      <c r="D175" s="29"/>
      <c r="E175" s="29">
        <f t="shared" si="77"/>
        <v>162</v>
      </c>
      <c r="F175" s="29"/>
      <c r="G175" s="29"/>
      <c r="H175" s="29"/>
      <c r="I175" s="29"/>
      <c r="J175" s="29"/>
      <c r="K175" s="29"/>
      <c r="L175" s="29"/>
      <c r="M175" s="29"/>
      <c r="N175" s="29"/>
      <c r="O175" s="29"/>
      <c r="P175" s="29"/>
      <c r="Q175" s="29"/>
      <c r="R175" s="29"/>
      <c r="S175" s="29"/>
      <c r="T175" s="29">
        <v>162</v>
      </c>
      <c r="U175" s="65"/>
      <c r="V175" s="29"/>
      <c r="W175" s="29"/>
      <c r="X175" s="29"/>
      <c r="Y175" s="29"/>
      <c r="Z175" s="29"/>
      <c r="AA175" s="29">
        <f t="shared" si="78"/>
        <v>0</v>
      </c>
      <c r="AB175" s="81"/>
      <c r="AC175" s="29"/>
      <c r="AF175" s="83">
        <f t="shared" si="79"/>
        <v>0</v>
      </c>
      <c r="AG175" s="83">
        <f>E175-AF175</f>
        <v>162</v>
      </c>
      <c r="AI175" s="83">
        <f>E175-U175-V175</f>
        <v>162</v>
      </c>
    </row>
    <row r="176" spans="1:35" ht="21.75" customHeight="1">
      <c r="A176" s="48" t="s">
        <v>645</v>
      </c>
      <c r="B176" s="44" t="s">
        <v>767</v>
      </c>
      <c r="C176" s="29">
        <f>C177+C178</f>
        <v>1490</v>
      </c>
      <c r="D176" s="29">
        <f t="shared" ref="D176:T176" si="84">D177+D178</f>
        <v>0</v>
      </c>
      <c r="E176" s="29">
        <f t="shared" si="77"/>
        <v>1490</v>
      </c>
      <c r="F176" s="29">
        <f t="shared" si="84"/>
        <v>0</v>
      </c>
      <c r="G176" s="29">
        <f t="shared" si="84"/>
        <v>0</v>
      </c>
      <c r="H176" s="29">
        <f t="shared" si="84"/>
        <v>0</v>
      </c>
      <c r="I176" s="29">
        <f t="shared" si="84"/>
        <v>0</v>
      </c>
      <c r="J176" s="29">
        <f t="shared" si="84"/>
        <v>0</v>
      </c>
      <c r="K176" s="29">
        <f t="shared" si="84"/>
        <v>0</v>
      </c>
      <c r="L176" s="29">
        <f t="shared" si="84"/>
        <v>0</v>
      </c>
      <c r="M176" s="29">
        <f t="shared" si="84"/>
        <v>0</v>
      </c>
      <c r="N176" s="29">
        <f t="shared" si="84"/>
        <v>0</v>
      </c>
      <c r="O176" s="29">
        <f t="shared" si="84"/>
        <v>0</v>
      </c>
      <c r="P176" s="29">
        <f t="shared" si="84"/>
        <v>0</v>
      </c>
      <c r="Q176" s="29">
        <f t="shared" si="84"/>
        <v>0</v>
      </c>
      <c r="R176" s="29">
        <f t="shared" si="84"/>
        <v>0</v>
      </c>
      <c r="S176" s="29">
        <f t="shared" si="84"/>
        <v>0</v>
      </c>
      <c r="T176" s="29">
        <f t="shared" si="84"/>
        <v>1490</v>
      </c>
      <c r="U176" s="65"/>
      <c r="V176" s="29"/>
      <c r="W176" s="29"/>
      <c r="X176" s="29"/>
      <c r="Y176" s="29"/>
      <c r="Z176" s="29"/>
      <c r="AA176" s="29">
        <f t="shared" si="78"/>
        <v>0</v>
      </c>
      <c r="AC176" s="29"/>
      <c r="AF176" s="83">
        <f t="shared" si="79"/>
        <v>0</v>
      </c>
      <c r="AG176" s="83"/>
      <c r="AI176" s="83"/>
    </row>
    <row r="177" spans="1:35" s="38" customFormat="1" ht="24" customHeight="1">
      <c r="A177" s="57"/>
      <c r="B177" s="58" t="s">
        <v>690</v>
      </c>
      <c r="C177" s="72">
        <f>D177+E177</f>
        <v>1420</v>
      </c>
      <c r="D177" s="72"/>
      <c r="E177" s="72">
        <f t="shared" si="77"/>
        <v>1420</v>
      </c>
      <c r="F177" s="72"/>
      <c r="G177" s="72"/>
      <c r="H177" s="72"/>
      <c r="I177" s="72"/>
      <c r="J177" s="72"/>
      <c r="K177" s="72"/>
      <c r="L177" s="72"/>
      <c r="M177" s="72"/>
      <c r="N177" s="72"/>
      <c r="O177" s="72"/>
      <c r="P177" s="72"/>
      <c r="Q177" s="72"/>
      <c r="R177" s="72"/>
      <c r="S177" s="72"/>
      <c r="T177" s="72">
        <v>1420</v>
      </c>
      <c r="U177" s="80"/>
      <c r="V177" s="72"/>
      <c r="W177" s="72"/>
      <c r="X177" s="72"/>
      <c r="Y177" s="72"/>
      <c r="Z177" s="72"/>
      <c r="AA177" s="72">
        <f t="shared" si="78"/>
        <v>0</v>
      </c>
      <c r="AB177" s="81"/>
      <c r="AC177" s="72"/>
      <c r="AF177" s="83">
        <f t="shared" si="79"/>
        <v>0</v>
      </c>
      <c r="AG177" s="83"/>
      <c r="AI177" s="83">
        <f>E177-U177-V177</f>
        <v>1420</v>
      </c>
    </row>
    <row r="178" spans="1:35" s="38" customFormat="1" ht="27" customHeight="1">
      <c r="A178" s="57"/>
      <c r="B178" s="58" t="s">
        <v>691</v>
      </c>
      <c r="C178" s="29">
        <f>D178+E178</f>
        <v>70</v>
      </c>
      <c r="D178" s="29"/>
      <c r="E178" s="29">
        <f t="shared" si="77"/>
        <v>70</v>
      </c>
      <c r="F178" s="29"/>
      <c r="G178" s="29"/>
      <c r="H178" s="29"/>
      <c r="I178" s="29"/>
      <c r="J178" s="29"/>
      <c r="K178" s="29"/>
      <c r="L178" s="29"/>
      <c r="M178" s="29"/>
      <c r="N178" s="29"/>
      <c r="O178" s="29"/>
      <c r="P178" s="29"/>
      <c r="Q178" s="29"/>
      <c r="R178" s="29"/>
      <c r="S178" s="29"/>
      <c r="T178" s="29">
        <v>70</v>
      </c>
      <c r="U178" s="65"/>
      <c r="V178" s="29"/>
      <c r="W178" s="29"/>
      <c r="X178" s="29"/>
      <c r="Y178" s="29"/>
      <c r="Z178" s="29"/>
      <c r="AA178" s="29">
        <f t="shared" si="78"/>
        <v>0</v>
      </c>
      <c r="AB178" s="81"/>
      <c r="AC178" s="29"/>
      <c r="AF178" s="83">
        <f t="shared" si="79"/>
        <v>0</v>
      </c>
      <c r="AG178" s="83">
        <f>E178-AF178</f>
        <v>70</v>
      </c>
      <c r="AI178" s="83">
        <f>E178-U178-V178</f>
        <v>70</v>
      </c>
    </row>
    <row r="179" spans="1:35" ht="36" customHeight="1">
      <c r="A179" s="48" t="s">
        <v>645</v>
      </c>
      <c r="B179" s="67" t="s">
        <v>768</v>
      </c>
      <c r="C179" s="29">
        <f>D179+E179</f>
        <v>12</v>
      </c>
      <c r="D179" s="29"/>
      <c r="E179" s="29">
        <f>F179+G179+I179+J179+K179+L179+M179+N179+O179+R179+S179+T179</f>
        <v>12</v>
      </c>
      <c r="F179" s="29"/>
      <c r="G179" s="29"/>
      <c r="H179" s="29"/>
      <c r="I179" s="29"/>
      <c r="J179" s="29"/>
      <c r="K179" s="29"/>
      <c r="L179" s="29"/>
      <c r="M179" s="29"/>
      <c r="N179" s="29"/>
      <c r="O179" s="29"/>
      <c r="P179" s="29"/>
      <c r="Q179" s="29"/>
      <c r="R179" s="29"/>
      <c r="S179" s="29"/>
      <c r="T179" s="29">
        <v>12</v>
      </c>
      <c r="U179" s="65"/>
      <c r="V179" s="29"/>
      <c r="W179" s="29"/>
      <c r="X179" s="29"/>
      <c r="Y179" s="29"/>
      <c r="Z179" s="29"/>
      <c r="AA179" s="29">
        <f t="shared" si="78"/>
        <v>0</v>
      </c>
      <c r="AC179" s="95">
        <v>12</v>
      </c>
      <c r="AF179" s="83">
        <f t="shared" si="79"/>
        <v>12</v>
      </c>
      <c r="AG179" s="83">
        <f>E179-AF179</f>
        <v>0</v>
      </c>
      <c r="AI179" s="83"/>
    </row>
    <row r="180" spans="1:35" ht="36" customHeight="1">
      <c r="A180" s="48" t="s">
        <v>645</v>
      </c>
      <c r="B180" s="67" t="s">
        <v>769</v>
      </c>
      <c r="C180" s="29">
        <f t="shared" ref="C180:C219" si="85">D180+E180</f>
        <v>25000</v>
      </c>
      <c r="D180" s="29"/>
      <c r="E180" s="29">
        <f t="shared" ref="E180:E219" si="86">F180+G180+I180+J180+K180+L180+M180+N180+O180+R180+S180+T180</f>
        <v>25000</v>
      </c>
      <c r="F180" s="30"/>
      <c r="G180" s="30"/>
      <c r="H180" s="30"/>
      <c r="I180" s="30"/>
      <c r="J180" s="30"/>
      <c r="K180" s="30"/>
      <c r="L180" s="30"/>
      <c r="M180" s="30"/>
      <c r="N180" s="30"/>
      <c r="O180" s="29">
        <v>25000</v>
      </c>
      <c r="P180" s="30"/>
      <c r="Q180" s="30"/>
      <c r="R180" s="30"/>
      <c r="S180" s="30"/>
      <c r="T180" s="30"/>
      <c r="U180" s="65"/>
      <c r="V180" s="29"/>
      <c r="W180" s="29"/>
      <c r="X180" s="29"/>
      <c r="Y180" s="29"/>
      <c r="Z180" s="29"/>
      <c r="AC180" s="95"/>
      <c r="AF180" s="83"/>
      <c r="AG180" s="83"/>
      <c r="AI180" s="83"/>
    </row>
    <row r="181" spans="1:35" ht="36" customHeight="1">
      <c r="A181" s="48" t="s">
        <v>645</v>
      </c>
      <c r="B181" s="67" t="s">
        <v>770</v>
      </c>
      <c r="C181" s="29">
        <f t="shared" si="85"/>
        <v>24</v>
      </c>
      <c r="D181" s="29"/>
      <c r="E181" s="29">
        <f t="shared" si="86"/>
        <v>24</v>
      </c>
      <c r="F181" s="30"/>
      <c r="G181" s="30"/>
      <c r="H181" s="30"/>
      <c r="I181" s="30"/>
      <c r="J181" s="30"/>
      <c r="K181" s="30"/>
      <c r="L181" s="30"/>
      <c r="M181" s="30"/>
      <c r="N181" s="30"/>
      <c r="O181" s="30"/>
      <c r="P181" s="30"/>
      <c r="Q181" s="30"/>
      <c r="R181" s="30"/>
      <c r="S181" s="30"/>
      <c r="T181" s="29">
        <v>24</v>
      </c>
      <c r="U181" s="65"/>
      <c r="V181" s="29"/>
      <c r="W181" s="29"/>
      <c r="X181" s="29"/>
      <c r="Y181" s="29"/>
      <c r="Z181" s="29"/>
      <c r="AC181" s="95"/>
      <c r="AF181" s="83"/>
      <c r="AG181" s="83"/>
      <c r="AI181" s="83"/>
    </row>
    <row r="182" spans="1:35" ht="36" customHeight="1">
      <c r="A182" s="48" t="s">
        <v>645</v>
      </c>
      <c r="B182" s="67" t="s">
        <v>771</v>
      </c>
      <c r="C182" s="29">
        <f t="shared" si="85"/>
        <v>18</v>
      </c>
      <c r="D182" s="29"/>
      <c r="E182" s="29">
        <f t="shared" si="86"/>
        <v>18</v>
      </c>
      <c r="F182" s="30"/>
      <c r="G182" s="30"/>
      <c r="H182" s="30"/>
      <c r="I182" s="30"/>
      <c r="J182" s="30"/>
      <c r="K182" s="30"/>
      <c r="L182" s="30"/>
      <c r="M182" s="30"/>
      <c r="N182" s="30"/>
      <c r="O182" s="30"/>
      <c r="P182" s="30"/>
      <c r="Q182" s="30"/>
      <c r="R182" s="30"/>
      <c r="S182" s="30"/>
      <c r="T182" s="29">
        <v>18</v>
      </c>
      <c r="U182" s="65"/>
      <c r="V182" s="29"/>
      <c r="W182" s="29"/>
      <c r="X182" s="29"/>
      <c r="Y182" s="29"/>
      <c r="Z182" s="29"/>
      <c r="AC182" s="95"/>
      <c r="AF182" s="83"/>
      <c r="AG182" s="83"/>
      <c r="AI182" s="83"/>
    </row>
    <row r="183" spans="1:35" ht="36" customHeight="1">
      <c r="A183" s="48" t="s">
        <v>645</v>
      </c>
      <c r="B183" s="67" t="s">
        <v>772</v>
      </c>
      <c r="C183" s="29">
        <f t="shared" si="85"/>
        <v>18</v>
      </c>
      <c r="D183" s="29"/>
      <c r="E183" s="29">
        <f t="shared" si="86"/>
        <v>18</v>
      </c>
      <c r="F183" s="30"/>
      <c r="G183" s="30"/>
      <c r="H183" s="30"/>
      <c r="I183" s="30"/>
      <c r="J183" s="30"/>
      <c r="K183" s="30"/>
      <c r="L183" s="30"/>
      <c r="M183" s="30"/>
      <c r="N183" s="30"/>
      <c r="O183" s="30"/>
      <c r="P183" s="30"/>
      <c r="Q183" s="30"/>
      <c r="R183" s="30"/>
      <c r="S183" s="30"/>
      <c r="T183" s="29">
        <v>18</v>
      </c>
      <c r="U183" s="65"/>
      <c r="V183" s="29"/>
      <c r="W183" s="29"/>
      <c r="X183" s="29"/>
      <c r="Y183" s="29"/>
      <c r="Z183" s="29"/>
      <c r="AC183" s="95"/>
      <c r="AF183" s="83"/>
      <c r="AG183" s="83"/>
      <c r="AI183" s="83"/>
    </row>
    <row r="184" spans="1:35" ht="36" customHeight="1">
      <c r="A184" s="48" t="s">
        <v>645</v>
      </c>
      <c r="B184" s="67" t="s">
        <v>773</v>
      </c>
      <c r="C184" s="29">
        <f t="shared" si="85"/>
        <v>125</v>
      </c>
      <c r="D184" s="29"/>
      <c r="E184" s="29">
        <f t="shared" si="86"/>
        <v>125</v>
      </c>
      <c r="F184" s="30"/>
      <c r="G184" s="30"/>
      <c r="H184" s="30"/>
      <c r="I184" s="30"/>
      <c r="J184" s="30"/>
      <c r="K184" s="30"/>
      <c r="L184" s="30"/>
      <c r="M184" s="30"/>
      <c r="N184" s="30"/>
      <c r="O184" s="29">
        <v>125</v>
      </c>
      <c r="P184" s="30"/>
      <c r="Q184" s="30"/>
      <c r="R184" s="30"/>
      <c r="S184" s="30"/>
      <c r="T184" s="29"/>
      <c r="U184" s="65"/>
      <c r="V184" s="29"/>
      <c r="W184" s="29"/>
      <c r="X184" s="29"/>
      <c r="Y184" s="29"/>
      <c r="Z184" s="29"/>
      <c r="AC184" s="95"/>
      <c r="AF184" s="83"/>
      <c r="AG184" s="83"/>
      <c r="AI184" s="83"/>
    </row>
    <row r="185" spans="1:35" ht="36" customHeight="1">
      <c r="A185" s="48" t="s">
        <v>645</v>
      </c>
      <c r="B185" s="67" t="s">
        <v>774</v>
      </c>
      <c r="C185" s="29">
        <f t="shared" si="85"/>
        <v>114</v>
      </c>
      <c r="D185" s="29"/>
      <c r="E185" s="29">
        <f t="shared" si="86"/>
        <v>114</v>
      </c>
      <c r="F185" s="30"/>
      <c r="G185" s="30"/>
      <c r="H185" s="30"/>
      <c r="I185" s="30"/>
      <c r="J185" s="30"/>
      <c r="K185" s="30"/>
      <c r="L185" s="30"/>
      <c r="M185" s="30"/>
      <c r="N185" s="30"/>
      <c r="O185" s="30"/>
      <c r="P185" s="30"/>
      <c r="Q185" s="30"/>
      <c r="R185" s="30"/>
      <c r="S185" s="30"/>
      <c r="T185" s="29">
        <v>114</v>
      </c>
      <c r="U185" s="65"/>
      <c r="V185" s="29"/>
      <c r="W185" s="29"/>
      <c r="X185" s="29"/>
      <c r="Y185" s="29"/>
      <c r="Z185" s="29"/>
      <c r="AC185" s="95"/>
      <c r="AF185" s="83"/>
      <c r="AG185" s="83"/>
      <c r="AI185" s="83"/>
    </row>
    <row r="186" spans="1:35" ht="36" customHeight="1">
      <c r="A186" s="48" t="s">
        <v>645</v>
      </c>
      <c r="B186" s="67" t="s">
        <v>775</v>
      </c>
      <c r="C186" s="29">
        <f t="shared" si="85"/>
        <v>44</v>
      </c>
      <c r="D186" s="29"/>
      <c r="E186" s="29">
        <f t="shared" si="86"/>
        <v>44</v>
      </c>
      <c r="F186" s="30"/>
      <c r="G186" s="30"/>
      <c r="H186" s="30"/>
      <c r="I186" s="30"/>
      <c r="J186" s="30"/>
      <c r="K186" s="30"/>
      <c r="L186" s="30"/>
      <c r="M186" s="30"/>
      <c r="N186" s="30"/>
      <c r="O186" s="30"/>
      <c r="P186" s="30"/>
      <c r="Q186" s="30"/>
      <c r="R186" s="30"/>
      <c r="S186" s="30"/>
      <c r="T186" s="29">
        <v>44</v>
      </c>
      <c r="U186" s="65"/>
      <c r="V186" s="29"/>
      <c r="W186" s="29"/>
      <c r="X186" s="29"/>
      <c r="Y186" s="29"/>
      <c r="Z186" s="29"/>
      <c r="AC186" s="95"/>
      <c r="AF186" s="83"/>
      <c r="AG186" s="83"/>
      <c r="AI186" s="83"/>
    </row>
    <row r="187" spans="1:35" ht="36" customHeight="1">
      <c r="A187" s="48" t="s">
        <v>645</v>
      </c>
      <c r="B187" s="67" t="s">
        <v>776</v>
      </c>
      <c r="C187" s="29">
        <f t="shared" si="85"/>
        <v>64</v>
      </c>
      <c r="D187" s="29"/>
      <c r="E187" s="29">
        <f t="shared" si="86"/>
        <v>64</v>
      </c>
      <c r="F187" s="30"/>
      <c r="G187" s="30"/>
      <c r="H187" s="30"/>
      <c r="I187" s="30"/>
      <c r="J187" s="30"/>
      <c r="K187" s="30"/>
      <c r="L187" s="30"/>
      <c r="M187" s="30"/>
      <c r="N187" s="30"/>
      <c r="O187" s="30"/>
      <c r="P187" s="30"/>
      <c r="Q187" s="30"/>
      <c r="R187" s="30"/>
      <c r="S187" s="30"/>
      <c r="T187" s="29">
        <v>64</v>
      </c>
      <c r="U187" s="65"/>
      <c r="V187" s="29"/>
      <c r="W187" s="29"/>
      <c r="X187" s="29"/>
      <c r="Y187" s="29"/>
      <c r="Z187" s="29"/>
      <c r="AC187" s="95"/>
      <c r="AF187" s="83"/>
      <c r="AG187" s="83"/>
      <c r="AI187" s="83"/>
    </row>
    <row r="188" spans="1:35" ht="36" customHeight="1">
      <c r="A188" s="48" t="s">
        <v>645</v>
      </c>
      <c r="B188" s="67" t="s">
        <v>777</v>
      </c>
      <c r="C188" s="29">
        <f t="shared" si="85"/>
        <v>9</v>
      </c>
      <c r="D188" s="29"/>
      <c r="E188" s="29">
        <f t="shared" si="86"/>
        <v>9</v>
      </c>
      <c r="F188" s="30"/>
      <c r="G188" s="30"/>
      <c r="H188" s="30"/>
      <c r="I188" s="30"/>
      <c r="J188" s="30"/>
      <c r="K188" s="30"/>
      <c r="L188" s="30"/>
      <c r="M188" s="30"/>
      <c r="N188" s="30"/>
      <c r="O188" s="30"/>
      <c r="P188" s="30"/>
      <c r="Q188" s="30"/>
      <c r="R188" s="30"/>
      <c r="S188" s="30"/>
      <c r="T188" s="29">
        <v>9</v>
      </c>
      <c r="U188" s="65"/>
      <c r="V188" s="29"/>
      <c r="W188" s="29"/>
      <c r="X188" s="29"/>
      <c r="Y188" s="29"/>
      <c r="Z188" s="29"/>
      <c r="AC188" s="95"/>
      <c r="AF188" s="83"/>
      <c r="AG188" s="83"/>
      <c r="AI188" s="83"/>
    </row>
    <row r="189" spans="1:35" ht="36" customHeight="1">
      <c r="A189" s="48" t="s">
        <v>645</v>
      </c>
      <c r="B189" s="67" t="s">
        <v>778</v>
      </c>
      <c r="C189" s="29">
        <f t="shared" si="85"/>
        <v>39</v>
      </c>
      <c r="D189" s="29"/>
      <c r="E189" s="29">
        <f t="shared" si="86"/>
        <v>39</v>
      </c>
      <c r="F189" s="30"/>
      <c r="G189" s="30"/>
      <c r="H189" s="30"/>
      <c r="I189" s="30"/>
      <c r="J189" s="30"/>
      <c r="K189" s="30"/>
      <c r="L189" s="30"/>
      <c r="M189" s="30"/>
      <c r="N189" s="30"/>
      <c r="O189" s="30"/>
      <c r="P189" s="30"/>
      <c r="Q189" s="30"/>
      <c r="R189" s="30"/>
      <c r="S189" s="30"/>
      <c r="T189" s="29">
        <v>39</v>
      </c>
      <c r="U189" s="65"/>
      <c r="V189" s="29"/>
      <c r="W189" s="29"/>
      <c r="X189" s="29"/>
      <c r="Y189" s="29"/>
      <c r="Z189" s="29"/>
      <c r="AC189" s="95"/>
      <c r="AF189" s="83"/>
      <c r="AG189" s="83"/>
      <c r="AI189" s="83"/>
    </row>
    <row r="190" spans="1:35" ht="36" customHeight="1">
      <c r="A190" s="48" t="s">
        <v>645</v>
      </c>
      <c r="B190" s="67" t="s">
        <v>779</v>
      </c>
      <c r="C190" s="29">
        <f t="shared" si="85"/>
        <v>90</v>
      </c>
      <c r="D190" s="29"/>
      <c r="E190" s="29">
        <f t="shared" si="86"/>
        <v>90</v>
      </c>
      <c r="F190" s="30"/>
      <c r="G190" s="30"/>
      <c r="H190" s="30"/>
      <c r="I190" s="30"/>
      <c r="J190" s="30"/>
      <c r="K190" s="30"/>
      <c r="L190" s="30"/>
      <c r="M190" s="30"/>
      <c r="N190" s="30"/>
      <c r="O190" s="30"/>
      <c r="P190" s="30"/>
      <c r="Q190" s="30"/>
      <c r="R190" s="30"/>
      <c r="S190" s="30"/>
      <c r="T190" s="29">
        <v>90</v>
      </c>
      <c r="U190" s="65"/>
      <c r="V190" s="29"/>
      <c r="W190" s="29"/>
      <c r="X190" s="29"/>
      <c r="Y190" s="29"/>
      <c r="Z190" s="29"/>
      <c r="AC190" s="95"/>
      <c r="AF190" s="83"/>
      <c r="AG190" s="83"/>
      <c r="AI190" s="83"/>
    </row>
    <row r="191" spans="1:35" ht="36" customHeight="1">
      <c r="A191" s="48" t="s">
        <v>645</v>
      </c>
      <c r="B191" s="67" t="s">
        <v>780</v>
      </c>
      <c r="C191" s="29">
        <f t="shared" si="85"/>
        <v>13</v>
      </c>
      <c r="D191" s="29"/>
      <c r="E191" s="29">
        <f t="shared" si="86"/>
        <v>13</v>
      </c>
      <c r="F191" s="30"/>
      <c r="G191" s="30"/>
      <c r="H191" s="30"/>
      <c r="I191" s="30"/>
      <c r="J191" s="30"/>
      <c r="K191" s="30"/>
      <c r="L191" s="30"/>
      <c r="M191" s="30"/>
      <c r="N191" s="30"/>
      <c r="O191" s="30"/>
      <c r="P191" s="30"/>
      <c r="Q191" s="30"/>
      <c r="R191" s="30"/>
      <c r="S191" s="30"/>
      <c r="T191" s="29">
        <v>13</v>
      </c>
      <c r="U191" s="65"/>
      <c r="V191" s="29"/>
      <c r="W191" s="29"/>
      <c r="X191" s="29"/>
      <c r="Y191" s="29"/>
      <c r="Z191" s="29"/>
      <c r="AC191" s="95"/>
      <c r="AF191" s="83"/>
      <c r="AG191" s="83"/>
      <c r="AI191" s="83"/>
    </row>
    <row r="192" spans="1:35" ht="36" customHeight="1">
      <c r="A192" s="48" t="s">
        <v>645</v>
      </c>
      <c r="B192" s="67" t="s">
        <v>781</v>
      </c>
      <c r="C192" s="29">
        <f t="shared" si="85"/>
        <v>47</v>
      </c>
      <c r="D192" s="29"/>
      <c r="E192" s="29">
        <f t="shared" si="86"/>
        <v>47</v>
      </c>
      <c r="F192" s="30"/>
      <c r="G192" s="30"/>
      <c r="H192" s="30"/>
      <c r="I192" s="30"/>
      <c r="J192" s="30"/>
      <c r="K192" s="30"/>
      <c r="L192" s="30"/>
      <c r="M192" s="30"/>
      <c r="N192" s="30"/>
      <c r="O192" s="30"/>
      <c r="P192" s="30"/>
      <c r="Q192" s="30"/>
      <c r="R192" s="30"/>
      <c r="S192" s="30"/>
      <c r="T192" s="29">
        <v>47</v>
      </c>
      <c r="U192" s="65"/>
      <c r="V192" s="29"/>
      <c r="W192" s="29"/>
      <c r="X192" s="29"/>
      <c r="Y192" s="29"/>
      <c r="Z192" s="29"/>
      <c r="AC192" s="95"/>
      <c r="AF192" s="83"/>
      <c r="AG192" s="83"/>
      <c r="AI192" s="83"/>
    </row>
    <row r="193" spans="1:35" ht="36" customHeight="1">
      <c r="A193" s="48" t="s">
        <v>645</v>
      </c>
      <c r="B193" s="67" t="s">
        <v>782</v>
      </c>
      <c r="C193" s="29">
        <f t="shared" si="85"/>
        <v>78</v>
      </c>
      <c r="D193" s="29"/>
      <c r="E193" s="29">
        <f t="shared" si="86"/>
        <v>78</v>
      </c>
      <c r="F193" s="30"/>
      <c r="G193" s="30"/>
      <c r="H193" s="30"/>
      <c r="I193" s="30"/>
      <c r="J193" s="30"/>
      <c r="K193" s="30"/>
      <c r="L193" s="30"/>
      <c r="M193" s="30"/>
      <c r="N193" s="30"/>
      <c r="O193" s="30"/>
      <c r="P193" s="30"/>
      <c r="Q193" s="30"/>
      <c r="R193" s="30"/>
      <c r="S193" s="30"/>
      <c r="T193" s="29">
        <v>78</v>
      </c>
      <c r="U193" s="65"/>
      <c r="V193" s="29"/>
      <c r="W193" s="29"/>
      <c r="X193" s="29"/>
      <c r="Y193" s="29"/>
      <c r="Z193" s="29"/>
      <c r="AC193" s="95"/>
      <c r="AF193" s="83"/>
      <c r="AG193" s="83"/>
      <c r="AI193" s="83"/>
    </row>
    <row r="194" spans="1:35" ht="36" customHeight="1">
      <c r="A194" s="48" t="s">
        <v>645</v>
      </c>
      <c r="B194" s="67" t="s">
        <v>783</v>
      </c>
      <c r="C194" s="29">
        <f t="shared" si="85"/>
        <v>430</v>
      </c>
      <c r="D194" s="29"/>
      <c r="E194" s="29">
        <f t="shared" si="86"/>
        <v>430</v>
      </c>
      <c r="F194" s="30"/>
      <c r="G194" s="30"/>
      <c r="H194" s="30"/>
      <c r="I194" s="30"/>
      <c r="J194" s="30"/>
      <c r="K194" s="30"/>
      <c r="L194" s="30"/>
      <c r="M194" s="30"/>
      <c r="N194" s="30"/>
      <c r="O194" s="30"/>
      <c r="P194" s="30"/>
      <c r="Q194" s="30"/>
      <c r="R194" s="30"/>
      <c r="S194" s="30"/>
      <c r="T194" s="29">
        <v>430</v>
      </c>
      <c r="U194" s="65"/>
      <c r="V194" s="29"/>
      <c r="W194" s="29"/>
      <c r="X194" s="29"/>
      <c r="Y194" s="29"/>
      <c r="Z194" s="29"/>
      <c r="AC194" s="95"/>
      <c r="AF194" s="83"/>
      <c r="AG194" s="83"/>
      <c r="AI194" s="83"/>
    </row>
    <row r="195" spans="1:35" ht="36" customHeight="1">
      <c r="A195" s="48" t="s">
        <v>645</v>
      </c>
      <c r="B195" s="67" t="s">
        <v>784</v>
      </c>
      <c r="C195" s="29">
        <f t="shared" si="85"/>
        <v>28</v>
      </c>
      <c r="D195" s="29"/>
      <c r="E195" s="29">
        <f t="shared" si="86"/>
        <v>28</v>
      </c>
      <c r="F195" s="30"/>
      <c r="G195" s="30"/>
      <c r="H195" s="30"/>
      <c r="I195" s="30"/>
      <c r="J195" s="30"/>
      <c r="K195" s="30"/>
      <c r="L195" s="30"/>
      <c r="M195" s="30"/>
      <c r="N195" s="30"/>
      <c r="O195" s="30"/>
      <c r="P195" s="30"/>
      <c r="Q195" s="30"/>
      <c r="R195" s="30"/>
      <c r="S195" s="30"/>
      <c r="T195" s="29">
        <v>28</v>
      </c>
      <c r="U195" s="65"/>
      <c r="V195" s="29"/>
      <c r="W195" s="29"/>
      <c r="X195" s="29"/>
      <c r="Y195" s="29"/>
      <c r="Z195" s="29"/>
      <c r="AC195" s="95"/>
      <c r="AF195" s="83"/>
      <c r="AG195" s="83"/>
      <c r="AI195" s="83"/>
    </row>
    <row r="196" spans="1:35" ht="36" customHeight="1">
      <c r="A196" s="48" t="s">
        <v>645</v>
      </c>
      <c r="B196" s="67" t="s">
        <v>785</v>
      </c>
      <c r="C196" s="29">
        <f t="shared" si="85"/>
        <v>40</v>
      </c>
      <c r="D196" s="29"/>
      <c r="E196" s="29">
        <f t="shared" si="86"/>
        <v>40</v>
      </c>
      <c r="F196" s="30"/>
      <c r="G196" s="30"/>
      <c r="H196" s="30"/>
      <c r="I196" s="30"/>
      <c r="J196" s="30"/>
      <c r="K196" s="30"/>
      <c r="L196" s="30"/>
      <c r="M196" s="30"/>
      <c r="N196" s="30"/>
      <c r="O196" s="30"/>
      <c r="P196" s="30"/>
      <c r="Q196" s="30"/>
      <c r="R196" s="30"/>
      <c r="S196" s="30"/>
      <c r="T196" s="29">
        <v>40</v>
      </c>
      <c r="U196" s="65"/>
      <c r="V196" s="29"/>
      <c r="W196" s="29"/>
      <c r="X196" s="29"/>
      <c r="Y196" s="29"/>
      <c r="Z196" s="29"/>
      <c r="AC196" s="95"/>
      <c r="AF196" s="83"/>
      <c r="AG196" s="83"/>
      <c r="AI196" s="83"/>
    </row>
    <row r="197" spans="1:35" ht="36" customHeight="1">
      <c r="A197" s="48" t="s">
        <v>645</v>
      </c>
      <c r="B197" s="67" t="s">
        <v>786</v>
      </c>
      <c r="C197" s="29">
        <f t="shared" si="85"/>
        <v>45</v>
      </c>
      <c r="D197" s="29"/>
      <c r="E197" s="29">
        <f t="shared" si="86"/>
        <v>45</v>
      </c>
      <c r="F197" s="30"/>
      <c r="G197" s="30"/>
      <c r="H197" s="30"/>
      <c r="I197" s="30"/>
      <c r="J197" s="30"/>
      <c r="K197" s="30"/>
      <c r="L197" s="30"/>
      <c r="M197" s="30"/>
      <c r="N197" s="30"/>
      <c r="O197" s="30"/>
      <c r="P197" s="30"/>
      <c r="Q197" s="30"/>
      <c r="R197" s="30"/>
      <c r="S197" s="30"/>
      <c r="T197" s="29">
        <v>45</v>
      </c>
      <c r="U197" s="65"/>
      <c r="V197" s="29"/>
      <c r="W197" s="29"/>
      <c r="X197" s="29"/>
      <c r="Y197" s="29"/>
      <c r="Z197" s="29"/>
      <c r="AC197" s="95"/>
      <c r="AF197" s="83"/>
      <c r="AG197" s="83"/>
      <c r="AI197" s="83"/>
    </row>
    <row r="198" spans="1:35" ht="36" customHeight="1">
      <c r="A198" s="48" t="s">
        <v>645</v>
      </c>
      <c r="B198" s="67" t="s">
        <v>787</v>
      </c>
      <c r="C198" s="29">
        <f t="shared" si="85"/>
        <v>27</v>
      </c>
      <c r="D198" s="29"/>
      <c r="E198" s="29">
        <f t="shared" si="86"/>
        <v>27</v>
      </c>
      <c r="F198" s="30"/>
      <c r="G198" s="30"/>
      <c r="H198" s="30"/>
      <c r="I198" s="30"/>
      <c r="J198" s="30"/>
      <c r="K198" s="30"/>
      <c r="L198" s="30"/>
      <c r="M198" s="30"/>
      <c r="N198" s="30"/>
      <c r="O198" s="30"/>
      <c r="P198" s="30"/>
      <c r="Q198" s="30"/>
      <c r="R198" s="30"/>
      <c r="S198" s="30"/>
      <c r="T198" s="29">
        <v>27</v>
      </c>
      <c r="U198" s="65"/>
      <c r="V198" s="29"/>
      <c r="W198" s="29"/>
      <c r="X198" s="29"/>
      <c r="Y198" s="29"/>
      <c r="Z198" s="29"/>
      <c r="AC198" s="95"/>
      <c r="AF198" s="83"/>
      <c r="AG198" s="83"/>
      <c r="AI198" s="83"/>
    </row>
    <row r="199" spans="1:35" ht="36" customHeight="1">
      <c r="A199" s="48" t="s">
        <v>645</v>
      </c>
      <c r="B199" s="67" t="s">
        <v>788</v>
      </c>
      <c r="C199" s="29">
        <f t="shared" si="85"/>
        <v>27</v>
      </c>
      <c r="D199" s="29"/>
      <c r="E199" s="29">
        <f t="shared" si="86"/>
        <v>27</v>
      </c>
      <c r="F199" s="30"/>
      <c r="G199" s="30"/>
      <c r="H199" s="30"/>
      <c r="I199" s="30"/>
      <c r="J199" s="30"/>
      <c r="K199" s="30"/>
      <c r="L199" s="30"/>
      <c r="M199" s="30"/>
      <c r="N199" s="30"/>
      <c r="O199" s="30"/>
      <c r="P199" s="30"/>
      <c r="Q199" s="30"/>
      <c r="R199" s="30"/>
      <c r="S199" s="30"/>
      <c r="T199" s="29">
        <v>27</v>
      </c>
      <c r="U199" s="65"/>
      <c r="V199" s="29"/>
      <c r="W199" s="29"/>
      <c r="X199" s="29"/>
      <c r="Y199" s="29"/>
      <c r="Z199" s="29"/>
      <c r="AC199" s="95"/>
      <c r="AF199" s="83"/>
      <c r="AG199" s="83"/>
      <c r="AI199" s="83"/>
    </row>
    <row r="200" spans="1:35" ht="36" customHeight="1">
      <c r="A200" s="48" t="s">
        <v>645</v>
      </c>
      <c r="B200" s="67" t="s">
        <v>789</v>
      </c>
      <c r="C200" s="29">
        <f t="shared" si="85"/>
        <v>9</v>
      </c>
      <c r="D200" s="29"/>
      <c r="E200" s="29">
        <f t="shared" si="86"/>
        <v>9</v>
      </c>
      <c r="F200" s="30"/>
      <c r="G200" s="30"/>
      <c r="H200" s="30"/>
      <c r="I200" s="30"/>
      <c r="J200" s="30"/>
      <c r="K200" s="30"/>
      <c r="L200" s="30"/>
      <c r="M200" s="30"/>
      <c r="N200" s="30"/>
      <c r="O200" s="30"/>
      <c r="P200" s="30"/>
      <c r="Q200" s="30"/>
      <c r="R200" s="30"/>
      <c r="S200" s="30"/>
      <c r="T200" s="29">
        <v>9</v>
      </c>
      <c r="U200" s="65"/>
      <c r="V200" s="29"/>
      <c r="W200" s="29"/>
      <c r="X200" s="29"/>
      <c r="Y200" s="29"/>
      <c r="Z200" s="29"/>
      <c r="AC200" s="95"/>
      <c r="AF200" s="83"/>
      <c r="AG200" s="83"/>
      <c r="AI200" s="83"/>
    </row>
    <row r="201" spans="1:35" ht="36" customHeight="1">
      <c r="A201" s="48" t="s">
        <v>645</v>
      </c>
      <c r="B201" s="67" t="s">
        <v>790</v>
      </c>
      <c r="C201" s="29">
        <f t="shared" si="85"/>
        <v>40</v>
      </c>
      <c r="D201" s="29"/>
      <c r="E201" s="29">
        <f t="shared" si="86"/>
        <v>40</v>
      </c>
      <c r="F201" s="30"/>
      <c r="G201" s="30"/>
      <c r="H201" s="30"/>
      <c r="I201" s="30"/>
      <c r="J201" s="30"/>
      <c r="K201" s="30"/>
      <c r="L201" s="30"/>
      <c r="M201" s="30"/>
      <c r="N201" s="30"/>
      <c r="O201" s="30"/>
      <c r="P201" s="30"/>
      <c r="Q201" s="30"/>
      <c r="R201" s="30"/>
      <c r="S201" s="30"/>
      <c r="T201" s="29">
        <v>40</v>
      </c>
      <c r="U201" s="65"/>
      <c r="V201" s="29"/>
      <c r="W201" s="29"/>
      <c r="X201" s="29"/>
      <c r="Y201" s="29"/>
      <c r="Z201" s="29"/>
      <c r="AC201" s="95"/>
      <c r="AF201" s="83"/>
      <c r="AG201" s="83"/>
      <c r="AI201" s="83"/>
    </row>
    <row r="202" spans="1:35" ht="36" customHeight="1">
      <c r="A202" s="48" t="s">
        <v>645</v>
      </c>
      <c r="B202" s="67" t="s">
        <v>791</v>
      </c>
      <c r="C202" s="29">
        <f t="shared" si="85"/>
        <v>20</v>
      </c>
      <c r="D202" s="29"/>
      <c r="E202" s="29">
        <f t="shared" si="86"/>
        <v>20</v>
      </c>
      <c r="F202" s="30"/>
      <c r="G202" s="30"/>
      <c r="H202" s="30"/>
      <c r="I202" s="30"/>
      <c r="J202" s="30"/>
      <c r="K202" s="30"/>
      <c r="L202" s="30"/>
      <c r="M202" s="30"/>
      <c r="N202" s="30"/>
      <c r="O202" s="30"/>
      <c r="P202" s="30"/>
      <c r="Q202" s="30"/>
      <c r="R202" s="30"/>
      <c r="S202" s="30"/>
      <c r="T202" s="29">
        <v>20</v>
      </c>
      <c r="U202" s="65"/>
      <c r="V202" s="29"/>
      <c r="W202" s="29"/>
      <c r="X202" s="29"/>
      <c r="Y202" s="29"/>
      <c r="Z202" s="29"/>
      <c r="AC202" s="95"/>
      <c r="AF202" s="83"/>
      <c r="AG202" s="83"/>
      <c r="AI202" s="83"/>
    </row>
    <row r="203" spans="1:35" ht="36" customHeight="1">
      <c r="A203" s="48" t="s">
        <v>645</v>
      </c>
      <c r="B203" s="67" t="s">
        <v>792</v>
      </c>
      <c r="C203" s="29">
        <f t="shared" si="85"/>
        <v>54</v>
      </c>
      <c r="D203" s="29"/>
      <c r="E203" s="29">
        <f t="shared" si="86"/>
        <v>54</v>
      </c>
      <c r="F203" s="30"/>
      <c r="G203" s="30"/>
      <c r="H203" s="30"/>
      <c r="I203" s="30"/>
      <c r="J203" s="30"/>
      <c r="K203" s="30"/>
      <c r="L203" s="30"/>
      <c r="M203" s="30"/>
      <c r="N203" s="30"/>
      <c r="O203" s="30"/>
      <c r="P203" s="30"/>
      <c r="Q203" s="30"/>
      <c r="R203" s="30"/>
      <c r="S203" s="30"/>
      <c r="T203" s="29">
        <v>54</v>
      </c>
      <c r="U203" s="65"/>
      <c r="V203" s="29"/>
      <c r="W203" s="29"/>
      <c r="X203" s="29"/>
      <c r="Y203" s="29"/>
      <c r="Z203" s="29"/>
      <c r="AC203" s="95"/>
      <c r="AF203" s="83"/>
      <c r="AG203" s="83"/>
      <c r="AI203" s="83"/>
    </row>
    <row r="204" spans="1:35" ht="36" customHeight="1">
      <c r="A204" s="48" t="s">
        <v>645</v>
      </c>
      <c r="B204" s="67" t="s">
        <v>793</v>
      </c>
      <c r="C204" s="29">
        <f t="shared" si="85"/>
        <v>10</v>
      </c>
      <c r="D204" s="29"/>
      <c r="E204" s="29">
        <f t="shared" si="86"/>
        <v>10</v>
      </c>
      <c r="F204" s="30"/>
      <c r="G204" s="30"/>
      <c r="H204" s="30"/>
      <c r="I204" s="30"/>
      <c r="J204" s="30"/>
      <c r="K204" s="30"/>
      <c r="L204" s="30"/>
      <c r="M204" s="30"/>
      <c r="N204" s="30"/>
      <c r="O204" s="30"/>
      <c r="P204" s="30"/>
      <c r="Q204" s="30"/>
      <c r="R204" s="30"/>
      <c r="S204" s="30"/>
      <c r="T204" s="29">
        <v>10</v>
      </c>
      <c r="U204" s="65"/>
      <c r="V204" s="29"/>
      <c r="W204" s="29"/>
      <c r="X204" s="29"/>
      <c r="Y204" s="29"/>
      <c r="Z204" s="29"/>
      <c r="AC204" s="95"/>
      <c r="AF204" s="83"/>
      <c r="AG204" s="83"/>
      <c r="AI204" s="83"/>
    </row>
    <row r="205" spans="1:35" ht="36" customHeight="1">
      <c r="A205" s="48" t="s">
        <v>645</v>
      </c>
      <c r="B205" s="67" t="s">
        <v>794</v>
      </c>
      <c r="C205" s="29">
        <f t="shared" si="85"/>
        <v>30</v>
      </c>
      <c r="D205" s="29"/>
      <c r="E205" s="29">
        <f t="shared" si="86"/>
        <v>30</v>
      </c>
      <c r="F205" s="30"/>
      <c r="G205" s="30"/>
      <c r="H205" s="30"/>
      <c r="I205" s="30"/>
      <c r="J205" s="30"/>
      <c r="K205" s="30"/>
      <c r="L205" s="30"/>
      <c r="M205" s="30"/>
      <c r="N205" s="30"/>
      <c r="O205" s="30"/>
      <c r="P205" s="30"/>
      <c r="Q205" s="30"/>
      <c r="R205" s="30"/>
      <c r="S205" s="30"/>
      <c r="T205" s="29">
        <v>30</v>
      </c>
      <c r="U205" s="65"/>
      <c r="V205" s="29"/>
      <c r="W205" s="29"/>
      <c r="X205" s="29"/>
      <c r="Y205" s="29"/>
      <c r="Z205" s="29"/>
      <c r="AC205" s="95"/>
      <c r="AF205" s="83"/>
      <c r="AG205" s="83"/>
      <c r="AI205" s="83"/>
    </row>
    <row r="206" spans="1:35" ht="36" customHeight="1">
      <c r="A206" s="48" t="s">
        <v>645</v>
      </c>
      <c r="B206" s="67" t="s">
        <v>795</v>
      </c>
      <c r="C206" s="29">
        <f t="shared" si="85"/>
        <v>30</v>
      </c>
      <c r="D206" s="29"/>
      <c r="E206" s="29">
        <f t="shared" si="86"/>
        <v>30</v>
      </c>
      <c r="F206" s="30"/>
      <c r="G206" s="30"/>
      <c r="H206" s="30"/>
      <c r="I206" s="30"/>
      <c r="J206" s="30"/>
      <c r="K206" s="30"/>
      <c r="L206" s="30"/>
      <c r="M206" s="30"/>
      <c r="N206" s="30"/>
      <c r="O206" s="30"/>
      <c r="P206" s="30"/>
      <c r="Q206" s="30"/>
      <c r="R206" s="30"/>
      <c r="S206" s="30"/>
      <c r="T206" s="29">
        <v>30</v>
      </c>
      <c r="U206" s="65"/>
      <c r="V206" s="29"/>
      <c r="W206" s="29"/>
      <c r="X206" s="29"/>
      <c r="Y206" s="29"/>
      <c r="Z206" s="29"/>
      <c r="AC206" s="95"/>
      <c r="AF206" s="83"/>
      <c r="AG206" s="83"/>
      <c r="AI206" s="83"/>
    </row>
    <row r="207" spans="1:35" ht="36" customHeight="1">
      <c r="A207" s="48" t="s">
        <v>645</v>
      </c>
      <c r="B207" s="67" t="s">
        <v>796</v>
      </c>
      <c r="C207" s="29">
        <f t="shared" si="85"/>
        <v>50</v>
      </c>
      <c r="D207" s="29"/>
      <c r="E207" s="29">
        <f t="shared" si="86"/>
        <v>50</v>
      </c>
      <c r="F207" s="30"/>
      <c r="G207" s="30"/>
      <c r="H207" s="30"/>
      <c r="I207" s="30"/>
      <c r="J207" s="30"/>
      <c r="K207" s="30"/>
      <c r="L207" s="30"/>
      <c r="M207" s="30"/>
      <c r="N207" s="30"/>
      <c r="O207" s="30"/>
      <c r="P207" s="30"/>
      <c r="Q207" s="30"/>
      <c r="R207" s="30"/>
      <c r="S207" s="30"/>
      <c r="T207" s="29">
        <v>50</v>
      </c>
      <c r="U207" s="65"/>
      <c r="V207" s="29"/>
      <c r="W207" s="29"/>
      <c r="X207" s="29"/>
      <c r="Y207" s="29"/>
      <c r="Z207" s="29"/>
      <c r="AC207" s="95"/>
      <c r="AF207" s="83"/>
      <c r="AG207" s="83"/>
      <c r="AI207" s="83"/>
    </row>
    <row r="208" spans="1:35" ht="36" customHeight="1">
      <c r="A208" s="48" t="s">
        <v>645</v>
      </c>
      <c r="B208" s="67" t="s">
        <v>797</v>
      </c>
      <c r="C208" s="29">
        <f t="shared" si="85"/>
        <v>20</v>
      </c>
      <c r="D208" s="29"/>
      <c r="E208" s="29">
        <f t="shared" si="86"/>
        <v>20</v>
      </c>
      <c r="F208" s="30"/>
      <c r="G208" s="30"/>
      <c r="H208" s="30"/>
      <c r="I208" s="30"/>
      <c r="J208" s="30"/>
      <c r="K208" s="30"/>
      <c r="L208" s="30"/>
      <c r="M208" s="30"/>
      <c r="N208" s="30"/>
      <c r="O208" s="30"/>
      <c r="P208" s="30"/>
      <c r="Q208" s="30"/>
      <c r="R208" s="30"/>
      <c r="S208" s="30"/>
      <c r="T208" s="29">
        <v>20</v>
      </c>
      <c r="U208" s="65"/>
      <c r="V208" s="29"/>
      <c r="W208" s="29"/>
      <c r="X208" s="29"/>
      <c r="Y208" s="29"/>
      <c r="Z208" s="29"/>
      <c r="AC208" s="95"/>
      <c r="AF208" s="83"/>
      <c r="AG208" s="83"/>
      <c r="AI208" s="83"/>
    </row>
    <row r="209" spans="1:35" ht="36" customHeight="1">
      <c r="A209" s="48" t="s">
        <v>645</v>
      </c>
      <c r="B209" s="67" t="s">
        <v>798</v>
      </c>
      <c r="C209" s="29">
        <f t="shared" si="85"/>
        <v>13</v>
      </c>
      <c r="D209" s="29"/>
      <c r="E209" s="29">
        <f t="shared" si="86"/>
        <v>13</v>
      </c>
      <c r="F209" s="30"/>
      <c r="G209" s="30"/>
      <c r="H209" s="30"/>
      <c r="I209" s="30"/>
      <c r="J209" s="30"/>
      <c r="K209" s="30"/>
      <c r="L209" s="30"/>
      <c r="M209" s="30"/>
      <c r="N209" s="30"/>
      <c r="O209" s="30"/>
      <c r="P209" s="30"/>
      <c r="Q209" s="30"/>
      <c r="R209" s="30"/>
      <c r="S209" s="30"/>
      <c r="T209" s="29">
        <v>13</v>
      </c>
      <c r="U209" s="65"/>
      <c r="V209" s="29"/>
      <c r="W209" s="29"/>
      <c r="X209" s="29"/>
      <c r="Y209" s="29"/>
      <c r="Z209" s="29"/>
      <c r="AC209" s="95"/>
      <c r="AF209" s="83"/>
      <c r="AG209" s="83"/>
      <c r="AI209" s="83"/>
    </row>
    <row r="210" spans="1:35" ht="36" customHeight="1">
      <c r="A210" s="48" t="s">
        <v>645</v>
      </c>
      <c r="B210" s="67" t="s">
        <v>799</v>
      </c>
      <c r="C210" s="29">
        <f t="shared" si="85"/>
        <v>12</v>
      </c>
      <c r="D210" s="29"/>
      <c r="E210" s="29">
        <f t="shared" si="86"/>
        <v>12</v>
      </c>
      <c r="F210" s="30"/>
      <c r="G210" s="30"/>
      <c r="H210" s="30"/>
      <c r="I210" s="30"/>
      <c r="J210" s="30"/>
      <c r="K210" s="30"/>
      <c r="L210" s="30"/>
      <c r="M210" s="30"/>
      <c r="N210" s="30"/>
      <c r="O210" s="30"/>
      <c r="P210" s="30"/>
      <c r="Q210" s="30"/>
      <c r="R210" s="30"/>
      <c r="S210" s="30"/>
      <c r="T210" s="29">
        <v>12</v>
      </c>
      <c r="U210" s="65"/>
      <c r="V210" s="29"/>
      <c r="W210" s="29"/>
      <c r="X210" s="29"/>
      <c r="Y210" s="29"/>
      <c r="Z210" s="29"/>
      <c r="AC210" s="95"/>
      <c r="AF210" s="83"/>
      <c r="AG210" s="83"/>
      <c r="AI210" s="83"/>
    </row>
    <row r="211" spans="1:35" ht="36" customHeight="1">
      <c r="A211" s="48" t="s">
        <v>645</v>
      </c>
      <c r="B211" s="67" t="s">
        <v>800</v>
      </c>
      <c r="C211" s="29">
        <f t="shared" si="85"/>
        <v>13</v>
      </c>
      <c r="D211" s="29"/>
      <c r="E211" s="29">
        <f t="shared" si="86"/>
        <v>13</v>
      </c>
      <c r="F211" s="30"/>
      <c r="G211" s="30"/>
      <c r="H211" s="30"/>
      <c r="I211" s="30"/>
      <c r="J211" s="30"/>
      <c r="K211" s="30"/>
      <c r="L211" s="30"/>
      <c r="M211" s="30"/>
      <c r="N211" s="30"/>
      <c r="O211" s="30"/>
      <c r="P211" s="30"/>
      <c r="Q211" s="30"/>
      <c r="R211" s="30"/>
      <c r="S211" s="30"/>
      <c r="T211" s="29">
        <v>13</v>
      </c>
      <c r="U211" s="65"/>
      <c r="V211" s="29"/>
      <c r="W211" s="29"/>
      <c r="X211" s="29"/>
      <c r="Y211" s="29"/>
      <c r="Z211" s="29"/>
      <c r="AC211" s="95"/>
      <c r="AF211" s="83"/>
      <c r="AG211" s="83"/>
      <c r="AI211" s="83"/>
    </row>
    <row r="212" spans="1:35" ht="36" customHeight="1">
      <c r="A212" s="48" t="s">
        <v>645</v>
      </c>
      <c r="B212" s="67" t="s">
        <v>801</v>
      </c>
      <c r="C212" s="29">
        <f t="shared" si="85"/>
        <v>36</v>
      </c>
      <c r="D212" s="29"/>
      <c r="E212" s="29">
        <f t="shared" si="86"/>
        <v>36</v>
      </c>
      <c r="F212" s="30"/>
      <c r="G212" s="30"/>
      <c r="H212" s="30"/>
      <c r="I212" s="30"/>
      <c r="J212" s="30"/>
      <c r="K212" s="30"/>
      <c r="L212" s="30"/>
      <c r="M212" s="30"/>
      <c r="N212" s="30"/>
      <c r="O212" s="30"/>
      <c r="P212" s="30"/>
      <c r="Q212" s="30"/>
      <c r="R212" s="30"/>
      <c r="S212" s="30"/>
      <c r="T212" s="29">
        <v>36</v>
      </c>
      <c r="U212" s="65"/>
      <c r="V212" s="29"/>
      <c r="W212" s="29"/>
      <c r="X212" s="29"/>
      <c r="Y212" s="29"/>
      <c r="Z212" s="29"/>
      <c r="AC212" s="95"/>
      <c r="AF212" s="83"/>
      <c r="AG212" s="83"/>
      <c r="AI212" s="83"/>
    </row>
    <row r="213" spans="1:35" ht="36" customHeight="1">
      <c r="A213" s="48" t="s">
        <v>645</v>
      </c>
      <c r="B213" s="67" t="s">
        <v>802</v>
      </c>
      <c r="C213" s="29">
        <f t="shared" si="85"/>
        <v>22</v>
      </c>
      <c r="D213" s="29"/>
      <c r="E213" s="29">
        <f t="shared" si="86"/>
        <v>22</v>
      </c>
      <c r="F213" s="30"/>
      <c r="G213" s="30"/>
      <c r="H213" s="30"/>
      <c r="I213" s="30"/>
      <c r="J213" s="30"/>
      <c r="K213" s="30"/>
      <c r="L213" s="30"/>
      <c r="M213" s="30"/>
      <c r="N213" s="30"/>
      <c r="O213" s="30"/>
      <c r="P213" s="30"/>
      <c r="Q213" s="30"/>
      <c r="R213" s="30"/>
      <c r="S213" s="30"/>
      <c r="T213" s="29">
        <v>22</v>
      </c>
      <c r="U213" s="65"/>
      <c r="V213" s="29"/>
      <c r="W213" s="29"/>
      <c r="X213" s="29"/>
      <c r="Y213" s="29"/>
      <c r="Z213" s="29"/>
      <c r="AC213" s="95"/>
      <c r="AF213" s="83"/>
      <c r="AG213" s="83"/>
      <c r="AI213" s="83"/>
    </row>
    <row r="214" spans="1:35" ht="36" customHeight="1">
      <c r="A214" s="48" t="s">
        <v>645</v>
      </c>
      <c r="B214" s="67" t="s">
        <v>803</v>
      </c>
      <c r="C214" s="29">
        <f t="shared" si="85"/>
        <v>31</v>
      </c>
      <c r="D214" s="29"/>
      <c r="E214" s="29">
        <f t="shared" si="86"/>
        <v>31</v>
      </c>
      <c r="F214" s="30"/>
      <c r="G214" s="30"/>
      <c r="H214" s="30"/>
      <c r="I214" s="30"/>
      <c r="J214" s="30"/>
      <c r="K214" s="30"/>
      <c r="L214" s="30"/>
      <c r="M214" s="30"/>
      <c r="N214" s="30"/>
      <c r="O214" s="30"/>
      <c r="P214" s="30"/>
      <c r="Q214" s="30"/>
      <c r="R214" s="30"/>
      <c r="S214" s="30"/>
      <c r="T214" s="29">
        <v>31</v>
      </c>
      <c r="U214" s="65"/>
      <c r="V214" s="29"/>
      <c r="W214" s="29"/>
      <c r="X214" s="29"/>
      <c r="Y214" s="29"/>
      <c r="Z214" s="29"/>
      <c r="AC214" s="95"/>
      <c r="AF214" s="83"/>
      <c r="AG214" s="83"/>
      <c r="AI214" s="83"/>
    </row>
    <row r="215" spans="1:35" ht="36" customHeight="1">
      <c r="A215" s="48" t="s">
        <v>645</v>
      </c>
      <c r="B215" s="67" t="s">
        <v>804</v>
      </c>
      <c r="C215" s="29">
        <f t="shared" si="85"/>
        <v>63</v>
      </c>
      <c r="D215" s="29"/>
      <c r="E215" s="29">
        <f t="shared" si="86"/>
        <v>63</v>
      </c>
      <c r="F215" s="30"/>
      <c r="G215" s="30"/>
      <c r="H215" s="30"/>
      <c r="I215" s="30"/>
      <c r="J215" s="30"/>
      <c r="K215" s="30"/>
      <c r="L215" s="30"/>
      <c r="M215" s="30"/>
      <c r="N215" s="30"/>
      <c r="O215" s="30"/>
      <c r="P215" s="30"/>
      <c r="Q215" s="30"/>
      <c r="R215" s="30"/>
      <c r="S215" s="30"/>
      <c r="T215" s="29">
        <v>63</v>
      </c>
      <c r="U215" s="65"/>
      <c r="V215" s="29"/>
      <c r="W215" s="29"/>
      <c r="X215" s="29"/>
      <c r="Y215" s="29"/>
      <c r="Z215" s="29"/>
      <c r="AC215" s="95"/>
      <c r="AF215" s="83"/>
      <c r="AG215" s="83"/>
      <c r="AI215" s="83"/>
    </row>
    <row r="216" spans="1:35" ht="36" customHeight="1">
      <c r="A216" s="48" t="s">
        <v>645</v>
      </c>
      <c r="B216" s="67" t="s">
        <v>805</v>
      </c>
      <c r="C216" s="29">
        <f t="shared" si="85"/>
        <v>33</v>
      </c>
      <c r="D216" s="29"/>
      <c r="E216" s="29">
        <f t="shared" si="86"/>
        <v>33</v>
      </c>
      <c r="F216" s="30"/>
      <c r="G216" s="30"/>
      <c r="H216" s="30"/>
      <c r="I216" s="30"/>
      <c r="J216" s="30"/>
      <c r="K216" s="30"/>
      <c r="L216" s="30"/>
      <c r="M216" s="30"/>
      <c r="N216" s="30"/>
      <c r="O216" s="30"/>
      <c r="P216" s="30"/>
      <c r="Q216" s="30"/>
      <c r="R216" s="30"/>
      <c r="S216" s="30"/>
      <c r="T216" s="29">
        <v>33</v>
      </c>
      <c r="U216" s="65"/>
      <c r="V216" s="29"/>
      <c r="W216" s="29"/>
      <c r="X216" s="29"/>
      <c r="Y216" s="29"/>
      <c r="Z216" s="29"/>
      <c r="AC216" s="95"/>
      <c r="AF216" s="83"/>
      <c r="AG216" s="83"/>
      <c r="AI216" s="83"/>
    </row>
    <row r="217" spans="1:35" ht="36" customHeight="1">
      <c r="A217" s="48" t="s">
        <v>645</v>
      </c>
      <c r="B217" s="67" t="s">
        <v>806</v>
      </c>
      <c r="C217" s="29">
        <f t="shared" si="85"/>
        <v>10</v>
      </c>
      <c r="D217" s="29"/>
      <c r="E217" s="29">
        <f t="shared" si="86"/>
        <v>10</v>
      </c>
      <c r="F217" s="30"/>
      <c r="G217" s="30"/>
      <c r="H217" s="30"/>
      <c r="I217" s="30"/>
      <c r="J217" s="30"/>
      <c r="K217" s="30"/>
      <c r="L217" s="30"/>
      <c r="M217" s="30"/>
      <c r="N217" s="30"/>
      <c r="O217" s="30"/>
      <c r="P217" s="30"/>
      <c r="Q217" s="30"/>
      <c r="R217" s="30"/>
      <c r="S217" s="30"/>
      <c r="T217" s="29">
        <v>10</v>
      </c>
      <c r="U217" s="65"/>
      <c r="V217" s="29"/>
      <c r="W217" s="29"/>
      <c r="X217" s="29"/>
      <c r="Y217" s="29"/>
      <c r="Z217" s="29"/>
      <c r="AC217" s="95"/>
      <c r="AF217" s="83"/>
      <c r="AG217" s="83"/>
      <c r="AI217" s="83"/>
    </row>
    <row r="218" spans="1:35" ht="36" customHeight="1">
      <c r="A218" s="48" t="s">
        <v>645</v>
      </c>
      <c r="B218" s="67" t="s">
        <v>807</v>
      </c>
      <c r="C218" s="29">
        <f t="shared" si="85"/>
        <v>15</v>
      </c>
      <c r="D218" s="29"/>
      <c r="E218" s="29">
        <f t="shared" si="86"/>
        <v>15</v>
      </c>
      <c r="F218" s="30"/>
      <c r="G218" s="30"/>
      <c r="H218" s="30"/>
      <c r="I218" s="30"/>
      <c r="J218" s="30"/>
      <c r="K218" s="30"/>
      <c r="L218" s="30"/>
      <c r="M218" s="30"/>
      <c r="N218" s="30"/>
      <c r="O218" s="30"/>
      <c r="P218" s="30"/>
      <c r="Q218" s="30"/>
      <c r="R218" s="30"/>
      <c r="S218" s="30"/>
      <c r="T218" s="29">
        <v>15</v>
      </c>
      <c r="U218" s="65"/>
      <c r="V218" s="29"/>
      <c r="W218" s="29"/>
      <c r="X218" s="29"/>
      <c r="Y218" s="29"/>
      <c r="Z218" s="29"/>
      <c r="AC218" s="95"/>
      <c r="AF218" s="83"/>
      <c r="AG218" s="83"/>
      <c r="AI218" s="83"/>
    </row>
    <row r="219" spans="1:35" ht="36" customHeight="1">
      <c r="A219" s="48" t="s">
        <v>645</v>
      </c>
      <c r="B219" s="67" t="s">
        <v>808</v>
      </c>
      <c r="C219" s="29">
        <f t="shared" si="85"/>
        <v>62</v>
      </c>
      <c r="D219" s="29"/>
      <c r="E219" s="29">
        <f t="shared" si="86"/>
        <v>62</v>
      </c>
      <c r="F219" s="30"/>
      <c r="G219" s="30"/>
      <c r="H219" s="30"/>
      <c r="I219" s="30"/>
      <c r="J219" s="30"/>
      <c r="K219" s="30"/>
      <c r="L219" s="30"/>
      <c r="M219" s="30"/>
      <c r="N219" s="30"/>
      <c r="O219" s="30"/>
      <c r="P219" s="30"/>
      <c r="Q219" s="30"/>
      <c r="R219" s="30"/>
      <c r="S219" s="30"/>
      <c r="T219" s="29">
        <v>62</v>
      </c>
      <c r="U219" s="65"/>
      <c r="V219" s="29"/>
      <c r="W219" s="29"/>
      <c r="X219" s="29"/>
      <c r="Y219" s="29"/>
      <c r="Z219" s="29"/>
      <c r="AC219" s="95"/>
      <c r="AF219" s="83"/>
      <c r="AG219" s="83"/>
      <c r="AI219" s="83"/>
    </row>
    <row r="220" spans="1:35" ht="62.4">
      <c r="A220" s="48">
        <v>10</v>
      </c>
      <c r="B220" s="44" t="s">
        <v>809</v>
      </c>
      <c r="C220" s="29">
        <f>C221+C222+C223</f>
        <v>78968</v>
      </c>
      <c r="D220" s="29">
        <f t="shared" ref="D220:V220" si="87">D221+D222+D223</f>
        <v>0</v>
      </c>
      <c r="E220" s="29">
        <f t="shared" si="87"/>
        <v>78968</v>
      </c>
      <c r="F220" s="29">
        <f t="shared" si="87"/>
        <v>0</v>
      </c>
      <c r="G220" s="29">
        <f t="shared" si="87"/>
        <v>0</v>
      </c>
      <c r="H220" s="29">
        <f t="shared" si="87"/>
        <v>0</v>
      </c>
      <c r="I220" s="29">
        <f t="shared" si="87"/>
        <v>0</v>
      </c>
      <c r="J220" s="29">
        <f t="shared" si="87"/>
        <v>0</v>
      </c>
      <c r="K220" s="29">
        <f t="shared" si="87"/>
        <v>0</v>
      </c>
      <c r="L220" s="29">
        <f t="shared" si="87"/>
        <v>0</v>
      </c>
      <c r="M220" s="29">
        <f t="shared" si="87"/>
        <v>0</v>
      </c>
      <c r="N220" s="29">
        <f t="shared" si="87"/>
        <v>0</v>
      </c>
      <c r="O220" s="29">
        <f t="shared" si="87"/>
        <v>78968</v>
      </c>
      <c r="P220" s="29">
        <f t="shared" si="87"/>
        <v>0</v>
      </c>
      <c r="Q220" s="29">
        <f t="shared" si="87"/>
        <v>78968</v>
      </c>
      <c r="R220" s="29">
        <f t="shared" si="87"/>
        <v>0</v>
      </c>
      <c r="S220" s="29">
        <f t="shared" si="87"/>
        <v>0</v>
      </c>
      <c r="T220" s="29">
        <f t="shared" si="87"/>
        <v>0</v>
      </c>
      <c r="U220" s="29">
        <f t="shared" si="87"/>
        <v>0</v>
      </c>
      <c r="V220" s="29">
        <f t="shared" si="87"/>
        <v>0</v>
      </c>
      <c r="W220" s="29">
        <f>W221+W222</f>
        <v>0</v>
      </c>
      <c r="X220" s="29">
        <f>X221+X222</f>
        <v>0</v>
      </c>
      <c r="Y220" s="29">
        <f>Y221+Y222</f>
        <v>0</v>
      </c>
      <c r="Z220" s="29">
        <f>Z221+Z222</f>
        <v>0</v>
      </c>
      <c r="AA220" s="29">
        <f>AA221+AA222</f>
        <v>0</v>
      </c>
      <c r="AC220" s="29"/>
      <c r="AF220" s="61"/>
      <c r="AG220" s="61"/>
      <c r="AI220" s="61"/>
    </row>
    <row r="221" spans="1:35" s="38" customFormat="1" ht="31.2">
      <c r="A221" s="57"/>
      <c r="B221" s="58" t="s">
        <v>810</v>
      </c>
      <c r="C221" s="29">
        <f>D221+E221</f>
        <v>72638</v>
      </c>
      <c r="D221" s="29"/>
      <c r="E221" s="29">
        <f t="shared" ref="E221:E227" si="88">F221+G221+H221+I221+J221+K221+L221+M221+N221+O221+R221+S221+T221</f>
        <v>72638</v>
      </c>
      <c r="F221" s="29"/>
      <c r="G221" s="29"/>
      <c r="H221" s="29"/>
      <c r="I221" s="29"/>
      <c r="J221" s="29"/>
      <c r="K221" s="29"/>
      <c r="L221" s="29"/>
      <c r="M221" s="29"/>
      <c r="N221" s="29"/>
      <c r="O221" s="29">
        <v>72638</v>
      </c>
      <c r="P221" s="29"/>
      <c r="Q221" s="29">
        <v>72638</v>
      </c>
      <c r="R221" s="29"/>
      <c r="S221" s="29"/>
      <c r="T221" s="29"/>
      <c r="U221" s="65"/>
      <c r="V221" s="29"/>
      <c r="W221" s="29"/>
      <c r="X221" s="29"/>
      <c r="Y221" s="29"/>
      <c r="Z221" s="29"/>
      <c r="AA221" s="29"/>
      <c r="AB221" s="81"/>
      <c r="AC221" s="29"/>
      <c r="AF221" s="83"/>
      <c r="AG221" s="83"/>
      <c r="AI221" s="83"/>
    </row>
    <row r="222" spans="1:35" s="38" customFormat="1" ht="31.2">
      <c r="A222" s="57"/>
      <c r="B222" s="58" t="s">
        <v>811</v>
      </c>
      <c r="C222" s="29">
        <f>D222+E222</f>
        <v>5230</v>
      </c>
      <c r="D222" s="29"/>
      <c r="E222" s="29">
        <f t="shared" si="88"/>
        <v>5230</v>
      </c>
      <c r="F222" s="29"/>
      <c r="G222" s="29"/>
      <c r="H222" s="29"/>
      <c r="I222" s="29"/>
      <c r="J222" s="29"/>
      <c r="K222" s="29"/>
      <c r="L222" s="29"/>
      <c r="M222" s="29"/>
      <c r="N222" s="29"/>
      <c r="O222" s="29">
        <v>5230</v>
      </c>
      <c r="P222" s="29"/>
      <c r="Q222" s="29">
        <v>5230</v>
      </c>
      <c r="R222" s="29"/>
      <c r="S222" s="29"/>
      <c r="T222" s="29"/>
      <c r="U222" s="65"/>
      <c r="V222" s="29"/>
      <c r="W222" s="29"/>
      <c r="X222" s="29"/>
      <c r="Y222" s="29"/>
      <c r="Z222" s="29"/>
      <c r="AA222" s="29"/>
      <c r="AB222" s="81"/>
      <c r="AC222" s="29"/>
      <c r="AF222" s="83"/>
      <c r="AG222" s="83"/>
      <c r="AI222" s="83"/>
    </row>
    <row r="223" spans="1:35" s="68" customFormat="1" ht="46.8">
      <c r="A223" s="73"/>
      <c r="B223" s="74" t="s">
        <v>812</v>
      </c>
      <c r="C223" s="75">
        <f>D223+E223</f>
        <v>1100</v>
      </c>
      <c r="D223" s="75"/>
      <c r="E223" s="75">
        <f t="shared" si="88"/>
        <v>1100</v>
      </c>
      <c r="F223" s="75"/>
      <c r="G223" s="75"/>
      <c r="H223" s="75"/>
      <c r="I223" s="75"/>
      <c r="J223" s="75"/>
      <c r="K223" s="75"/>
      <c r="L223" s="75"/>
      <c r="M223" s="75"/>
      <c r="N223" s="75"/>
      <c r="O223" s="75">
        <v>1100</v>
      </c>
      <c r="P223" s="75"/>
      <c r="Q223" s="75">
        <v>1100</v>
      </c>
      <c r="R223" s="75"/>
      <c r="S223" s="75"/>
      <c r="T223" s="75"/>
      <c r="U223" s="75"/>
      <c r="V223" s="75"/>
      <c r="W223" s="75"/>
      <c r="X223" s="75"/>
      <c r="Y223" s="75"/>
      <c r="Z223" s="75"/>
      <c r="AA223" s="75"/>
      <c r="AB223" s="84"/>
      <c r="AC223" s="75"/>
      <c r="AF223" s="85"/>
      <c r="AG223" s="85"/>
      <c r="AI223" s="85"/>
    </row>
    <row r="224" spans="1:35" ht="40.5" customHeight="1">
      <c r="A224" s="48">
        <v>11</v>
      </c>
      <c r="B224" s="44" t="s">
        <v>813</v>
      </c>
      <c r="C224" s="29">
        <f>D224+E224</f>
        <v>85000</v>
      </c>
      <c r="D224" s="29"/>
      <c r="E224" s="29">
        <f t="shared" si="88"/>
        <v>85000</v>
      </c>
      <c r="F224" s="29"/>
      <c r="G224" s="29"/>
      <c r="H224" s="29"/>
      <c r="I224" s="29"/>
      <c r="J224" s="29"/>
      <c r="K224" s="29"/>
      <c r="L224" s="29"/>
      <c r="M224" s="29"/>
      <c r="N224" s="29"/>
      <c r="O224" s="29"/>
      <c r="P224" s="29"/>
      <c r="Q224" s="29"/>
      <c r="R224" s="29"/>
      <c r="S224" s="29"/>
      <c r="T224" s="29">
        <v>85000</v>
      </c>
      <c r="U224" s="65"/>
      <c r="V224" s="29"/>
      <c r="W224" s="29"/>
      <c r="X224" s="29"/>
      <c r="Y224" s="29"/>
      <c r="Z224" s="29"/>
      <c r="AC224" s="29"/>
      <c r="AF224" s="61"/>
      <c r="AG224" s="61"/>
      <c r="AI224" s="61"/>
    </row>
    <row r="225" spans="1:35" s="26" customFormat="1" ht="21.75" customHeight="1">
      <c r="A225" s="54" t="s">
        <v>126</v>
      </c>
      <c r="B225" s="55" t="s">
        <v>814</v>
      </c>
      <c r="C225" s="30">
        <f>C226+C227</f>
        <v>830036</v>
      </c>
      <c r="D225" s="30">
        <f>D226+D227</f>
        <v>0</v>
      </c>
      <c r="E225" s="30">
        <f t="shared" si="88"/>
        <v>830036</v>
      </c>
      <c r="F225" s="30">
        <f t="shared" ref="F225:T225" si="89">F226+F227</f>
        <v>0</v>
      </c>
      <c r="G225" s="30">
        <f t="shared" si="89"/>
        <v>0</v>
      </c>
      <c r="H225" s="30">
        <f t="shared" si="89"/>
        <v>0</v>
      </c>
      <c r="I225" s="30">
        <f t="shared" si="89"/>
        <v>0</v>
      </c>
      <c r="J225" s="30">
        <f t="shared" si="89"/>
        <v>830036</v>
      </c>
      <c r="K225" s="30">
        <f t="shared" si="89"/>
        <v>0</v>
      </c>
      <c r="L225" s="30">
        <f t="shared" si="89"/>
        <v>0</v>
      </c>
      <c r="M225" s="30">
        <f t="shared" si="89"/>
        <v>0</v>
      </c>
      <c r="N225" s="30">
        <f t="shared" si="89"/>
        <v>0</v>
      </c>
      <c r="O225" s="30">
        <f t="shared" si="89"/>
        <v>0</v>
      </c>
      <c r="P225" s="30">
        <f t="shared" si="89"/>
        <v>0</v>
      </c>
      <c r="Q225" s="30">
        <f t="shared" si="89"/>
        <v>0</v>
      </c>
      <c r="R225" s="30">
        <f t="shared" si="89"/>
        <v>0</v>
      </c>
      <c r="S225" s="30">
        <f t="shared" si="89"/>
        <v>0</v>
      </c>
      <c r="T225" s="30">
        <f t="shared" si="89"/>
        <v>0</v>
      </c>
      <c r="U225" s="79"/>
      <c r="V225" s="30"/>
      <c r="W225" s="30"/>
      <c r="X225" s="30"/>
      <c r="Y225" s="30"/>
      <c r="Z225" s="30"/>
      <c r="AA225" s="30">
        <f>W225+X225+Y225+Z225</f>
        <v>0</v>
      </c>
      <c r="AB225" s="87"/>
      <c r="AC225" s="30"/>
      <c r="AF225" s="89">
        <f>AC225+AD225-AE225</f>
        <v>0</v>
      </c>
      <c r="AG225" s="89"/>
      <c r="AI225" s="89"/>
    </row>
    <row r="226" spans="1:35" s="38" customFormat="1" ht="24" customHeight="1">
      <c r="A226" s="57"/>
      <c r="B226" s="58" t="s">
        <v>690</v>
      </c>
      <c r="C226" s="72">
        <f>D226+E226</f>
        <v>700000</v>
      </c>
      <c r="D226" s="72"/>
      <c r="E226" s="72">
        <f t="shared" si="88"/>
        <v>700000</v>
      </c>
      <c r="F226" s="72"/>
      <c r="G226" s="72"/>
      <c r="H226" s="72"/>
      <c r="I226" s="72"/>
      <c r="J226" s="72">
        <v>700000</v>
      </c>
      <c r="K226" s="72"/>
      <c r="L226" s="72"/>
      <c r="M226" s="72"/>
      <c r="N226" s="72"/>
      <c r="O226" s="72"/>
      <c r="P226" s="72"/>
      <c r="Q226" s="72"/>
      <c r="R226" s="72"/>
      <c r="S226" s="72"/>
      <c r="T226" s="72"/>
      <c r="U226" s="80"/>
      <c r="V226" s="72"/>
      <c r="W226" s="72"/>
      <c r="X226" s="72"/>
      <c r="Y226" s="72"/>
      <c r="Z226" s="72"/>
      <c r="AA226" s="72">
        <f>W226+X226+Y226+Z226</f>
        <v>0</v>
      </c>
      <c r="AB226" s="81"/>
      <c r="AC226" s="72"/>
      <c r="AF226" s="83">
        <f>AC226+AD226-AE226</f>
        <v>0</v>
      </c>
      <c r="AG226" s="83"/>
      <c r="AI226" s="83">
        <f>E226-U226-V226</f>
        <v>700000</v>
      </c>
    </row>
    <row r="227" spans="1:35" s="38" customFormat="1" ht="27" customHeight="1">
      <c r="A227" s="57"/>
      <c r="B227" s="58" t="s">
        <v>691</v>
      </c>
      <c r="C227" s="29">
        <f>D227+E227</f>
        <v>130036</v>
      </c>
      <c r="D227" s="29"/>
      <c r="E227" s="29">
        <f t="shared" si="88"/>
        <v>130036</v>
      </c>
      <c r="F227" s="29"/>
      <c r="G227" s="29"/>
      <c r="H227" s="29"/>
      <c r="I227" s="29"/>
      <c r="J227" s="29">
        <v>130036</v>
      </c>
      <c r="K227" s="29"/>
      <c r="L227" s="29"/>
      <c r="M227" s="29"/>
      <c r="N227" s="29"/>
      <c r="O227" s="29"/>
      <c r="P227" s="29"/>
      <c r="Q227" s="29"/>
      <c r="R227" s="29"/>
      <c r="S227" s="29"/>
      <c r="T227" s="29"/>
      <c r="U227" s="65"/>
      <c r="V227" s="29"/>
      <c r="W227" s="29"/>
      <c r="X227" s="29"/>
      <c r="Y227" s="29"/>
      <c r="Z227" s="29"/>
      <c r="AA227" s="29">
        <f>W227+X227+Y227+Z227</f>
        <v>0</v>
      </c>
      <c r="AB227" s="81"/>
      <c r="AC227" s="29"/>
      <c r="AF227" s="83">
        <f>AC227+AD227-AE227</f>
        <v>0</v>
      </c>
      <c r="AG227" s="83">
        <f>E227-AF227</f>
        <v>130036</v>
      </c>
      <c r="AI227" s="83">
        <f>E227-U227-V227</f>
        <v>130036</v>
      </c>
    </row>
    <row r="228" spans="1:35" s="26" customFormat="1" ht="19.5" hidden="1" customHeight="1">
      <c r="A228" s="54" t="s">
        <v>126</v>
      </c>
      <c r="B228" s="66" t="s">
        <v>815</v>
      </c>
      <c r="C228" s="30">
        <f>C229</f>
        <v>0</v>
      </c>
      <c r="D228" s="30">
        <f t="shared" ref="D228:V228" si="90">D229</f>
        <v>0</v>
      </c>
      <c r="E228" s="30">
        <f t="shared" si="90"/>
        <v>0</v>
      </c>
      <c r="F228" s="30">
        <f t="shared" si="90"/>
        <v>0</v>
      </c>
      <c r="G228" s="30">
        <f t="shared" si="90"/>
        <v>0</v>
      </c>
      <c r="H228" s="30">
        <f t="shared" si="90"/>
        <v>0</v>
      </c>
      <c r="I228" s="30">
        <f t="shared" si="90"/>
        <v>0</v>
      </c>
      <c r="J228" s="30">
        <f t="shared" si="90"/>
        <v>0</v>
      </c>
      <c r="K228" s="30">
        <f t="shared" si="90"/>
        <v>0</v>
      </c>
      <c r="L228" s="30">
        <f t="shared" si="90"/>
        <v>0</v>
      </c>
      <c r="M228" s="30">
        <f t="shared" si="90"/>
        <v>0</v>
      </c>
      <c r="N228" s="30">
        <f t="shared" si="90"/>
        <v>0</v>
      </c>
      <c r="O228" s="30">
        <f t="shared" si="90"/>
        <v>0</v>
      </c>
      <c r="P228" s="30">
        <f t="shared" si="90"/>
        <v>0</v>
      </c>
      <c r="Q228" s="30">
        <f t="shared" si="90"/>
        <v>0</v>
      </c>
      <c r="R228" s="30">
        <f t="shared" si="90"/>
        <v>0</v>
      </c>
      <c r="S228" s="30">
        <f t="shared" si="90"/>
        <v>0</v>
      </c>
      <c r="T228" s="30">
        <f t="shared" si="90"/>
        <v>0</v>
      </c>
      <c r="U228" s="79">
        <f t="shared" si="90"/>
        <v>0</v>
      </c>
      <c r="V228" s="30">
        <f t="shared" si="90"/>
        <v>0</v>
      </c>
      <c r="W228" s="30"/>
      <c r="X228" s="30"/>
      <c r="Y228" s="30"/>
      <c r="Z228" s="30"/>
      <c r="AA228" s="29">
        <f>W228+X228+Y228+Z228</f>
        <v>0</v>
      </c>
      <c r="AB228" s="87"/>
      <c r="AC228" s="30"/>
      <c r="AF228" s="83">
        <f>AC228+AD228-AE228</f>
        <v>0</v>
      </c>
      <c r="AG228" s="83"/>
      <c r="AI228" s="83"/>
    </row>
    <row r="229" spans="1:35" ht="36" hidden="1" customHeight="1">
      <c r="A229" s="48"/>
      <c r="B229" s="67"/>
      <c r="C229" s="29"/>
      <c r="D229" s="29"/>
      <c r="E229" s="29"/>
      <c r="F229" s="29"/>
      <c r="G229" s="29"/>
      <c r="H229" s="29"/>
      <c r="I229" s="29"/>
      <c r="J229" s="29"/>
      <c r="K229" s="29"/>
      <c r="L229" s="29"/>
      <c r="M229" s="29"/>
      <c r="N229" s="29"/>
      <c r="O229" s="29"/>
      <c r="P229" s="29"/>
      <c r="Q229" s="29"/>
      <c r="R229" s="29"/>
      <c r="S229" s="29"/>
      <c r="T229" s="29"/>
      <c r="U229" s="65"/>
      <c r="V229" s="29"/>
      <c r="W229" s="29"/>
      <c r="X229" s="29"/>
      <c r="Y229" s="29"/>
      <c r="Z229" s="29"/>
      <c r="AC229" s="95"/>
      <c r="AF229" s="83"/>
      <c r="AG229" s="83"/>
      <c r="AI229" s="83"/>
    </row>
    <row r="230" spans="1:35" hidden="1">
      <c r="A230" s="1" t="s">
        <v>126</v>
      </c>
      <c r="AA230" s="96"/>
    </row>
    <row r="231" spans="1:35">
      <c r="AA231" s="96"/>
    </row>
    <row r="232" spans="1:35">
      <c r="AA232" s="96"/>
    </row>
    <row r="233" spans="1:35">
      <c r="AA233" s="96"/>
    </row>
    <row r="234" spans="1:35">
      <c r="AA234" s="96"/>
    </row>
    <row r="235" spans="1:35">
      <c r="AA235" s="96"/>
    </row>
    <row r="236" spans="1:35">
      <c r="AA236" s="96"/>
    </row>
    <row r="237" spans="1:35">
      <c r="AA237" s="96"/>
    </row>
    <row r="238" spans="1:35">
      <c r="U238" s="1"/>
      <c r="AA238" s="96"/>
      <c r="AB238" s="1"/>
    </row>
    <row r="239" spans="1:35">
      <c r="U239" s="1"/>
      <c r="AA239" s="96"/>
      <c r="AB239" s="1"/>
    </row>
    <row r="240" spans="1:35">
      <c r="U240" s="1"/>
      <c r="AA240" s="96"/>
      <c r="AB240" s="1"/>
    </row>
    <row r="241" spans="21:28">
      <c r="U241" s="1"/>
      <c r="AA241" s="96"/>
      <c r="AB241" s="1"/>
    </row>
    <row r="242" spans="21:28">
      <c r="U242" s="1"/>
      <c r="AA242" s="97"/>
      <c r="AB242" s="1"/>
    </row>
    <row r="243" spans="21:28">
      <c r="U243" s="1"/>
      <c r="AA243" s="96"/>
      <c r="AB243" s="1"/>
    </row>
    <row r="244" spans="21:28">
      <c r="U244" s="1"/>
      <c r="AA244" s="617"/>
      <c r="AB244" s="1"/>
    </row>
    <row r="245" spans="21:28">
      <c r="U245" s="1"/>
      <c r="AA245" s="617"/>
      <c r="AB245" s="1"/>
    </row>
    <row r="246" spans="21:28">
      <c r="U246" s="1"/>
      <c r="AA246" s="2"/>
      <c r="AB246" s="1"/>
    </row>
    <row r="247" spans="21:28">
      <c r="U247" s="1"/>
      <c r="AA247" s="97"/>
      <c r="AB247" s="1"/>
    </row>
    <row r="248" spans="21:28">
      <c r="U248" s="1"/>
      <c r="AA248" s="96"/>
      <c r="AB248" s="1"/>
    </row>
    <row r="249" spans="21:28">
      <c r="U249" s="1"/>
      <c r="AA249" s="96"/>
      <c r="AB249" s="1"/>
    </row>
    <row r="250" spans="21:28">
      <c r="U250" s="1"/>
      <c r="AA250" s="97"/>
      <c r="AB250" s="1"/>
    </row>
    <row r="251" spans="21:28">
      <c r="U251" s="1"/>
      <c r="AA251" s="96"/>
      <c r="AB251" s="1"/>
    </row>
    <row r="252" spans="21:28">
      <c r="U252" s="1"/>
      <c r="AA252" s="96"/>
      <c r="AB252" s="1"/>
    </row>
    <row r="253" spans="21:28">
      <c r="U253" s="1"/>
      <c r="AA253" s="96"/>
      <c r="AB253" s="1"/>
    </row>
    <row r="254" spans="21:28">
      <c r="U254" s="1"/>
      <c r="AA254" s="96"/>
      <c r="AB254" s="1"/>
    </row>
    <row r="255" spans="21:28">
      <c r="U255" s="1"/>
      <c r="AA255" s="96"/>
      <c r="AB255" s="1"/>
    </row>
    <row r="256" spans="21:28">
      <c r="U256" s="1"/>
      <c r="AA256" s="96"/>
      <c r="AB256" s="1"/>
    </row>
    <row r="257" spans="21:28">
      <c r="U257" s="1"/>
      <c r="AA257" s="96"/>
      <c r="AB257" s="1"/>
    </row>
    <row r="258" spans="21:28">
      <c r="U258" s="1"/>
      <c r="AA258" s="96"/>
      <c r="AB258" s="1"/>
    </row>
    <row r="259" spans="21:28">
      <c r="U259" s="1"/>
      <c r="AA259" s="96"/>
      <c r="AB259" s="1"/>
    </row>
    <row r="260" spans="21:28">
      <c r="U260" s="1"/>
      <c r="AA260" s="96"/>
      <c r="AB260" s="1"/>
    </row>
    <row r="261" spans="21:28">
      <c r="U261" s="1"/>
      <c r="AA261" s="96"/>
      <c r="AB261" s="1"/>
    </row>
    <row r="262" spans="21:28">
      <c r="U262" s="1"/>
      <c r="AA262" s="96"/>
      <c r="AB262" s="1"/>
    </row>
    <row r="263" spans="21:28">
      <c r="U263" s="1"/>
      <c r="AA263" s="96"/>
      <c r="AB263" s="1"/>
    </row>
    <row r="264" spans="21:28">
      <c r="U264" s="1"/>
      <c r="AA264" s="96"/>
      <c r="AB264" s="1"/>
    </row>
    <row r="265" spans="21:28">
      <c r="U265" s="1"/>
      <c r="AA265" s="96"/>
      <c r="AB265" s="1"/>
    </row>
    <row r="266" spans="21:28">
      <c r="U266" s="1"/>
      <c r="AA266" s="96"/>
      <c r="AB266" s="1"/>
    </row>
    <row r="267" spans="21:28">
      <c r="U267" s="1"/>
      <c r="AA267" s="96"/>
      <c r="AB267" s="1"/>
    </row>
    <row r="268" spans="21:28">
      <c r="U268" s="1"/>
      <c r="AA268" s="96"/>
      <c r="AB268" s="1"/>
    </row>
    <row r="269" spans="21:28">
      <c r="U269" s="1"/>
      <c r="AA269" s="96"/>
      <c r="AB269" s="1"/>
    </row>
    <row r="270" spans="21:28">
      <c r="U270" s="1"/>
      <c r="AA270" s="96"/>
      <c r="AB270" s="1"/>
    </row>
    <row r="271" spans="21:28">
      <c r="U271" s="1"/>
      <c r="AA271" s="96"/>
      <c r="AB271" s="1"/>
    </row>
    <row r="272" spans="21:28">
      <c r="U272" s="1"/>
      <c r="AA272" s="96"/>
      <c r="AB272" s="1"/>
    </row>
    <row r="273" spans="21:28">
      <c r="U273" s="1"/>
      <c r="AA273" s="96"/>
      <c r="AB273" s="1"/>
    </row>
    <row r="274" spans="21:28">
      <c r="U274" s="1"/>
      <c r="AA274" s="96"/>
      <c r="AB274" s="1"/>
    </row>
    <row r="275" spans="21:28">
      <c r="U275" s="1"/>
      <c r="AA275" s="96"/>
      <c r="AB275" s="1"/>
    </row>
    <row r="276" spans="21:28">
      <c r="U276" s="1"/>
      <c r="AA276" s="96"/>
      <c r="AB276" s="1"/>
    </row>
    <row r="277" spans="21:28">
      <c r="U277" s="1"/>
      <c r="AA277" s="96"/>
      <c r="AB277" s="1"/>
    </row>
    <row r="278" spans="21:28">
      <c r="U278" s="1"/>
      <c r="AA278" s="96"/>
      <c r="AB278" s="1"/>
    </row>
    <row r="279" spans="21:28">
      <c r="U279" s="1"/>
      <c r="AA279" s="96"/>
      <c r="AB279" s="1"/>
    </row>
    <row r="280" spans="21:28">
      <c r="U280" s="1"/>
      <c r="AA280" s="96"/>
      <c r="AB280" s="1"/>
    </row>
    <row r="281" spans="21:28">
      <c r="U281" s="1"/>
      <c r="AA281" s="96"/>
      <c r="AB281" s="1"/>
    </row>
    <row r="282" spans="21:28">
      <c r="U282" s="1"/>
      <c r="AA282" s="96"/>
      <c r="AB282" s="1"/>
    </row>
    <row r="283" spans="21:28">
      <c r="U283" s="1"/>
      <c r="AA283" s="96"/>
      <c r="AB283" s="1"/>
    </row>
    <row r="284" spans="21:28">
      <c r="U284" s="1"/>
      <c r="AA284" s="96"/>
      <c r="AB284" s="1"/>
    </row>
    <row r="285" spans="21:28">
      <c r="U285" s="1"/>
      <c r="AA285" s="96"/>
      <c r="AB285" s="1"/>
    </row>
    <row r="286" spans="21:28">
      <c r="U286" s="1"/>
      <c r="AA286" s="96"/>
      <c r="AB286" s="1"/>
    </row>
    <row r="287" spans="21:28">
      <c r="U287" s="1"/>
      <c r="AA287" s="96"/>
      <c r="AB287" s="1"/>
    </row>
    <row r="288" spans="21:28">
      <c r="U288" s="1"/>
      <c r="AA288" s="96"/>
      <c r="AB288" s="1"/>
    </row>
    <row r="289" spans="21:28">
      <c r="U289" s="1"/>
      <c r="AA289" s="96"/>
      <c r="AB289" s="1"/>
    </row>
    <row r="290" spans="21:28">
      <c r="U290" s="1"/>
      <c r="AA290" s="96"/>
      <c r="AB290" s="1"/>
    </row>
    <row r="291" spans="21:28">
      <c r="U291" s="1"/>
      <c r="AA291" s="96"/>
      <c r="AB291" s="1"/>
    </row>
    <row r="292" spans="21:28">
      <c r="U292" s="1"/>
      <c r="AA292" s="96"/>
      <c r="AB292" s="1"/>
    </row>
    <row r="293" spans="21:28">
      <c r="U293" s="1"/>
      <c r="AA293" s="96"/>
      <c r="AB293" s="1"/>
    </row>
    <row r="294" spans="21:28">
      <c r="U294" s="1"/>
      <c r="AA294" s="96"/>
      <c r="AB294" s="1"/>
    </row>
    <row r="295" spans="21:28">
      <c r="U295" s="1"/>
      <c r="AA295" s="96"/>
      <c r="AB295" s="1"/>
    </row>
    <row r="296" spans="21:28">
      <c r="U296" s="1"/>
      <c r="AA296" s="96"/>
      <c r="AB296" s="1"/>
    </row>
    <row r="297" spans="21:28">
      <c r="U297" s="1"/>
      <c r="AA297" s="96"/>
      <c r="AB297" s="1"/>
    </row>
    <row r="298" spans="21:28">
      <c r="U298" s="1"/>
      <c r="AA298" s="96"/>
      <c r="AB298" s="1"/>
    </row>
    <row r="299" spans="21:28">
      <c r="U299" s="1"/>
      <c r="AA299" s="96"/>
      <c r="AB299" s="1"/>
    </row>
    <row r="300" spans="21:28">
      <c r="U300" s="1"/>
      <c r="AA300" s="97"/>
      <c r="AB300" s="1"/>
    </row>
    <row r="301" spans="21:28">
      <c r="U301" s="1"/>
      <c r="AA301" s="96"/>
      <c r="AB301" s="1"/>
    </row>
    <row r="302" spans="21:28">
      <c r="U302" s="1"/>
      <c r="AA302" s="96"/>
      <c r="AB302" s="1"/>
    </row>
    <row r="303" spans="21:28">
      <c r="U303" s="1"/>
      <c r="AA303" s="96"/>
      <c r="AB303" s="1"/>
    </row>
    <row r="304" spans="21:28">
      <c r="U304" s="1"/>
      <c r="AA304" s="96"/>
      <c r="AB304" s="1"/>
    </row>
    <row r="305" spans="21:28">
      <c r="U305" s="1"/>
      <c r="AA305" s="96"/>
      <c r="AB305" s="1"/>
    </row>
    <row r="306" spans="21:28">
      <c r="U306" s="1"/>
      <c r="AA306" s="96"/>
      <c r="AB306" s="1"/>
    </row>
    <row r="307" spans="21:28">
      <c r="U307" s="1"/>
      <c r="AA307" s="96"/>
      <c r="AB307" s="1"/>
    </row>
    <row r="308" spans="21:28">
      <c r="U308" s="1"/>
      <c r="AA308" s="96"/>
      <c r="AB308" s="1"/>
    </row>
    <row r="309" spans="21:28">
      <c r="U309" s="1"/>
      <c r="AA309" s="96"/>
      <c r="AB309" s="1"/>
    </row>
    <row r="310" spans="21:28">
      <c r="U310" s="1"/>
      <c r="AA310" s="96"/>
      <c r="AB310" s="1"/>
    </row>
    <row r="311" spans="21:28">
      <c r="U311" s="1"/>
      <c r="AA311" s="96"/>
      <c r="AB311" s="1"/>
    </row>
    <row r="312" spans="21:28">
      <c r="U312" s="1"/>
      <c r="AA312" s="96"/>
      <c r="AB312" s="1"/>
    </row>
    <row r="313" spans="21:28">
      <c r="U313" s="1"/>
      <c r="AA313" s="96"/>
      <c r="AB313" s="1"/>
    </row>
    <row r="314" spans="21:28">
      <c r="U314" s="1"/>
      <c r="AA314" s="96"/>
      <c r="AB314" s="1"/>
    </row>
    <row r="315" spans="21:28">
      <c r="U315" s="1"/>
      <c r="AA315" s="96"/>
      <c r="AB315" s="1"/>
    </row>
    <row r="316" spans="21:28">
      <c r="U316" s="1"/>
      <c r="AA316" s="96"/>
      <c r="AB316" s="1"/>
    </row>
    <row r="317" spans="21:28">
      <c r="U317" s="1"/>
      <c r="AA317" s="96"/>
      <c r="AB317" s="1"/>
    </row>
    <row r="318" spans="21:28">
      <c r="U318" s="1"/>
      <c r="AA318" s="96"/>
      <c r="AB318" s="1"/>
    </row>
    <row r="319" spans="21:28">
      <c r="U319" s="1"/>
      <c r="AA319" s="96"/>
      <c r="AB319" s="1"/>
    </row>
    <row r="320" spans="21:28">
      <c r="U320" s="1"/>
      <c r="AA320" s="96"/>
      <c r="AB320" s="1"/>
    </row>
    <row r="321" spans="21:28">
      <c r="U321" s="1"/>
      <c r="AA321" s="96"/>
      <c r="AB321" s="1"/>
    </row>
    <row r="322" spans="21:28">
      <c r="U322" s="1"/>
      <c r="AA322" s="96"/>
      <c r="AB322" s="1"/>
    </row>
    <row r="323" spans="21:28">
      <c r="U323" s="1"/>
      <c r="AA323" s="96"/>
      <c r="AB323" s="1"/>
    </row>
    <row r="324" spans="21:28">
      <c r="U324" s="1"/>
      <c r="AA324" s="96"/>
      <c r="AB324" s="1"/>
    </row>
    <row r="325" spans="21:28">
      <c r="U325" s="1"/>
      <c r="AA325" s="96"/>
      <c r="AB325" s="1"/>
    </row>
    <row r="326" spans="21:28">
      <c r="U326" s="1"/>
      <c r="AA326" s="96"/>
      <c r="AB326" s="1"/>
    </row>
    <row r="327" spans="21:28">
      <c r="U327" s="1"/>
      <c r="AA327" s="96"/>
      <c r="AB327" s="1"/>
    </row>
    <row r="328" spans="21:28">
      <c r="U328" s="1"/>
      <c r="AA328" s="96"/>
      <c r="AB328" s="1"/>
    </row>
    <row r="329" spans="21:28">
      <c r="U329" s="1"/>
      <c r="AA329" s="96"/>
      <c r="AB329" s="1"/>
    </row>
    <row r="330" spans="21:28">
      <c r="U330" s="1"/>
      <c r="AA330" s="96"/>
      <c r="AB330" s="1"/>
    </row>
    <row r="331" spans="21:28">
      <c r="U331" s="1"/>
      <c r="AA331" s="96"/>
      <c r="AB331" s="1"/>
    </row>
    <row r="332" spans="21:28">
      <c r="U332" s="1"/>
      <c r="AA332" s="96"/>
      <c r="AB332" s="1"/>
    </row>
    <row r="333" spans="21:28">
      <c r="U333" s="1"/>
      <c r="AA333" s="96"/>
      <c r="AB333" s="1"/>
    </row>
    <row r="334" spans="21:28">
      <c r="U334" s="1"/>
      <c r="AA334" s="96"/>
      <c r="AB334" s="1"/>
    </row>
    <row r="335" spans="21:28">
      <c r="U335" s="1"/>
      <c r="AA335" s="96"/>
      <c r="AB335" s="1"/>
    </row>
    <row r="336" spans="21:28">
      <c r="U336" s="1"/>
      <c r="AA336" s="96"/>
      <c r="AB336" s="1"/>
    </row>
    <row r="337" spans="21:28">
      <c r="U337" s="1"/>
      <c r="AA337" s="96"/>
      <c r="AB337" s="1"/>
    </row>
    <row r="338" spans="21:28">
      <c r="U338" s="1"/>
      <c r="AA338" s="96"/>
      <c r="AB338" s="1"/>
    </row>
    <row r="339" spans="21:28">
      <c r="U339" s="1"/>
      <c r="AA339" s="96"/>
      <c r="AB339" s="1"/>
    </row>
    <row r="340" spans="21:28">
      <c r="U340" s="1"/>
      <c r="AA340" s="96"/>
      <c r="AB340" s="1"/>
    </row>
    <row r="341" spans="21:28">
      <c r="U341" s="1"/>
      <c r="AA341" s="96"/>
      <c r="AB341" s="1"/>
    </row>
    <row r="342" spans="21:28">
      <c r="U342" s="1"/>
      <c r="AA342" s="96"/>
      <c r="AB342" s="1"/>
    </row>
    <row r="343" spans="21:28">
      <c r="U343" s="1"/>
      <c r="AA343" s="96"/>
      <c r="AB343" s="1"/>
    </row>
    <row r="344" spans="21:28">
      <c r="U344" s="1"/>
      <c r="AA344" s="96"/>
      <c r="AB344" s="1"/>
    </row>
    <row r="345" spans="21:28">
      <c r="U345" s="1"/>
      <c r="AA345" s="96"/>
      <c r="AB345" s="1"/>
    </row>
    <row r="346" spans="21:28">
      <c r="U346" s="1"/>
      <c r="AA346" s="96"/>
      <c r="AB346" s="1"/>
    </row>
    <row r="347" spans="21:28">
      <c r="U347" s="1"/>
      <c r="AA347" s="96"/>
      <c r="AB347" s="1"/>
    </row>
    <row r="348" spans="21:28">
      <c r="U348" s="1"/>
      <c r="AA348" s="96"/>
      <c r="AB348" s="1"/>
    </row>
    <row r="349" spans="21:28">
      <c r="U349" s="1"/>
      <c r="AA349" s="96"/>
      <c r="AB349" s="1"/>
    </row>
    <row r="350" spans="21:28">
      <c r="U350" s="1"/>
      <c r="AA350" s="96"/>
      <c r="AB350" s="1"/>
    </row>
    <row r="351" spans="21:28">
      <c r="U351" s="1"/>
      <c r="AA351" s="96"/>
      <c r="AB351" s="1"/>
    </row>
    <row r="352" spans="21:28">
      <c r="U352" s="1"/>
      <c r="AA352" s="96"/>
      <c r="AB352" s="1"/>
    </row>
    <row r="353" spans="21:28">
      <c r="U353" s="1"/>
      <c r="AA353" s="96"/>
      <c r="AB353" s="1"/>
    </row>
    <row r="354" spans="21:28">
      <c r="U354" s="1"/>
      <c r="AA354" s="96"/>
      <c r="AB354" s="1"/>
    </row>
    <row r="355" spans="21:28">
      <c r="U355" s="1"/>
      <c r="AA355" s="96"/>
      <c r="AB355" s="1"/>
    </row>
    <row r="356" spans="21:28">
      <c r="U356" s="1"/>
      <c r="AA356" s="96"/>
      <c r="AB356" s="1"/>
    </row>
    <row r="357" spans="21:28">
      <c r="U357" s="1"/>
      <c r="AA357" s="96"/>
      <c r="AB357" s="1"/>
    </row>
    <row r="358" spans="21:28">
      <c r="U358" s="1"/>
      <c r="AA358" s="96"/>
      <c r="AB358" s="1"/>
    </row>
    <row r="359" spans="21:28">
      <c r="U359" s="1"/>
      <c r="AA359" s="96"/>
      <c r="AB359" s="1"/>
    </row>
    <row r="360" spans="21:28">
      <c r="U360" s="1"/>
      <c r="AA360" s="96"/>
      <c r="AB360" s="1"/>
    </row>
    <row r="361" spans="21:28">
      <c r="U361" s="1"/>
      <c r="AA361" s="96"/>
      <c r="AB361" s="1"/>
    </row>
    <row r="362" spans="21:28">
      <c r="U362" s="1"/>
      <c r="AA362" s="96"/>
      <c r="AB362" s="1"/>
    </row>
    <row r="363" spans="21:28">
      <c r="U363" s="1"/>
      <c r="AA363" s="96"/>
      <c r="AB363" s="1"/>
    </row>
    <row r="364" spans="21:28">
      <c r="U364" s="1"/>
      <c r="AA364" s="96"/>
      <c r="AB364" s="1"/>
    </row>
    <row r="365" spans="21:28">
      <c r="U365" s="1"/>
      <c r="AA365" s="96"/>
      <c r="AB365" s="1"/>
    </row>
    <row r="366" spans="21:28">
      <c r="U366" s="1"/>
      <c r="AA366" s="98"/>
      <c r="AB366" s="1"/>
    </row>
    <row r="370" spans="21:28">
      <c r="U370" s="1"/>
      <c r="AA370" s="30"/>
      <c r="AB370" s="1"/>
    </row>
    <row r="371" spans="21:28">
      <c r="U371" s="1"/>
      <c r="AA371" s="30"/>
      <c r="AB371" s="1"/>
    </row>
    <row r="388" spans="21:28">
      <c r="U388" s="1"/>
      <c r="AA388" s="30"/>
      <c r="AB388" s="1"/>
    </row>
    <row r="390" spans="21:28">
      <c r="U390" s="1"/>
      <c r="AA390" s="615"/>
      <c r="AB390" s="1"/>
    </row>
    <row r="391" spans="21:28">
      <c r="U391" s="1"/>
      <c r="AA391" s="615"/>
      <c r="AB391" s="1"/>
    </row>
    <row r="392" spans="21:28">
      <c r="U392" s="1"/>
      <c r="AA392" s="78"/>
      <c r="AB392" s="1"/>
    </row>
    <row r="393" spans="21:28">
      <c r="U393" s="1"/>
      <c r="AA393" s="30"/>
      <c r="AB393" s="1"/>
    </row>
    <row r="396" spans="21:28">
      <c r="U396" s="1"/>
      <c r="AA396" s="30"/>
      <c r="AB396" s="1"/>
    </row>
    <row r="446" spans="21:28">
      <c r="U446" s="1"/>
      <c r="AA446" s="30"/>
      <c r="AB446" s="1"/>
    </row>
    <row r="516" spans="21:28">
      <c r="U516" s="1"/>
      <c r="AA516" s="30"/>
      <c r="AB516" s="1"/>
    </row>
    <row r="517" spans="21:28">
      <c r="U517" s="1"/>
      <c r="AA517" s="30"/>
      <c r="AB517" s="1"/>
    </row>
    <row r="534" spans="21:28">
      <c r="U534" s="1"/>
      <c r="AA534" s="30"/>
      <c r="AB534" s="1"/>
    </row>
    <row r="536" spans="21:28">
      <c r="U536" s="1"/>
      <c r="AA536" s="615"/>
      <c r="AB536" s="1"/>
    </row>
    <row r="537" spans="21:28">
      <c r="U537" s="1"/>
      <c r="AA537" s="615"/>
      <c r="AB537" s="1"/>
    </row>
    <row r="538" spans="21:28">
      <c r="U538" s="1"/>
      <c r="AA538" s="78"/>
      <c r="AB538" s="1"/>
    </row>
    <row r="539" spans="21:28">
      <c r="U539" s="1"/>
      <c r="AA539" s="30"/>
      <c r="AB539" s="1"/>
    </row>
    <row r="542" spans="21:28">
      <c r="U542" s="1"/>
      <c r="AA542" s="30"/>
      <c r="AB542" s="1"/>
    </row>
    <row r="592" spans="21:28">
      <c r="U592" s="1"/>
      <c r="AA592" s="30"/>
      <c r="AB592" s="1"/>
    </row>
    <row r="662" spans="21:28">
      <c r="U662" s="1"/>
      <c r="AA662" s="30"/>
      <c r="AB662" s="1"/>
    </row>
    <row r="663" spans="21:28">
      <c r="U663" s="1"/>
      <c r="AA663" s="30"/>
      <c r="AB663" s="1"/>
    </row>
    <row r="680" spans="21:28">
      <c r="U680" s="1"/>
      <c r="AA680" s="30"/>
      <c r="AB680" s="1"/>
    </row>
    <row r="682" spans="21:28">
      <c r="U682" s="1"/>
      <c r="AA682" s="615"/>
      <c r="AB682" s="1"/>
    </row>
    <row r="683" spans="21:28">
      <c r="U683" s="1"/>
      <c r="AA683" s="615"/>
      <c r="AB683" s="1"/>
    </row>
    <row r="684" spans="21:28">
      <c r="U684" s="1"/>
      <c r="AA684" s="78"/>
      <c r="AB684" s="1"/>
    </row>
    <row r="685" spans="21:28">
      <c r="U685" s="1"/>
      <c r="AA685" s="30"/>
      <c r="AB685" s="1"/>
    </row>
    <row r="688" spans="21:28">
      <c r="U688" s="1"/>
      <c r="AA688" s="30"/>
      <c r="AB688" s="1"/>
    </row>
    <row r="738" spans="21:28">
      <c r="U738" s="1"/>
      <c r="AA738" s="30"/>
      <c r="AB738" s="1"/>
    </row>
    <row r="808" spans="21:28">
      <c r="U808" s="1"/>
      <c r="AA808" s="30"/>
      <c r="AB808" s="1"/>
    </row>
    <row r="809" spans="21:28">
      <c r="U809" s="1"/>
      <c r="AA809" s="30"/>
      <c r="AB809" s="1"/>
    </row>
    <row r="826" spans="21:28">
      <c r="U826" s="1"/>
      <c r="AA826" s="30"/>
      <c r="AB826" s="1"/>
    </row>
    <row r="828" spans="21:28">
      <c r="U828" s="1"/>
      <c r="AA828" s="615"/>
      <c r="AB828" s="1"/>
    </row>
    <row r="829" spans="21:28">
      <c r="U829" s="1"/>
      <c r="AA829" s="615"/>
      <c r="AB829" s="1"/>
    </row>
    <row r="830" spans="21:28">
      <c r="U830" s="1"/>
      <c r="AA830" s="78"/>
      <c r="AB830" s="1"/>
    </row>
    <row r="831" spans="21:28">
      <c r="U831" s="1"/>
      <c r="AA831" s="30"/>
      <c r="AB831" s="1"/>
    </row>
    <row r="834" spans="21:28">
      <c r="U834" s="1"/>
      <c r="AA834" s="30"/>
      <c r="AB834" s="1"/>
    </row>
    <row r="884" spans="21:28">
      <c r="U884" s="1"/>
      <c r="AA884" s="30"/>
      <c r="AB884" s="1"/>
    </row>
    <row r="954" spans="21:28">
      <c r="U954" s="1"/>
      <c r="AA954" s="30"/>
      <c r="AB954" s="1"/>
    </row>
    <row r="955" spans="21:28">
      <c r="U955" s="1"/>
      <c r="AA955" s="30"/>
      <c r="AB955" s="1"/>
    </row>
    <row r="972" spans="21:28">
      <c r="U972" s="1"/>
      <c r="AA972" s="30"/>
      <c r="AB972" s="1"/>
    </row>
    <row r="974" spans="21:28">
      <c r="U974" s="1"/>
      <c r="AA974" s="615"/>
      <c r="AB974" s="1"/>
    </row>
    <row r="975" spans="21:28">
      <c r="U975" s="1"/>
      <c r="AA975" s="615"/>
      <c r="AB975" s="1"/>
    </row>
    <row r="976" spans="21:28">
      <c r="U976" s="1"/>
      <c r="AA976" s="78"/>
      <c r="AB976" s="1"/>
    </row>
    <row r="977" spans="21:28">
      <c r="U977" s="1"/>
      <c r="AA977" s="30"/>
      <c r="AB977" s="1"/>
    </row>
    <row r="980" spans="21:28">
      <c r="U980" s="1"/>
      <c r="AA980" s="30"/>
      <c r="AB980" s="1"/>
    </row>
    <row r="1030" spans="21:28">
      <c r="U1030" s="1"/>
      <c r="AA1030" s="30"/>
      <c r="AB1030" s="1"/>
    </row>
    <row r="1100" spans="21:28">
      <c r="U1100" s="1"/>
      <c r="AA1100" s="30"/>
      <c r="AB1100" s="1"/>
    </row>
    <row r="1101" spans="21:28">
      <c r="U1101" s="1"/>
      <c r="AA1101" s="30"/>
      <c r="AB1101" s="1"/>
    </row>
    <row r="1118" spans="21:28">
      <c r="U1118" s="1"/>
      <c r="AA1118" s="30"/>
      <c r="AB1118" s="1"/>
    </row>
    <row r="1120" spans="21:28">
      <c r="U1120" s="1"/>
      <c r="AA1120" s="615"/>
      <c r="AB1120" s="1"/>
    </row>
    <row r="1121" spans="21:28">
      <c r="U1121" s="1"/>
      <c r="AA1121" s="615"/>
      <c r="AB1121" s="1"/>
    </row>
    <row r="1122" spans="21:28">
      <c r="U1122" s="1"/>
      <c r="AA1122" s="78"/>
      <c r="AB1122" s="1"/>
    </row>
    <row r="1123" spans="21:28">
      <c r="U1123" s="1"/>
      <c r="AA1123" s="30"/>
      <c r="AB1123" s="1"/>
    </row>
    <row r="1126" spans="21:28">
      <c r="U1126" s="1"/>
      <c r="AA1126" s="30"/>
      <c r="AB1126" s="1"/>
    </row>
    <row r="1176" spans="21:28">
      <c r="U1176" s="1"/>
      <c r="AA1176" s="30"/>
      <c r="AB1176" s="1"/>
    </row>
    <row r="1246" spans="21:28">
      <c r="U1246" s="1"/>
      <c r="AA1246" s="30"/>
      <c r="AB1246" s="1"/>
    </row>
    <row r="1247" spans="21:28">
      <c r="U1247" s="1"/>
      <c r="AA1247" s="30"/>
      <c r="AB1247" s="1"/>
    </row>
    <row r="1264" spans="21:28">
      <c r="U1264" s="1"/>
      <c r="AA1264" s="30"/>
      <c r="AB1264" s="1"/>
    </row>
    <row r="1266" spans="21:28">
      <c r="U1266" s="1"/>
      <c r="AA1266" s="615"/>
      <c r="AB1266" s="1"/>
    </row>
    <row r="1267" spans="21:28">
      <c r="U1267" s="1"/>
      <c r="AA1267" s="615"/>
      <c r="AB1267" s="1"/>
    </row>
    <row r="1268" spans="21:28">
      <c r="U1268" s="1"/>
      <c r="AA1268" s="78"/>
      <c r="AB1268" s="1"/>
    </row>
    <row r="1269" spans="21:28">
      <c r="U1269" s="1"/>
      <c r="AA1269" s="30"/>
      <c r="AB1269" s="1"/>
    </row>
    <row r="1272" spans="21:28">
      <c r="U1272" s="1"/>
      <c r="AA1272" s="30"/>
      <c r="AB1272" s="1"/>
    </row>
    <row r="1322" spans="21:28">
      <c r="U1322" s="1"/>
      <c r="AA1322" s="30"/>
      <c r="AB1322" s="1"/>
    </row>
    <row r="1392" spans="21:28">
      <c r="U1392" s="1"/>
      <c r="AA1392" s="30"/>
      <c r="AB1392" s="1"/>
    </row>
    <row r="1393" spans="21:28">
      <c r="U1393" s="1"/>
      <c r="AA1393" s="30"/>
      <c r="AB1393" s="1"/>
    </row>
    <row r="1410" spans="21:28">
      <c r="U1410" s="1"/>
      <c r="AA1410" s="30"/>
      <c r="AB1410" s="1"/>
    </row>
    <row r="1412" spans="21:28">
      <c r="U1412" s="1"/>
      <c r="AA1412" s="615"/>
      <c r="AB1412" s="1"/>
    </row>
    <row r="1413" spans="21:28">
      <c r="U1413" s="1"/>
      <c r="AA1413" s="615"/>
      <c r="AB1413" s="1"/>
    </row>
    <row r="1414" spans="21:28">
      <c r="U1414" s="1"/>
      <c r="AA1414" s="78"/>
      <c r="AB1414" s="1"/>
    </row>
    <row r="1415" spans="21:28">
      <c r="U1415" s="1"/>
      <c r="AA1415" s="30"/>
      <c r="AB1415" s="1"/>
    </row>
    <row r="1418" spans="21:28">
      <c r="U1418" s="1"/>
      <c r="AA1418" s="30"/>
      <c r="AB1418" s="1"/>
    </row>
    <row r="1468" spans="21:28">
      <c r="U1468" s="1"/>
      <c r="AA1468" s="30"/>
      <c r="AB1468" s="1"/>
    </row>
    <row r="1538" spans="21:28">
      <c r="U1538" s="1"/>
      <c r="AA1538" s="30"/>
      <c r="AB1538" s="1"/>
    </row>
    <row r="1539" spans="21:28">
      <c r="U1539" s="1"/>
      <c r="AA1539" s="30"/>
      <c r="AB1539" s="1"/>
    </row>
    <row r="1556" spans="21:28">
      <c r="U1556" s="1"/>
      <c r="AA1556" s="30"/>
      <c r="AB1556" s="1"/>
    </row>
    <row r="1558" spans="21:28">
      <c r="U1558" s="1"/>
      <c r="AA1558" s="615"/>
      <c r="AB1558" s="1"/>
    </row>
    <row r="1559" spans="21:28">
      <c r="U1559" s="1"/>
      <c r="AA1559" s="615"/>
      <c r="AB1559" s="1"/>
    </row>
    <row r="1560" spans="21:28">
      <c r="U1560" s="1"/>
      <c r="AA1560" s="78"/>
      <c r="AB1560" s="1"/>
    </row>
    <row r="1561" spans="21:28">
      <c r="U1561" s="1"/>
      <c r="AA1561" s="30"/>
      <c r="AB1561" s="1"/>
    </row>
    <row r="1564" spans="21:28">
      <c r="U1564" s="1"/>
      <c r="AA1564" s="30"/>
      <c r="AB1564" s="1"/>
    </row>
    <row r="1614" spans="21:28">
      <c r="U1614" s="1"/>
      <c r="AA1614" s="30"/>
      <c r="AB1614" s="1"/>
    </row>
    <row r="1684" spans="21:28">
      <c r="U1684" s="1"/>
      <c r="AA1684" s="30"/>
      <c r="AB1684" s="1"/>
    </row>
    <row r="1685" spans="21:28">
      <c r="U1685" s="1"/>
      <c r="AA1685" s="30"/>
      <c r="AB1685" s="1"/>
    </row>
    <row r="1702" spans="21:28">
      <c r="U1702" s="1"/>
      <c r="AA1702" s="30"/>
      <c r="AB1702" s="1"/>
    </row>
    <row r="1704" spans="21:28">
      <c r="U1704" s="1"/>
      <c r="AA1704" s="615"/>
      <c r="AB1704" s="1"/>
    </row>
    <row r="1705" spans="21:28">
      <c r="U1705" s="1"/>
      <c r="AA1705" s="615"/>
      <c r="AB1705" s="1"/>
    </row>
    <row r="1706" spans="21:28">
      <c r="U1706" s="1"/>
      <c r="AA1706" s="78"/>
      <c r="AB1706" s="1"/>
    </row>
    <row r="1707" spans="21:28">
      <c r="U1707" s="1"/>
      <c r="AA1707" s="30"/>
      <c r="AB1707" s="1"/>
    </row>
    <row r="1710" spans="21:28">
      <c r="U1710" s="1"/>
      <c r="AA1710" s="30"/>
      <c r="AB1710" s="1"/>
    </row>
    <row r="1760" spans="21:28">
      <c r="U1760" s="1"/>
      <c r="AA1760" s="30"/>
      <c r="AB1760" s="1"/>
    </row>
    <row r="1830" spans="21:28">
      <c r="U1830" s="1"/>
      <c r="AA1830" s="30"/>
      <c r="AB1830" s="1"/>
    </row>
    <row r="1831" spans="21:28">
      <c r="U1831" s="1"/>
      <c r="AA1831" s="30"/>
      <c r="AB1831" s="1"/>
    </row>
    <row r="1848" spans="21:28">
      <c r="U1848" s="1"/>
      <c r="AA1848" s="30"/>
      <c r="AB1848" s="1"/>
    </row>
    <row r="1850" spans="21:28">
      <c r="U1850" s="1"/>
      <c r="AA1850" s="615"/>
      <c r="AB1850" s="1"/>
    </row>
    <row r="1851" spans="21:28">
      <c r="U1851" s="1"/>
      <c r="AA1851" s="615"/>
      <c r="AB1851" s="1"/>
    </row>
    <row r="1852" spans="21:28">
      <c r="U1852" s="1"/>
      <c r="AA1852" s="78"/>
      <c r="AB1852" s="1"/>
    </row>
    <row r="1853" spans="21:28">
      <c r="U1853" s="1"/>
      <c r="AA1853" s="30"/>
      <c r="AB1853" s="1"/>
    </row>
    <row r="1856" spans="21:28">
      <c r="U1856" s="1"/>
      <c r="AA1856" s="30"/>
      <c r="AB1856" s="1"/>
    </row>
    <row r="1906" spans="21:28">
      <c r="U1906" s="1"/>
      <c r="AA1906" s="30"/>
      <c r="AB1906" s="1"/>
    </row>
    <row r="1976" spans="21:28">
      <c r="U1976" s="1"/>
      <c r="AA1976" s="30"/>
      <c r="AB1976" s="1"/>
    </row>
    <row r="1977" spans="21:28">
      <c r="U1977" s="1"/>
      <c r="AA1977" s="30"/>
      <c r="AB1977" s="1"/>
    </row>
    <row r="1994" spans="21:28">
      <c r="U1994" s="1"/>
      <c r="AA1994" s="30"/>
      <c r="AB1994" s="1"/>
    </row>
    <row r="1996" spans="21:28">
      <c r="U1996" s="1"/>
      <c r="AA1996" s="615"/>
      <c r="AB1996" s="1"/>
    </row>
    <row r="1997" spans="21:28">
      <c r="U1997" s="1"/>
      <c r="AA1997" s="615"/>
      <c r="AB1997" s="1"/>
    </row>
    <row r="1998" spans="21:28">
      <c r="U1998" s="1"/>
      <c r="AA1998" s="78"/>
      <c r="AB1998" s="1"/>
    </row>
    <row r="1999" spans="21:28">
      <c r="U1999" s="1"/>
      <c r="AA1999" s="30"/>
      <c r="AB1999" s="1"/>
    </row>
    <row r="2002" spans="21:28">
      <c r="U2002" s="1"/>
      <c r="AA2002" s="30"/>
      <c r="AB2002" s="1"/>
    </row>
    <row r="2052" spans="21:28">
      <c r="U2052" s="1"/>
      <c r="AA2052" s="30"/>
      <c r="AB2052" s="1"/>
    </row>
    <row r="2122" spans="21:28">
      <c r="U2122" s="1"/>
      <c r="AA2122" s="30"/>
      <c r="AB2122" s="1"/>
    </row>
    <row r="2123" spans="21:28">
      <c r="U2123" s="1"/>
      <c r="AA2123" s="30"/>
      <c r="AB2123" s="1"/>
    </row>
    <row r="2140" spans="21:28">
      <c r="U2140" s="1"/>
      <c r="AA2140" s="30"/>
      <c r="AB2140" s="1"/>
    </row>
    <row r="2142" spans="21:28">
      <c r="U2142" s="1"/>
      <c r="AA2142" s="615"/>
      <c r="AB2142" s="1"/>
    </row>
    <row r="2143" spans="21:28">
      <c r="U2143" s="1"/>
      <c r="AA2143" s="615"/>
      <c r="AB2143" s="1"/>
    </row>
    <row r="2144" spans="21:28">
      <c r="U2144" s="1"/>
      <c r="AA2144" s="78"/>
      <c r="AB2144" s="1"/>
    </row>
    <row r="2145" spans="21:28">
      <c r="U2145" s="1"/>
      <c r="AA2145" s="30"/>
      <c r="AB2145" s="1"/>
    </row>
    <row r="2148" spans="21:28">
      <c r="U2148" s="1"/>
      <c r="AA2148" s="30"/>
      <c r="AB2148" s="1"/>
    </row>
    <row r="2198" spans="21:28">
      <c r="U2198" s="1"/>
      <c r="AA2198" s="30"/>
      <c r="AB2198" s="1"/>
    </row>
    <row r="2268" spans="21:28">
      <c r="U2268" s="1"/>
      <c r="AA2268" s="30"/>
      <c r="AB2268" s="1"/>
    </row>
    <row r="2269" spans="21:28">
      <c r="U2269" s="1"/>
      <c r="AA2269" s="30"/>
      <c r="AB2269" s="1"/>
    </row>
    <row r="2286" spans="21:28">
      <c r="U2286" s="1"/>
      <c r="AA2286" s="30"/>
      <c r="AB2286" s="1"/>
    </row>
    <row r="2288" spans="21:28">
      <c r="U2288" s="1"/>
      <c r="AA2288" s="615"/>
      <c r="AB2288" s="1"/>
    </row>
    <row r="2289" spans="21:28">
      <c r="U2289" s="1"/>
      <c r="AA2289" s="615"/>
      <c r="AB2289" s="1"/>
    </row>
    <row r="2290" spans="21:28">
      <c r="U2290" s="1"/>
      <c r="AA2290" s="78"/>
      <c r="AB2290" s="1"/>
    </row>
    <row r="2291" spans="21:28">
      <c r="U2291" s="1"/>
      <c r="AA2291" s="30"/>
      <c r="AB2291" s="1"/>
    </row>
    <row r="2294" spans="21:28">
      <c r="U2294" s="1"/>
      <c r="AA2294" s="30"/>
      <c r="AB2294" s="1"/>
    </row>
    <row r="2344" spans="21:28">
      <c r="U2344" s="1"/>
      <c r="AA2344" s="30"/>
      <c r="AB2344" s="1"/>
    </row>
    <row r="2414" spans="21:28">
      <c r="U2414" s="1"/>
      <c r="AA2414" s="30"/>
      <c r="AB2414" s="1"/>
    </row>
    <row r="2415" spans="21:28">
      <c r="U2415" s="1"/>
      <c r="AA2415" s="30"/>
      <c r="AB2415" s="1"/>
    </row>
    <row r="2432" spans="21:28">
      <c r="U2432" s="1"/>
      <c r="AA2432" s="30"/>
      <c r="AB2432" s="1"/>
    </row>
    <row r="2434" spans="21:28">
      <c r="U2434" s="1"/>
      <c r="AA2434" s="615"/>
      <c r="AB2434" s="1"/>
    </row>
    <row r="2435" spans="21:28">
      <c r="U2435" s="1"/>
      <c r="AA2435" s="615"/>
      <c r="AB2435" s="1"/>
    </row>
    <row r="2436" spans="21:28">
      <c r="U2436" s="1"/>
      <c r="AA2436" s="78"/>
      <c r="AB2436" s="1"/>
    </row>
    <row r="2437" spans="21:28">
      <c r="U2437" s="1"/>
      <c r="AA2437" s="30"/>
      <c r="AB2437" s="1"/>
    </row>
    <row r="2440" spans="21:28">
      <c r="U2440" s="1"/>
      <c r="AA2440" s="30"/>
      <c r="AB2440" s="1"/>
    </row>
    <row r="2490" spans="21:28">
      <c r="U2490" s="1"/>
      <c r="AA2490" s="30"/>
      <c r="AB2490" s="1"/>
    </row>
    <row r="2560" spans="21:28">
      <c r="U2560" s="1"/>
      <c r="AA2560" s="30"/>
      <c r="AB2560" s="1"/>
    </row>
    <row r="2561" spans="21:28">
      <c r="U2561" s="1"/>
      <c r="AA2561" s="30"/>
      <c r="AB2561" s="1"/>
    </row>
    <row r="2578" spans="21:28">
      <c r="U2578" s="1"/>
      <c r="AA2578" s="30"/>
      <c r="AB2578" s="1"/>
    </row>
    <row r="2580" spans="21:28">
      <c r="U2580" s="1"/>
      <c r="AA2580" s="615"/>
      <c r="AB2580" s="1"/>
    </row>
    <row r="2581" spans="21:28">
      <c r="U2581" s="1"/>
      <c r="AA2581" s="615"/>
      <c r="AB2581" s="1"/>
    </row>
    <row r="2582" spans="21:28">
      <c r="U2582" s="1"/>
      <c r="AA2582" s="78"/>
      <c r="AB2582" s="1"/>
    </row>
    <row r="2583" spans="21:28">
      <c r="U2583" s="1"/>
      <c r="AA2583" s="30"/>
      <c r="AB2583" s="1"/>
    </row>
    <row r="2586" spans="21:28">
      <c r="U2586" s="1"/>
      <c r="AA2586" s="30"/>
      <c r="AB2586" s="1"/>
    </row>
    <row r="2636" spans="21:28">
      <c r="U2636" s="1"/>
      <c r="AA2636" s="30"/>
      <c r="AB2636" s="1"/>
    </row>
    <row r="2706" spans="21:28">
      <c r="U2706" s="1"/>
      <c r="AA2706" s="30"/>
      <c r="AB2706" s="1"/>
    </row>
    <row r="2707" spans="21:28">
      <c r="U2707" s="1"/>
      <c r="AA2707" s="30"/>
      <c r="AB2707" s="1"/>
    </row>
    <row r="2724" spans="21:28">
      <c r="U2724" s="1"/>
      <c r="AA2724" s="30"/>
      <c r="AB2724" s="1"/>
    </row>
    <row r="2726" spans="21:28">
      <c r="U2726" s="1"/>
      <c r="AA2726" s="615"/>
      <c r="AB2726" s="1"/>
    </row>
    <row r="2727" spans="21:28">
      <c r="U2727" s="1"/>
      <c r="AA2727" s="615"/>
      <c r="AB2727" s="1"/>
    </row>
    <row r="2728" spans="21:28">
      <c r="U2728" s="1"/>
      <c r="AA2728" s="78"/>
      <c r="AB2728" s="1"/>
    </row>
    <row r="2729" spans="21:28">
      <c r="U2729" s="1"/>
      <c r="AA2729" s="30"/>
      <c r="AB2729" s="1"/>
    </row>
    <row r="2732" spans="21:28">
      <c r="U2732" s="1"/>
      <c r="AA2732" s="30"/>
      <c r="AB2732" s="1"/>
    </row>
    <row r="2782" spans="21:28">
      <c r="U2782" s="1"/>
      <c r="AA2782" s="30"/>
      <c r="AB2782" s="1"/>
    </row>
    <row r="2852" spans="21:28">
      <c r="U2852" s="1"/>
      <c r="AA2852" s="30"/>
      <c r="AB2852" s="1"/>
    </row>
    <row r="2853" spans="21:28">
      <c r="U2853" s="1"/>
      <c r="AA2853" s="30"/>
      <c r="AB2853" s="1"/>
    </row>
    <row r="2870" spans="21:28">
      <c r="U2870" s="1"/>
      <c r="AA2870" s="30"/>
      <c r="AB2870" s="1"/>
    </row>
    <row r="2872" spans="21:28">
      <c r="U2872" s="1"/>
      <c r="AA2872" s="615"/>
      <c r="AB2872" s="1"/>
    </row>
    <row r="2873" spans="21:28">
      <c r="U2873" s="1"/>
      <c r="AA2873" s="615"/>
      <c r="AB2873" s="1"/>
    </row>
    <row r="2874" spans="21:28">
      <c r="U2874" s="1"/>
      <c r="AA2874" s="78"/>
      <c r="AB2874" s="1"/>
    </row>
    <row r="2875" spans="21:28">
      <c r="U2875" s="1"/>
      <c r="AA2875" s="30"/>
      <c r="AB2875" s="1"/>
    </row>
    <row r="2878" spans="21:28">
      <c r="U2878" s="1"/>
      <c r="AA2878" s="30"/>
      <c r="AB2878" s="1"/>
    </row>
    <row r="2928" spans="21:28">
      <c r="U2928" s="1"/>
      <c r="AA2928" s="30"/>
      <c r="AB2928" s="1"/>
    </row>
    <row r="2998" spans="21:28">
      <c r="U2998" s="1"/>
      <c r="AA2998" s="30"/>
      <c r="AB2998" s="1"/>
    </row>
    <row r="2999" spans="21:28">
      <c r="U2999" s="1"/>
      <c r="AA2999" s="30"/>
      <c r="AB2999" s="1"/>
    </row>
    <row r="3016" spans="21:28">
      <c r="U3016" s="1"/>
      <c r="AA3016" s="30"/>
      <c r="AB3016" s="1"/>
    </row>
    <row r="3018" spans="21:28">
      <c r="U3018" s="1"/>
      <c r="AA3018" s="615"/>
      <c r="AB3018" s="1"/>
    </row>
    <row r="3019" spans="21:28">
      <c r="U3019" s="1"/>
      <c r="AA3019" s="615"/>
      <c r="AB3019" s="1"/>
    </row>
    <row r="3020" spans="21:28">
      <c r="U3020" s="1"/>
      <c r="AA3020" s="78"/>
      <c r="AB3020" s="1"/>
    </row>
    <row r="3021" spans="21:28">
      <c r="U3021" s="1"/>
      <c r="AA3021" s="30"/>
      <c r="AB3021" s="1"/>
    </row>
    <row r="3024" spans="21:28">
      <c r="U3024" s="1"/>
      <c r="AA3024" s="30"/>
      <c r="AB3024" s="1"/>
    </row>
    <row r="3074" spans="21:28">
      <c r="U3074" s="1"/>
      <c r="AA3074" s="30"/>
      <c r="AB3074" s="1"/>
    </row>
    <row r="3144" spans="21:28">
      <c r="U3144" s="1"/>
      <c r="AA3144" s="30"/>
      <c r="AB3144" s="1"/>
    </row>
    <row r="3145" spans="21:28">
      <c r="U3145" s="1"/>
      <c r="AA3145" s="30"/>
      <c r="AB3145" s="1"/>
    </row>
    <row r="3162" spans="21:28">
      <c r="U3162" s="1"/>
      <c r="AA3162" s="30"/>
      <c r="AB3162" s="1"/>
    </row>
    <row r="3164" spans="21:28">
      <c r="U3164" s="1"/>
      <c r="AA3164" s="615"/>
      <c r="AB3164" s="1"/>
    </row>
    <row r="3165" spans="21:28">
      <c r="U3165" s="1"/>
      <c r="AA3165" s="615"/>
      <c r="AB3165" s="1"/>
    </row>
    <row r="3166" spans="21:28">
      <c r="U3166" s="1"/>
      <c r="AA3166" s="78"/>
      <c r="AB3166" s="1"/>
    </row>
    <row r="3167" spans="21:28">
      <c r="U3167" s="1"/>
      <c r="AA3167" s="30"/>
      <c r="AB3167" s="1"/>
    </row>
    <row r="3170" spans="21:28">
      <c r="U3170" s="1"/>
      <c r="AA3170" s="30"/>
      <c r="AB3170" s="1"/>
    </row>
    <row r="3220" spans="21:28">
      <c r="U3220" s="1"/>
      <c r="AA3220" s="30"/>
      <c r="AB3220" s="1"/>
    </row>
    <row r="3290" spans="21:28">
      <c r="U3290" s="1"/>
      <c r="AA3290" s="30"/>
      <c r="AB3290" s="1"/>
    </row>
    <row r="3291" spans="21:28">
      <c r="U3291" s="1"/>
      <c r="AA3291" s="30"/>
      <c r="AB3291" s="1"/>
    </row>
    <row r="3308" spans="21:28">
      <c r="U3308" s="1"/>
      <c r="AA3308" s="30"/>
      <c r="AB3308" s="1"/>
    </row>
    <row r="3310" spans="21:28">
      <c r="U3310" s="1"/>
      <c r="AA3310" s="615"/>
      <c r="AB3310" s="1"/>
    </row>
    <row r="3311" spans="21:28">
      <c r="U3311" s="1"/>
      <c r="AA3311" s="615"/>
      <c r="AB3311" s="1"/>
    </row>
    <row r="3312" spans="21:28">
      <c r="U3312" s="1"/>
      <c r="AA3312" s="78"/>
      <c r="AB3312" s="1"/>
    </row>
    <row r="3313" spans="21:28">
      <c r="U3313" s="1"/>
      <c r="AA3313" s="30"/>
      <c r="AB3313" s="1"/>
    </row>
    <row r="3316" spans="21:28">
      <c r="U3316" s="1"/>
      <c r="AA3316" s="30"/>
      <c r="AB3316" s="1"/>
    </row>
    <row r="3366" spans="21:28">
      <c r="U3366" s="1"/>
      <c r="AA3366" s="30"/>
      <c r="AB3366" s="1"/>
    </row>
    <row r="3436" spans="21:28">
      <c r="U3436" s="1"/>
      <c r="AA3436" s="30"/>
      <c r="AB3436" s="1"/>
    </row>
    <row r="3437" spans="21:28">
      <c r="U3437" s="1"/>
      <c r="AA3437" s="30"/>
      <c r="AB3437" s="1"/>
    </row>
    <row r="3454" spans="21:28">
      <c r="U3454" s="1"/>
      <c r="AA3454" s="30"/>
      <c r="AB3454" s="1"/>
    </row>
    <row r="3456" spans="21:28">
      <c r="AA3456" s="613"/>
    </row>
    <row r="3457" spans="27:27">
      <c r="AA3457" s="613"/>
    </row>
    <row r="3602" spans="27:27">
      <c r="AA3602" s="613"/>
    </row>
    <row r="3603" spans="27:27">
      <c r="AA3603" s="613"/>
    </row>
    <row r="3748" spans="27:27">
      <c r="AA3748" s="613"/>
    </row>
    <row r="3749" spans="27:27">
      <c r="AA3749" s="613"/>
    </row>
    <row r="3894" spans="27:27">
      <c r="AA3894" s="613"/>
    </row>
    <row r="3895" spans="27:27">
      <c r="AA3895" s="613"/>
    </row>
    <row r="4040" spans="27:27">
      <c r="AA4040" s="613"/>
    </row>
    <row r="4041" spans="27:27">
      <c r="AA4041" s="613"/>
    </row>
    <row r="4186" spans="27:27">
      <c r="AA4186" s="613"/>
    </row>
    <row r="4187" spans="27:27">
      <c r="AA4187" s="613"/>
    </row>
    <row r="4332" spans="27:27">
      <c r="AA4332" s="613"/>
    </row>
    <row r="4333" spans="27:27">
      <c r="AA4333" s="613"/>
    </row>
    <row r="4478" spans="27:27">
      <c r="AA4478" s="613"/>
    </row>
    <row r="4479" spans="27:27">
      <c r="AA4479" s="613"/>
    </row>
    <row r="4624" spans="27:27">
      <c r="AA4624" s="613"/>
    </row>
    <row r="4625" spans="27:27">
      <c r="AA4625" s="613"/>
    </row>
    <row r="4770" spans="27:27">
      <c r="AA4770" s="613"/>
    </row>
    <row r="4771" spans="27:27">
      <c r="AA4771" s="613"/>
    </row>
    <row r="4916" spans="27:27">
      <c r="AA4916" s="613"/>
    </row>
    <row r="4917" spans="27:27">
      <c r="AA4917" s="613"/>
    </row>
    <row r="5062" spans="27:27">
      <c r="AA5062" s="613"/>
    </row>
    <row r="5063" spans="27:27">
      <c r="AA5063" s="613"/>
    </row>
    <row r="5208" spans="27:27">
      <c r="AA5208" s="613"/>
    </row>
    <row r="5209" spans="27:27">
      <c r="AA5209" s="613"/>
    </row>
    <row r="5354" spans="27:27">
      <c r="AA5354" s="613"/>
    </row>
    <row r="5355" spans="27:27">
      <c r="AA5355" s="613"/>
    </row>
    <row r="5500" spans="27:27">
      <c r="AA5500" s="613"/>
    </row>
    <row r="5501" spans="27:27">
      <c r="AA5501" s="613"/>
    </row>
    <row r="5646" spans="27:27">
      <c r="AA5646" s="613"/>
    </row>
    <row r="5647" spans="27:27">
      <c r="AA5647" s="613"/>
    </row>
    <row r="5792" spans="27:27">
      <c r="AA5792" s="613"/>
    </row>
    <row r="5793" spans="27:27">
      <c r="AA5793" s="613"/>
    </row>
    <row r="5938" spans="27:27">
      <c r="AA5938" s="613"/>
    </row>
    <row r="5939" spans="27:27">
      <c r="AA5939" s="613"/>
    </row>
    <row r="6084" spans="27:27">
      <c r="AA6084" s="613"/>
    </row>
    <row r="6085" spans="27:27">
      <c r="AA6085" s="613"/>
    </row>
    <row r="6230" spans="27:27">
      <c r="AA6230" s="613"/>
    </row>
    <row r="6231" spans="27:27">
      <c r="AA6231" s="613"/>
    </row>
    <row r="6376" spans="27:27">
      <c r="AA6376" s="613"/>
    </row>
    <row r="6377" spans="27:27">
      <c r="AA6377" s="613"/>
    </row>
    <row r="6522" spans="27:27">
      <c r="AA6522" s="613"/>
    </row>
    <row r="6523" spans="27:27">
      <c r="AA6523" s="613"/>
    </row>
    <row r="6668" spans="27:27">
      <c r="AA6668" s="613"/>
    </row>
    <row r="6669" spans="27:27">
      <c r="AA6669" s="613"/>
    </row>
    <row r="6814" spans="27:27">
      <c r="AA6814" s="613"/>
    </row>
    <row r="6815" spans="27:27">
      <c r="AA6815" s="613"/>
    </row>
    <row r="6960" spans="27:27">
      <c r="AA6960" s="613"/>
    </row>
    <row r="6961" spans="27:27">
      <c r="AA6961" s="613"/>
    </row>
    <row r="7106" spans="27:27">
      <c r="AA7106" s="613"/>
    </row>
    <row r="7107" spans="27:27">
      <c r="AA7107" s="613"/>
    </row>
    <row r="7252" spans="27:27">
      <c r="AA7252" s="613"/>
    </row>
    <row r="7253" spans="27:27">
      <c r="AA7253" s="613"/>
    </row>
    <row r="7398" spans="27:27">
      <c r="AA7398" s="613"/>
    </row>
    <row r="7399" spans="27:27">
      <c r="AA7399" s="613"/>
    </row>
    <row r="7544" spans="27:27">
      <c r="AA7544" s="613"/>
    </row>
    <row r="7545" spans="27:27">
      <c r="AA7545" s="613"/>
    </row>
    <row r="7690" spans="27:27">
      <c r="AA7690" s="613"/>
    </row>
    <row r="7691" spans="27:27">
      <c r="AA7691" s="613"/>
    </row>
    <row r="7836" spans="27:27">
      <c r="AA7836" s="613"/>
    </row>
    <row r="7837" spans="27:27">
      <c r="AA7837" s="613"/>
    </row>
    <row r="7982" spans="27:27">
      <c r="AA7982" s="613"/>
    </row>
    <row r="7983" spans="27:27">
      <c r="AA7983" s="613"/>
    </row>
    <row r="8128" spans="27:27">
      <c r="AA8128" s="613"/>
    </row>
    <row r="8129" spans="27:27">
      <c r="AA8129" s="613"/>
    </row>
    <row r="8274" spans="27:27">
      <c r="AA8274" s="613"/>
    </row>
    <row r="8275" spans="27:27">
      <c r="AA8275" s="613"/>
    </row>
    <row r="8420" spans="27:27">
      <c r="AA8420" s="613"/>
    </row>
    <row r="8421" spans="27:27">
      <c r="AA8421" s="613"/>
    </row>
    <row r="8566" spans="27:27">
      <c r="AA8566" s="613"/>
    </row>
    <row r="8567" spans="27:27">
      <c r="AA8567" s="613"/>
    </row>
    <row r="8712" spans="27:27">
      <c r="AA8712" s="613"/>
    </row>
    <row r="8713" spans="27:27">
      <c r="AA8713" s="613"/>
    </row>
    <row r="8858" spans="27:27">
      <c r="AA8858" s="613"/>
    </row>
    <row r="8859" spans="27:27">
      <c r="AA8859" s="613"/>
    </row>
    <row r="9004" spans="27:27">
      <c r="AA9004" s="613"/>
    </row>
    <row r="9005" spans="27:27">
      <c r="AA9005" s="613"/>
    </row>
    <row r="9150" spans="27:27">
      <c r="AA9150" s="613"/>
    </row>
    <row r="9151" spans="27:27">
      <c r="AA9151" s="613"/>
    </row>
    <row r="9296" spans="27:27">
      <c r="AA9296" s="613"/>
    </row>
    <row r="9297" spans="27:27">
      <c r="AA9297" s="613"/>
    </row>
    <row r="9442" spans="27:27">
      <c r="AA9442" s="613"/>
    </row>
    <row r="9443" spans="27:27">
      <c r="AA9443" s="613"/>
    </row>
    <row r="9588" spans="27:27">
      <c r="AA9588" s="613"/>
    </row>
    <row r="9589" spans="27:27">
      <c r="AA9589" s="613"/>
    </row>
    <row r="9734" spans="27:27">
      <c r="AA9734" s="613"/>
    </row>
    <row r="9735" spans="27:27">
      <c r="AA9735" s="613"/>
    </row>
    <row r="9880" spans="27:27">
      <c r="AA9880" s="613"/>
    </row>
    <row r="9881" spans="27:27">
      <c r="AA9881" s="613"/>
    </row>
    <row r="10026" spans="27:27">
      <c r="AA10026" s="613"/>
    </row>
    <row r="10027" spans="27:27">
      <c r="AA10027" s="613"/>
    </row>
    <row r="10172" spans="27:27">
      <c r="AA10172" s="613"/>
    </row>
    <row r="10173" spans="27:27">
      <c r="AA10173" s="613"/>
    </row>
    <row r="10318" spans="27:27">
      <c r="AA10318" s="613"/>
    </row>
    <row r="10319" spans="27:27">
      <c r="AA10319" s="613"/>
    </row>
    <row r="10464" spans="27:27">
      <c r="AA10464" s="613"/>
    </row>
    <row r="10465" spans="27:27">
      <c r="AA10465" s="613"/>
    </row>
    <row r="10610" spans="27:27">
      <c r="AA10610" s="613"/>
    </row>
    <row r="10611" spans="27:27">
      <c r="AA10611" s="613"/>
    </row>
    <row r="10756" spans="27:27">
      <c r="AA10756" s="613"/>
    </row>
    <row r="10757" spans="27:27">
      <c r="AA10757" s="613"/>
    </row>
    <row r="10902" spans="27:27">
      <c r="AA10902" s="613"/>
    </row>
    <row r="10903" spans="27:27">
      <c r="AA10903" s="613"/>
    </row>
    <row r="11048" spans="27:27">
      <c r="AA11048" s="613"/>
    </row>
    <row r="11049" spans="27:27">
      <c r="AA11049" s="613"/>
    </row>
    <row r="11194" spans="27:27">
      <c r="AA11194" s="613"/>
    </row>
    <row r="11195" spans="27:27">
      <c r="AA11195" s="613"/>
    </row>
    <row r="11340" spans="27:27">
      <c r="AA11340" s="613"/>
    </row>
    <row r="11341" spans="27:27">
      <c r="AA11341" s="613"/>
    </row>
    <row r="11486" spans="27:27">
      <c r="AA11486" s="613"/>
    </row>
    <row r="11487" spans="27:27">
      <c r="AA11487" s="613"/>
    </row>
    <row r="11632" spans="27:27">
      <c r="AA11632" s="613"/>
    </row>
    <row r="11633" spans="27:27">
      <c r="AA11633" s="613"/>
    </row>
    <row r="11778" spans="27:27">
      <c r="AA11778" s="613"/>
    </row>
    <row r="11779" spans="27:27">
      <c r="AA11779" s="613"/>
    </row>
    <row r="11924" spans="27:27">
      <c r="AA11924" s="613"/>
    </row>
    <row r="11925" spans="27:27">
      <c r="AA11925" s="613"/>
    </row>
    <row r="12070" spans="27:27">
      <c r="AA12070" s="613"/>
    </row>
    <row r="12071" spans="27:27">
      <c r="AA12071" s="613"/>
    </row>
    <row r="12216" spans="27:27">
      <c r="AA12216" s="613"/>
    </row>
    <row r="12217" spans="27:27">
      <c r="AA12217" s="613"/>
    </row>
    <row r="12362" spans="27:27">
      <c r="AA12362" s="613"/>
    </row>
    <row r="12363" spans="27:27">
      <c r="AA12363" s="613"/>
    </row>
    <row r="12508" spans="27:27">
      <c r="AA12508" s="613"/>
    </row>
    <row r="12509" spans="27:27">
      <c r="AA12509" s="613"/>
    </row>
    <row r="12654" spans="27:27">
      <c r="AA12654" s="613"/>
    </row>
    <row r="12655" spans="27:27">
      <c r="AA12655" s="613"/>
    </row>
    <row r="12800" spans="27:27">
      <c r="AA12800" s="613"/>
    </row>
    <row r="12801" spans="27:27">
      <c r="AA12801" s="613"/>
    </row>
    <row r="12946" spans="27:27">
      <c r="AA12946" s="613"/>
    </row>
    <row r="12947" spans="27:27">
      <c r="AA12947" s="613"/>
    </row>
    <row r="13092" spans="27:27">
      <c r="AA13092" s="613"/>
    </row>
    <row r="13093" spans="27:27">
      <c r="AA13093" s="613"/>
    </row>
    <row r="13238" spans="27:27">
      <c r="AA13238" s="613"/>
    </row>
    <row r="13239" spans="27:27">
      <c r="AA13239" s="613"/>
    </row>
    <row r="13384" spans="27:27">
      <c r="AA13384" s="613"/>
    </row>
    <row r="13385" spans="27:27">
      <c r="AA13385" s="613"/>
    </row>
    <row r="13530" spans="27:27">
      <c r="AA13530" s="613"/>
    </row>
    <row r="13531" spans="27:27">
      <c r="AA13531" s="613"/>
    </row>
    <row r="13676" spans="27:27">
      <c r="AA13676" s="613"/>
    </row>
    <row r="13677" spans="27:27">
      <c r="AA13677" s="613"/>
    </row>
    <row r="13822" spans="27:27">
      <c r="AA13822" s="613"/>
    </row>
    <row r="13823" spans="27:27">
      <c r="AA13823" s="613"/>
    </row>
    <row r="13968" spans="27:27">
      <c r="AA13968" s="613"/>
    </row>
    <row r="13969" spans="27:27">
      <c r="AA13969" s="613"/>
    </row>
    <row r="14114" spans="27:27">
      <c r="AA14114" s="613"/>
    </row>
    <row r="14115" spans="27:27">
      <c r="AA14115" s="613"/>
    </row>
    <row r="14260" spans="27:27">
      <c r="AA14260" s="613"/>
    </row>
    <row r="14261" spans="27:27">
      <c r="AA14261" s="613"/>
    </row>
    <row r="14406" spans="27:27">
      <c r="AA14406" s="613"/>
    </row>
    <row r="14407" spans="27:27">
      <c r="AA14407" s="613"/>
    </row>
    <row r="14552" spans="27:27">
      <c r="AA14552" s="613"/>
    </row>
    <row r="14553" spans="27:27">
      <c r="AA14553" s="613"/>
    </row>
    <row r="14698" spans="27:27">
      <c r="AA14698" s="613"/>
    </row>
    <row r="14699" spans="27:27">
      <c r="AA14699" s="613"/>
    </row>
    <row r="14844" spans="27:27">
      <c r="AA14844" s="613"/>
    </row>
    <row r="14845" spans="27:27">
      <c r="AA14845" s="613"/>
    </row>
    <row r="14990" spans="27:27">
      <c r="AA14990" s="613"/>
    </row>
    <row r="14991" spans="27:27">
      <c r="AA14991" s="613"/>
    </row>
    <row r="15136" spans="27:27">
      <c r="AA15136" s="613"/>
    </row>
    <row r="15137" spans="27:27">
      <c r="AA15137" s="613"/>
    </row>
    <row r="15282" spans="27:27">
      <c r="AA15282" s="613"/>
    </row>
    <row r="15283" spans="27:27">
      <c r="AA15283" s="613"/>
    </row>
    <row r="15428" spans="27:27">
      <c r="AA15428" s="613"/>
    </row>
    <row r="15429" spans="27:27">
      <c r="AA15429" s="613"/>
    </row>
    <row r="15574" spans="27:27">
      <c r="AA15574" s="613"/>
    </row>
    <row r="15575" spans="27:27">
      <c r="AA15575" s="613"/>
    </row>
    <row r="15720" spans="27:27">
      <c r="AA15720" s="613"/>
    </row>
    <row r="15721" spans="27:27">
      <c r="AA15721" s="613"/>
    </row>
    <row r="15866" spans="27:27">
      <c r="AA15866" s="613"/>
    </row>
    <row r="15867" spans="27:27">
      <c r="AA15867" s="613"/>
    </row>
    <row r="16012" spans="27:27">
      <c r="AA16012" s="613"/>
    </row>
    <row r="16013" spans="27:27">
      <c r="AA16013" s="613"/>
    </row>
    <row r="16158" spans="27:27">
      <c r="AA16158" s="613"/>
    </row>
    <row r="16159" spans="27:27">
      <c r="AA16159" s="613"/>
    </row>
    <row r="16304" spans="27:27">
      <c r="AA16304" s="613"/>
    </row>
    <row r="16305" spans="27:27">
      <c r="AA16305" s="613"/>
    </row>
    <row r="16450" spans="27:27">
      <c r="AA16450" s="613"/>
    </row>
    <row r="16451" spans="27:27">
      <c r="AA16451" s="613"/>
    </row>
    <row r="16596" spans="27:27">
      <c r="AA16596" s="613"/>
    </row>
    <row r="16597" spans="27:27">
      <c r="AA16597" s="613"/>
    </row>
    <row r="16742" spans="27:27">
      <c r="AA16742" s="613"/>
    </row>
    <row r="16743" spans="27:27">
      <c r="AA16743" s="613"/>
    </row>
    <row r="16888" spans="27:27">
      <c r="AA16888" s="613"/>
    </row>
    <row r="16889" spans="27:27">
      <c r="AA16889" s="613"/>
    </row>
    <row r="17034" spans="27:27">
      <c r="AA17034" s="613"/>
    </row>
    <row r="17035" spans="27:27">
      <c r="AA17035" s="613"/>
    </row>
    <row r="17180" spans="27:27">
      <c r="AA17180" s="613"/>
    </row>
    <row r="17181" spans="27:27">
      <c r="AA17181" s="613"/>
    </row>
    <row r="17326" spans="27:27">
      <c r="AA17326" s="613"/>
    </row>
    <row r="17327" spans="27:27">
      <c r="AA17327" s="613"/>
    </row>
    <row r="17472" spans="27:27">
      <c r="AA17472" s="613"/>
    </row>
    <row r="17473" spans="27:27">
      <c r="AA17473" s="613"/>
    </row>
    <row r="17618" spans="27:27">
      <c r="AA17618" s="613"/>
    </row>
    <row r="17619" spans="27:27">
      <c r="AA17619" s="613"/>
    </row>
    <row r="17764" spans="27:27">
      <c r="AA17764" s="613"/>
    </row>
    <row r="17765" spans="27:27">
      <c r="AA17765" s="613"/>
    </row>
    <row r="17910" spans="27:27">
      <c r="AA17910" s="613"/>
    </row>
    <row r="17911" spans="27:27">
      <c r="AA17911" s="613"/>
    </row>
    <row r="18056" spans="27:27">
      <c r="AA18056" s="613"/>
    </row>
    <row r="18057" spans="27:27">
      <c r="AA18057" s="613"/>
    </row>
    <row r="18202" spans="27:27">
      <c r="AA18202" s="613"/>
    </row>
    <row r="18203" spans="27:27">
      <c r="AA18203" s="613"/>
    </row>
    <row r="18348" spans="27:27">
      <c r="AA18348" s="613"/>
    </row>
    <row r="18349" spans="27:27">
      <c r="AA18349" s="613"/>
    </row>
    <row r="18494" spans="27:27">
      <c r="AA18494" s="613"/>
    </row>
    <row r="18495" spans="27:27">
      <c r="AA18495" s="613"/>
    </row>
    <row r="18640" spans="27:27">
      <c r="AA18640" s="613"/>
    </row>
    <row r="18641" spans="27:27">
      <c r="AA18641" s="613"/>
    </row>
    <row r="18786" spans="27:27">
      <c r="AA18786" s="613"/>
    </row>
    <row r="18787" spans="27:27">
      <c r="AA18787" s="613"/>
    </row>
    <row r="18932" spans="27:27">
      <c r="AA18932" s="613"/>
    </row>
    <row r="18933" spans="27:27">
      <c r="AA18933" s="613"/>
    </row>
    <row r="19078" spans="27:27">
      <c r="AA19078" s="613"/>
    </row>
    <row r="19079" spans="27:27">
      <c r="AA19079" s="613"/>
    </row>
    <row r="19224" spans="27:27">
      <c r="AA19224" s="613"/>
    </row>
    <row r="19225" spans="27:27">
      <c r="AA19225" s="613"/>
    </row>
    <row r="19370" spans="27:27">
      <c r="AA19370" s="613"/>
    </row>
    <row r="19371" spans="27:27">
      <c r="AA19371" s="613"/>
    </row>
    <row r="19516" spans="27:27">
      <c r="AA19516" s="613"/>
    </row>
    <row r="19517" spans="27:27">
      <c r="AA19517" s="613"/>
    </row>
    <row r="19662" spans="27:27">
      <c r="AA19662" s="613"/>
    </row>
    <row r="19663" spans="27:27">
      <c r="AA19663" s="613"/>
    </row>
    <row r="19808" spans="27:27">
      <c r="AA19808" s="613"/>
    </row>
    <row r="19809" spans="27:27">
      <c r="AA19809" s="613"/>
    </row>
    <row r="19954" spans="27:27">
      <c r="AA19954" s="613"/>
    </row>
    <row r="19955" spans="27:27">
      <c r="AA19955" s="613"/>
    </row>
    <row r="20100" spans="27:27">
      <c r="AA20100" s="613"/>
    </row>
    <row r="20101" spans="27:27">
      <c r="AA20101" s="613"/>
    </row>
    <row r="20246" spans="27:27">
      <c r="AA20246" s="613"/>
    </row>
    <row r="20247" spans="27:27">
      <c r="AA20247" s="613"/>
    </row>
    <row r="20392" spans="27:27">
      <c r="AA20392" s="613"/>
    </row>
    <row r="20393" spans="27:27">
      <c r="AA20393" s="613"/>
    </row>
    <row r="20538" spans="27:27">
      <c r="AA20538" s="613"/>
    </row>
    <row r="20539" spans="27:27">
      <c r="AA20539" s="613"/>
    </row>
    <row r="20684" spans="27:27">
      <c r="AA20684" s="613"/>
    </row>
    <row r="20685" spans="27:27">
      <c r="AA20685" s="613"/>
    </row>
    <row r="20830" spans="27:27">
      <c r="AA20830" s="613"/>
    </row>
    <row r="20831" spans="27:27">
      <c r="AA20831" s="613"/>
    </row>
    <row r="20976" spans="27:27">
      <c r="AA20976" s="613"/>
    </row>
    <row r="20977" spans="27:27">
      <c r="AA20977" s="613"/>
    </row>
    <row r="21122" spans="27:27">
      <c r="AA21122" s="613"/>
    </row>
    <row r="21123" spans="27:27">
      <c r="AA21123" s="613"/>
    </row>
    <row r="21268" spans="27:27">
      <c r="AA21268" s="613"/>
    </row>
    <row r="21269" spans="27:27">
      <c r="AA21269" s="613"/>
    </row>
    <row r="21414" spans="27:27">
      <c r="AA21414" s="613"/>
    </row>
    <row r="21415" spans="27:27">
      <c r="AA21415" s="613"/>
    </row>
    <row r="21560" spans="27:27">
      <c r="AA21560" s="613"/>
    </row>
    <row r="21561" spans="27:27">
      <c r="AA21561" s="613"/>
    </row>
    <row r="21706" spans="27:27">
      <c r="AA21706" s="613"/>
    </row>
    <row r="21707" spans="27:27">
      <c r="AA21707" s="613"/>
    </row>
    <row r="21852" spans="27:27">
      <c r="AA21852" s="613"/>
    </row>
    <row r="21853" spans="27:27">
      <c r="AA21853" s="613"/>
    </row>
    <row r="21998" spans="27:27">
      <c r="AA21998" s="613"/>
    </row>
    <row r="21999" spans="27:27">
      <c r="AA21999" s="613"/>
    </row>
    <row r="22144" spans="27:27">
      <c r="AA22144" s="613"/>
    </row>
    <row r="22145" spans="27:27">
      <c r="AA22145" s="613"/>
    </row>
    <row r="22290" spans="27:27">
      <c r="AA22290" s="613"/>
    </row>
    <row r="22291" spans="27:27">
      <c r="AA22291" s="613"/>
    </row>
    <row r="22436" spans="27:27">
      <c r="AA22436" s="613"/>
    </row>
    <row r="22437" spans="27:27">
      <c r="AA22437" s="613"/>
    </row>
    <row r="22582" spans="27:27">
      <c r="AA22582" s="613"/>
    </row>
    <row r="22583" spans="27:27">
      <c r="AA22583" s="613"/>
    </row>
    <row r="22728" spans="27:27">
      <c r="AA22728" s="613"/>
    </row>
    <row r="22729" spans="27:27">
      <c r="AA22729" s="613"/>
    </row>
    <row r="22874" spans="27:27">
      <c r="AA22874" s="613"/>
    </row>
    <row r="22875" spans="27:27">
      <c r="AA22875" s="613"/>
    </row>
    <row r="23020" spans="27:27">
      <c r="AA23020" s="613"/>
    </row>
    <row r="23021" spans="27:27">
      <c r="AA23021" s="613"/>
    </row>
    <row r="23166" spans="27:27">
      <c r="AA23166" s="613"/>
    </row>
    <row r="23167" spans="27:27">
      <c r="AA23167" s="613"/>
    </row>
    <row r="23312" spans="27:27">
      <c r="AA23312" s="613"/>
    </row>
    <row r="23313" spans="27:27">
      <c r="AA23313" s="613"/>
    </row>
    <row r="23458" spans="27:27">
      <c r="AA23458" s="613"/>
    </row>
    <row r="23459" spans="27:27">
      <c r="AA23459" s="613"/>
    </row>
    <row r="23604" spans="27:27">
      <c r="AA23604" s="613"/>
    </row>
    <row r="23605" spans="27:27">
      <c r="AA23605" s="613"/>
    </row>
    <row r="23750" spans="27:27">
      <c r="AA23750" s="613"/>
    </row>
    <row r="23751" spans="27:27">
      <c r="AA23751" s="613"/>
    </row>
    <row r="23896" spans="27:27">
      <c r="AA23896" s="613"/>
    </row>
    <row r="23897" spans="27:27">
      <c r="AA23897" s="613"/>
    </row>
    <row r="24042" spans="27:27">
      <c r="AA24042" s="613"/>
    </row>
    <row r="24043" spans="27:27">
      <c r="AA24043" s="613"/>
    </row>
    <row r="24188" spans="27:27">
      <c r="AA24188" s="613"/>
    </row>
    <row r="24189" spans="27:27">
      <c r="AA24189" s="613"/>
    </row>
    <row r="24334" spans="27:27">
      <c r="AA24334" s="613"/>
    </row>
    <row r="24335" spans="27:27">
      <c r="AA24335" s="613"/>
    </row>
    <row r="24480" spans="27:27">
      <c r="AA24480" s="613"/>
    </row>
    <row r="24481" spans="27:27">
      <c r="AA24481" s="613"/>
    </row>
    <row r="24626" spans="27:27">
      <c r="AA24626" s="613"/>
    </row>
    <row r="24627" spans="27:27">
      <c r="AA24627" s="613"/>
    </row>
    <row r="24772" spans="27:27">
      <c r="AA24772" s="613"/>
    </row>
    <row r="24773" spans="27:27">
      <c r="AA24773" s="613"/>
    </row>
    <row r="24918" spans="27:27">
      <c r="AA24918" s="613"/>
    </row>
    <row r="24919" spans="27:27">
      <c r="AA24919" s="613"/>
    </row>
    <row r="25064" spans="27:27">
      <c r="AA25064" s="613"/>
    </row>
    <row r="25065" spans="27:27">
      <c r="AA25065" s="613"/>
    </row>
    <row r="25210" spans="27:27">
      <c r="AA25210" s="613"/>
    </row>
    <row r="25211" spans="27:27">
      <c r="AA25211" s="613"/>
    </row>
    <row r="25356" spans="27:27">
      <c r="AA25356" s="613"/>
    </row>
    <row r="25357" spans="27:27">
      <c r="AA25357" s="613"/>
    </row>
    <row r="25502" spans="27:27">
      <c r="AA25502" s="613"/>
    </row>
    <row r="25503" spans="27:27">
      <c r="AA25503" s="613"/>
    </row>
    <row r="25648" spans="27:27">
      <c r="AA25648" s="613"/>
    </row>
    <row r="25649" spans="27:27">
      <c r="AA25649" s="613"/>
    </row>
    <row r="25794" spans="27:27">
      <c r="AA25794" s="613"/>
    </row>
    <row r="25795" spans="27:27">
      <c r="AA25795" s="613"/>
    </row>
    <row r="25940" spans="27:27">
      <c r="AA25940" s="613"/>
    </row>
    <row r="25941" spans="27:27">
      <c r="AA25941" s="613"/>
    </row>
    <row r="26086" spans="27:27">
      <c r="AA26086" s="613"/>
    </row>
    <row r="26087" spans="27:27">
      <c r="AA26087" s="613"/>
    </row>
    <row r="26232" spans="27:27">
      <c r="AA26232" s="613"/>
    </row>
    <row r="26233" spans="27:27">
      <c r="AA26233" s="613"/>
    </row>
    <row r="26378" spans="27:27">
      <c r="AA26378" s="613"/>
    </row>
    <row r="26379" spans="27:27">
      <c r="AA26379" s="613"/>
    </row>
    <row r="26524" spans="27:27">
      <c r="AA26524" s="613"/>
    </row>
    <row r="26525" spans="27:27">
      <c r="AA26525" s="613"/>
    </row>
    <row r="26670" spans="27:27">
      <c r="AA26670" s="613"/>
    </row>
    <row r="26671" spans="27:27">
      <c r="AA26671" s="613"/>
    </row>
    <row r="26816" spans="27:27">
      <c r="AA26816" s="613"/>
    </row>
    <row r="26817" spans="27:27">
      <c r="AA26817" s="613"/>
    </row>
    <row r="26962" spans="27:27">
      <c r="AA26962" s="613"/>
    </row>
    <row r="26963" spans="27:27">
      <c r="AA26963" s="613"/>
    </row>
    <row r="27108" spans="27:27">
      <c r="AA27108" s="613"/>
    </row>
    <row r="27109" spans="27:27">
      <c r="AA27109" s="613"/>
    </row>
    <row r="27254" spans="27:27">
      <c r="AA27254" s="613"/>
    </row>
    <row r="27255" spans="27:27">
      <c r="AA27255" s="613"/>
    </row>
    <row r="27400" spans="27:27">
      <c r="AA27400" s="613"/>
    </row>
    <row r="27401" spans="27:27">
      <c r="AA27401" s="613"/>
    </row>
    <row r="27546" spans="27:27">
      <c r="AA27546" s="613"/>
    </row>
    <row r="27547" spans="27:27">
      <c r="AA27547" s="613"/>
    </row>
    <row r="27692" spans="27:27">
      <c r="AA27692" s="613"/>
    </row>
    <row r="27693" spans="27:27">
      <c r="AA27693" s="613"/>
    </row>
    <row r="27838" spans="27:27">
      <c r="AA27838" s="613"/>
    </row>
    <row r="27839" spans="27:27">
      <c r="AA27839" s="613"/>
    </row>
    <row r="27984" spans="27:27">
      <c r="AA27984" s="613"/>
    </row>
    <row r="27985" spans="27:27">
      <c r="AA27985" s="613"/>
    </row>
    <row r="28130" spans="27:27">
      <c r="AA28130" s="613"/>
    </row>
    <row r="28131" spans="27:27">
      <c r="AA28131" s="613"/>
    </row>
    <row r="28276" spans="27:27">
      <c r="AA28276" s="613"/>
    </row>
    <row r="28277" spans="27:27">
      <c r="AA28277" s="613"/>
    </row>
    <row r="28422" spans="27:27">
      <c r="AA28422" s="613"/>
    </row>
    <row r="28423" spans="27:27">
      <c r="AA28423" s="613"/>
    </row>
    <row r="28568" spans="27:27">
      <c r="AA28568" s="613"/>
    </row>
    <row r="28569" spans="27:27">
      <c r="AA28569" s="613"/>
    </row>
    <row r="28714" spans="27:27">
      <c r="AA28714" s="613"/>
    </row>
    <row r="28715" spans="27:27">
      <c r="AA28715" s="613"/>
    </row>
    <row r="28860" spans="27:27">
      <c r="AA28860" s="613"/>
    </row>
    <row r="28861" spans="27:27">
      <c r="AA28861" s="613"/>
    </row>
    <row r="29006" spans="27:27">
      <c r="AA29006" s="613"/>
    </row>
    <row r="29007" spans="27:27">
      <c r="AA29007" s="613"/>
    </row>
    <row r="29152" spans="27:27">
      <c r="AA29152" s="613"/>
    </row>
    <row r="29153" spans="27:27">
      <c r="AA29153" s="613"/>
    </row>
    <row r="29298" spans="27:27">
      <c r="AA29298" s="613"/>
    </row>
    <row r="29299" spans="27:27">
      <c r="AA29299" s="613"/>
    </row>
    <row r="29444" spans="27:27">
      <c r="AA29444" s="613"/>
    </row>
    <row r="29445" spans="27:27">
      <c r="AA29445" s="613"/>
    </row>
    <row r="29590" spans="27:27">
      <c r="AA29590" s="613"/>
    </row>
    <row r="29591" spans="27:27">
      <c r="AA29591" s="613"/>
    </row>
    <row r="29736" spans="27:27">
      <c r="AA29736" s="613"/>
    </row>
    <row r="29737" spans="27:27">
      <c r="AA29737" s="613"/>
    </row>
    <row r="29882" spans="27:27">
      <c r="AA29882" s="613"/>
    </row>
    <row r="29883" spans="27:27">
      <c r="AA29883" s="613"/>
    </row>
    <row r="30028" spans="27:27">
      <c r="AA30028" s="613"/>
    </row>
    <row r="30029" spans="27:27">
      <c r="AA30029" s="613"/>
    </row>
    <row r="30174" spans="27:27">
      <c r="AA30174" s="613"/>
    </row>
    <row r="30175" spans="27:27">
      <c r="AA30175" s="613"/>
    </row>
    <row r="30320" spans="27:27">
      <c r="AA30320" s="613"/>
    </row>
    <row r="30321" spans="27:27">
      <c r="AA30321" s="613"/>
    </row>
    <row r="30466" spans="27:27">
      <c r="AA30466" s="613"/>
    </row>
    <row r="30467" spans="27:27">
      <c r="AA30467" s="613"/>
    </row>
    <row r="30612" spans="27:27">
      <c r="AA30612" s="613"/>
    </row>
    <row r="30613" spans="27:27">
      <c r="AA30613" s="613"/>
    </row>
    <row r="30758" spans="27:27">
      <c r="AA30758" s="613"/>
    </row>
    <row r="30759" spans="27:27">
      <c r="AA30759" s="613"/>
    </row>
    <row r="30904" spans="27:27">
      <c r="AA30904" s="613"/>
    </row>
    <row r="30905" spans="27:27">
      <c r="AA30905" s="613"/>
    </row>
    <row r="31050" spans="27:27">
      <c r="AA31050" s="613"/>
    </row>
    <row r="31051" spans="27:27">
      <c r="AA31051" s="613"/>
    </row>
    <row r="31196" spans="27:27">
      <c r="AA31196" s="613"/>
    </row>
    <row r="31197" spans="27:27">
      <c r="AA31197" s="613"/>
    </row>
    <row r="31342" spans="27:27">
      <c r="AA31342" s="613"/>
    </row>
    <row r="31343" spans="27:27">
      <c r="AA31343" s="613"/>
    </row>
    <row r="31488" spans="27:27">
      <c r="AA31488" s="613"/>
    </row>
    <row r="31489" spans="27:27">
      <c r="AA31489" s="613"/>
    </row>
    <row r="31634" spans="27:27">
      <c r="AA31634" s="613"/>
    </row>
    <row r="31635" spans="27:27">
      <c r="AA31635" s="613"/>
    </row>
    <row r="31780" spans="27:27">
      <c r="AA31780" s="613"/>
    </row>
    <row r="31781" spans="27:27">
      <c r="AA31781" s="613"/>
    </row>
    <row r="31926" spans="27:27">
      <c r="AA31926" s="613"/>
    </row>
    <row r="31927" spans="27:27">
      <c r="AA31927" s="613"/>
    </row>
    <row r="32072" spans="27:27">
      <c r="AA32072" s="613"/>
    </row>
    <row r="32073" spans="27:27">
      <c r="AA32073" s="613"/>
    </row>
    <row r="32218" spans="27:27">
      <c r="AA32218" s="613"/>
    </row>
    <row r="32219" spans="27:27">
      <c r="AA32219" s="613"/>
    </row>
    <row r="32364" spans="27:27">
      <c r="AA32364" s="613"/>
    </row>
    <row r="32365" spans="27:27">
      <c r="AA32365" s="613"/>
    </row>
    <row r="32510" spans="27:27">
      <c r="AA32510" s="613"/>
    </row>
    <row r="32511" spans="27:27">
      <c r="AA32511" s="613"/>
    </row>
    <row r="32656" spans="27:27">
      <c r="AA32656" s="613"/>
    </row>
    <row r="32657" spans="27:27">
      <c r="AA32657" s="613"/>
    </row>
    <row r="32802" spans="27:27">
      <c r="AA32802" s="613"/>
    </row>
    <row r="32803" spans="27:27">
      <c r="AA32803" s="613"/>
    </row>
    <row r="32948" spans="27:27">
      <c r="AA32948" s="613"/>
    </row>
    <row r="32949" spans="27:27">
      <c r="AA32949" s="613"/>
    </row>
    <row r="33094" spans="27:27">
      <c r="AA33094" s="613"/>
    </row>
    <row r="33095" spans="27:27">
      <c r="AA33095" s="613"/>
    </row>
    <row r="33240" spans="27:27">
      <c r="AA33240" s="613"/>
    </row>
    <row r="33241" spans="27:27">
      <c r="AA33241" s="613"/>
    </row>
    <row r="33386" spans="27:27">
      <c r="AA33386" s="613"/>
    </row>
    <row r="33387" spans="27:27">
      <c r="AA33387" s="613"/>
    </row>
    <row r="33532" spans="27:27">
      <c r="AA33532" s="613"/>
    </row>
    <row r="33533" spans="27:27">
      <c r="AA33533" s="613"/>
    </row>
    <row r="33678" spans="27:27">
      <c r="AA33678" s="613"/>
    </row>
    <row r="33679" spans="27:27">
      <c r="AA33679" s="613"/>
    </row>
    <row r="33824" spans="27:27">
      <c r="AA33824" s="613"/>
    </row>
    <row r="33825" spans="27:27">
      <c r="AA33825" s="613"/>
    </row>
    <row r="33970" spans="27:27">
      <c r="AA33970" s="613"/>
    </row>
    <row r="33971" spans="27:27">
      <c r="AA33971" s="613"/>
    </row>
    <row r="34116" spans="27:27">
      <c r="AA34116" s="613"/>
    </row>
    <row r="34117" spans="27:27">
      <c r="AA34117" s="613"/>
    </row>
    <row r="34262" spans="27:27">
      <c r="AA34262" s="613"/>
    </row>
    <row r="34263" spans="27:27">
      <c r="AA34263" s="613"/>
    </row>
    <row r="34408" spans="27:27">
      <c r="AA34408" s="613"/>
    </row>
    <row r="34409" spans="27:27">
      <c r="AA34409" s="613"/>
    </row>
    <row r="34554" spans="27:27">
      <c r="AA34554" s="613"/>
    </row>
    <row r="34555" spans="27:27">
      <c r="AA34555" s="613"/>
    </row>
    <row r="34700" spans="27:27">
      <c r="AA34700" s="613"/>
    </row>
    <row r="34701" spans="27:27">
      <c r="AA34701" s="613"/>
    </row>
    <row r="34846" spans="27:27">
      <c r="AA34846" s="613"/>
    </row>
    <row r="34847" spans="27:27">
      <c r="AA34847" s="613"/>
    </row>
    <row r="34992" spans="27:27">
      <c r="AA34992" s="613"/>
    </row>
    <row r="34993" spans="27:27">
      <c r="AA34993" s="613"/>
    </row>
    <row r="35138" spans="27:27">
      <c r="AA35138" s="613"/>
    </row>
    <row r="35139" spans="27:27">
      <c r="AA35139" s="613"/>
    </row>
    <row r="35284" spans="27:27">
      <c r="AA35284" s="613"/>
    </row>
    <row r="35285" spans="27:27">
      <c r="AA35285" s="613"/>
    </row>
    <row r="35430" spans="27:27">
      <c r="AA35430" s="613"/>
    </row>
    <row r="35431" spans="27:27">
      <c r="AA35431" s="613"/>
    </row>
    <row r="35576" spans="27:27">
      <c r="AA35576" s="613"/>
    </row>
    <row r="35577" spans="27:27">
      <c r="AA35577" s="613"/>
    </row>
    <row r="35722" spans="27:27">
      <c r="AA35722" s="613"/>
    </row>
    <row r="35723" spans="27:27">
      <c r="AA35723" s="613"/>
    </row>
    <row r="35868" spans="27:27">
      <c r="AA35868" s="613"/>
    </row>
    <row r="35869" spans="27:27">
      <c r="AA35869" s="613"/>
    </row>
    <row r="36014" spans="27:27">
      <c r="AA36014" s="613"/>
    </row>
    <row r="36015" spans="27:27">
      <c r="AA36015" s="613"/>
    </row>
    <row r="36160" spans="27:27">
      <c r="AA36160" s="613"/>
    </row>
    <row r="36161" spans="27:27">
      <c r="AA36161" s="613"/>
    </row>
    <row r="36306" spans="27:27">
      <c r="AA36306" s="613"/>
    </row>
    <row r="36307" spans="27:27">
      <c r="AA36307" s="613"/>
    </row>
    <row r="36452" spans="27:27">
      <c r="AA36452" s="613"/>
    </row>
    <row r="36453" spans="27:27">
      <c r="AA36453" s="613"/>
    </row>
    <row r="36598" spans="27:27">
      <c r="AA36598" s="613"/>
    </row>
    <row r="36599" spans="27:27">
      <c r="AA36599" s="613"/>
    </row>
    <row r="36744" spans="27:27">
      <c r="AA36744" s="613"/>
    </row>
    <row r="36745" spans="27:27">
      <c r="AA36745" s="613"/>
    </row>
    <row r="36890" spans="27:27">
      <c r="AA36890" s="613"/>
    </row>
    <row r="36891" spans="27:27">
      <c r="AA36891" s="613"/>
    </row>
    <row r="37036" spans="27:27">
      <c r="AA37036" s="613"/>
    </row>
    <row r="37037" spans="27:27">
      <c r="AA37037" s="613"/>
    </row>
    <row r="37182" spans="27:27">
      <c r="AA37182" s="613"/>
    </row>
    <row r="37183" spans="27:27">
      <c r="AA37183" s="613"/>
    </row>
    <row r="37328" spans="27:27">
      <c r="AA37328" s="613"/>
    </row>
    <row r="37329" spans="27:27">
      <c r="AA37329" s="613"/>
    </row>
    <row r="37474" spans="27:27">
      <c r="AA37474" s="613"/>
    </row>
    <row r="37475" spans="27:27">
      <c r="AA37475" s="613"/>
    </row>
    <row r="37620" spans="27:27">
      <c r="AA37620" s="613"/>
    </row>
    <row r="37621" spans="27:27">
      <c r="AA37621" s="613"/>
    </row>
    <row r="37766" spans="27:27">
      <c r="AA37766" s="613"/>
    </row>
    <row r="37767" spans="27:27">
      <c r="AA37767" s="613"/>
    </row>
    <row r="37912" spans="27:27">
      <c r="AA37912" s="613"/>
    </row>
    <row r="37913" spans="27:27">
      <c r="AA37913" s="613"/>
    </row>
    <row r="38058" spans="27:27">
      <c r="AA38058" s="613"/>
    </row>
    <row r="38059" spans="27:27">
      <c r="AA38059" s="613"/>
    </row>
    <row r="38204" spans="27:27">
      <c r="AA38204" s="613"/>
    </row>
    <row r="38205" spans="27:27">
      <c r="AA38205" s="613"/>
    </row>
    <row r="38350" spans="27:27">
      <c r="AA38350" s="613"/>
    </row>
    <row r="38351" spans="27:27">
      <c r="AA38351" s="613"/>
    </row>
    <row r="38496" spans="27:27">
      <c r="AA38496" s="613"/>
    </row>
    <row r="38497" spans="27:27">
      <c r="AA38497" s="613"/>
    </row>
    <row r="38642" spans="27:27">
      <c r="AA38642" s="613"/>
    </row>
    <row r="38643" spans="27:27">
      <c r="AA38643" s="613"/>
    </row>
    <row r="38788" spans="27:27">
      <c r="AA38788" s="613"/>
    </row>
    <row r="38789" spans="27:27">
      <c r="AA38789" s="613"/>
    </row>
    <row r="38934" spans="27:27">
      <c r="AA38934" s="613"/>
    </row>
    <row r="38935" spans="27:27">
      <c r="AA38935" s="613"/>
    </row>
    <row r="39080" spans="27:27">
      <c r="AA39080" s="613"/>
    </row>
    <row r="39081" spans="27:27">
      <c r="AA39081" s="613"/>
    </row>
    <row r="39226" spans="27:27">
      <c r="AA39226" s="613"/>
    </row>
    <row r="39227" spans="27:27">
      <c r="AA39227" s="613"/>
    </row>
    <row r="39372" spans="27:27">
      <c r="AA39372" s="613"/>
    </row>
    <row r="39373" spans="27:27">
      <c r="AA39373" s="613"/>
    </row>
    <row r="39518" spans="27:27">
      <c r="AA39518" s="613"/>
    </row>
    <row r="39519" spans="27:27">
      <c r="AA39519" s="613"/>
    </row>
    <row r="39664" spans="27:27">
      <c r="AA39664" s="613"/>
    </row>
    <row r="39665" spans="27:27">
      <c r="AA39665" s="613"/>
    </row>
    <row r="39810" spans="27:27">
      <c r="AA39810" s="613"/>
    </row>
    <row r="39811" spans="27:27">
      <c r="AA39811" s="613"/>
    </row>
    <row r="39956" spans="27:27">
      <c r="AA39956" s="613"/>
    </row>
    <row r="39957" spans="27:27">
      <c r="AA39957" s="613"/>
    </row>
    <row r="40102" spans="27:27">
      <c r="AA40102" s="613"/>
    </row>
    <row r="40103" spans="27:27">
      <c r="AA40103" s="613"/>
    </row>
    <row r="40248" spans="27:27">
      <c r="AA40248" s="613"/>
    </row>
    <row r="40249" spans="27:27">
      <c r="AA40249" s="613"/>
    </row>
    <row r="40394" spans="27:27">
      <c r="AA40394" s="613"/>
    </row>
    <row r="40395" spans="27:27">
      <c r="AA40395" s="613"/>
    </row>
    <row r="40540" spans="27:27">
      <c r="AA40540" s="613"/>
    </row>
    <row r="40541" spans="27:27">
      <c r="AA40541" s="613"/>
    </row>
    <row r="40686" spans="27:27">
      <c r="AA40686" s="613"/>
    </row>
    <row r="40687" spans="27:27">
      <c r="AA40687" s="613"/>
    </row>
    <row r="40832" spans="27:27">
      <c r="AA40832" s="613"/>
    </row>
    <row r="40833" spans="27:27">
      <c r="AA40833" s="613"/>
    </row>
    <row r="40978" spans="27:27">
      <c r="AA40978" s="613"/>
    </row>
    <row r="40979" spans="27:27">
      <c r="AA40979" s="613"/>
    </row>
    <row r="41124" spans="27:27">
      <c r="AA41124" s="613"/>
    </row>
    <row r="41125" spans="27:27">
      <c r="AA41125" s="613"/>
    </row>
    <row r="41270" spans="27:27">
      <c r="AA41270" s="613"/>
    </row>
    <row r="41271" spans="27:27">
      <c r="AA41271" s="613"/>
    </row>
    <row r="41416" spans="27:27">
      <c r="AA41416" s="613"/>
    </row>
    <row r="41417" spans="27:27">
      <c r="AA41417" s="613"/>
    </row>
    <row r="41562" spans="27:27">
      <c r="AA41562" s="613"/>
    </row>
    <row r="41563" spans="27:27">
      <c r="AA41563" s="613"/>
    </row>
    <row r="41708" spans="27:27">
      <c r="AA41708" s="613"/>
    </row>
    <row r="41709" spans="27:27">
      <c r="AA41709" s="613"/>
    </row>
    <row r="41854" spans="27:27">
      <c r="AA41854" s="613"/>
    </row>
    <row r="41855" spans="27:27">
      <c r="AA41855" s="613"/>
    </row>
    <row r="42000" spans="27:27">
      <c r="AA42000" s="613"/>
    </row>
    <row r="42001" spans="27:27">
      <c r="AA42001" s="613"/>
    </row>
    <row r="42146" spans="27:27">
      <c r="AA42146" s="613"/>
    </row>
    <row r="42147" spans="27:27">
      <c r="AA42147" s="613"/>
    </row>
    <row r="42292" spans="27:27">
      <c r="AA42292" s="613"/>
    </row>
    <row r="42293" spans="27:27">
      <c r="AA42293" s="613"/>
    </row>
    <row r="42438" spans="27:27">
      <c r="AA42438" s="613"/>
    </row>
    <row r="42439" spans="27:27">
      <c r="AA42439" s="613"/>
    </row>
    <row r="42584" spans="27:27">
      <c r="AA42584" s="613"/>
    </row>
    <row r="42585" spans="27:27">
      <c r="AA42585" s="613"/>
    </row>
    <row r="42730" spans="27:27">
      <c r="AA42730" s="613"/>
    </row>
    <row r="42731" spans="27:27">
      <c r="AA42731" s="613"/>
    </row>
    <row r="42876" spans="27:27">
      <c r="AA42876" s="613"/>
    </row>
    <row r="42877" spans="27:27">
      <c r="AA42877" s="613"/>
    </row>
    <row r="43022" spans="27:27">
      <c r="AA43022" s="613"/>
    </row>
    <row r="43023" spans="27:27">
      <c r="AA43023" s="613"/>
    </row>
    <row r="43168" spans="27:27">
      <c r="AA43168" s="613"/>
    </row>
    <row r="43169" spans="27:27">
      <c r="AA43169" s="613"/>
    </row>
    <row r="43314" spans="27:27">
      <c r="AA43314" s="613"/>
    </row>
    <row r="43315" spans="27:27">
      <c r="AA43315" s="613"/>
    </row>
    <row r="43460" spans="27:27">
      <c r="AA43460" s="613"/>
    </row>
    <row r="43461" spans="27:27">
      <c r="AA43461" s="613"/>
    </row>
    <row r="43606" spans="27:27">
      <c r="AA43606" s="613"/>
    </row>
    <row r="43607" spans="27:27">
      <c r="AA43607" s="613"/>
    </row>
    <row r="43752" spans="27:27">
      <c r="AA43752" s="613"/>
    </row>
    <row r="43753" spans="27:27">
      <c r="AA43753" s="613"/>
    </row>
    <row r="43898" spans="27:27">
      <c r="AA43898" s="613"/>
    </row>
    <row r="43899" spans="27:27">
      <c r="AA43899" s="613"/>
    </row>
    <row r="44044" spans="27:27">
      <c r="AA44044" s="613"/>
    </row>
    <row r="44045" spans="27:27">
      <c r="AA44045" s="613"/>
    </row>
    <row r="44190" spans="27:27">
      <c r="AA44190" s="613"/>
    </row>
    <row r="44191" spans="27:27">
      <c r="AA44191" s="613"/>
    </row>
    <row r="44336" spans="27:27">
      <c r="AA44336" s="613"/>
    </row>
    <row r="44337" spans="27:27">
      <c r="AA44337" s="613"/>
    </row>
    <row r="44482" spans="27:27">
      <c r="AA44482" s="613"/>
    </row>
    <row r="44483" spans="27:27">
      <c r="AA44483" s="613"/>
    </row>
    <row r="44628" spans="27:27">
      <c r="AA44628" s="613"/>
    </row>
    <row r="44629" spans="27:27">
      <c r="AA44629" s="613"/>
    </row>
    <row r="44774" spans="27:27">
      <c r="AA44774" s="613"/>
    </row>
    <row r="44775" spans="27:27">
      <c r="AA44775" s="613"/>
    </row>
    <row r="44920" spans="27:27">
      <c r="AA44920" s="613"/>
    </row>
    <row r="44921" spans="27:27">
      <c r="AA44921" s="613"/>
    </row>
    <row r="45066" spans="27:27">
      <c r="AA45066" s="613"/>
    </row>
    <row r="45067" spans="27:27">
      <c r="AA45067" s="613"/>
    </row>
    <row r="45212" spans="27:27">
      <c r="AA45212" s="613"/>
    </row>
    <row r="45213" spans="27:27">
      <c r="AA45213" s="613"/>
    </row>
    <row r="45358" spans="27:27">
      <c r="AA45358" s="613"/>
    </row>
    <row r="45359" spans="27:27">
      <c r="AA45359" s="613"/>
    </row>
    <row r="45504" spans="27:27">
      <c r="AA45504" s="613"/>
    </row>
    <row r="45505" spans="27:27">
      <c r="AA45505" s="613"/>
    </row>
    <row r="45650" spans="27:27">
      <c r="AA45650" s="613"/>
    </row>
    <row r="45651" spans="27:27">
      <c r="AA45651" s="613"/>
    </row>
    <row r="45796" spans="27:27">
      <c r="AA45796" s="613"/>
    </row>
    <row r="45797" spans="27:27">
      <c r="AA45797" s="613"/>
    </row>
    <row r="45942" spans="27:27">
      <c r="AA45942" s="613"/>
    </row>
    <row r="45943" spans="27:27">
      <c r="AA45943" s="613"/>
    </row>
    <row r="46088" spans="27:27">
      <c r="AA46088" s="613"/>
    </row>
    <row r="46089" spans="27:27">
      <c r="AA46089" s="613"/>
    </row>
    <row r="46234" spans="27:27">
      <c r="AA46234" s="613"/>
    </row>
    <row r="46235" spans="27:27">
      <c r="AA46235" s="613"/>
    </row>
    <row r="46380" spans="27:27">
      <c r="AA46380" s="613"/>
    </row>
    <row r="46381" spans="27:27">
      <c r="AA46381" s="613"/>
    </row>
    <row r="46526" spans="27:27">
      <c r="AA46526" s="613"/>
    </row>
    <row r="46527" spans="27:27">
      <c r="AA46527" s="613"/>
    </row>
    <row r="46672" spans="27:27">
      <c r="AA46672" s="613"/>
    </row>
    <row r="46673" spans="27:27">
      <c r="AA46673" s="613"/>
    </row>
    <row r="46818" spans="27:27">
      <c r="AA46818" s="613"/>
    </row>
    <row r="46819" spans="27:27">
      <c r="AA46819" s="613"/>
    </row>
    <row r="46964" spans="27:27">
      <c r="AA46964" s="613"/>
    </row>
    <row r="46965" spans="27:27">
      <c r="AA46965" s="613"/>
    </row>
    <row r="47110" spans="27:27">
      <c r="AA47110" s="613"/>
    </row>
    <row r="47111" spans="27:27">
      <c r="AA47111" s="613"/>
    </row>
    <row r="47256" spans="27:27">
      <c r="AA47256" s="613"/>
    </row>
    <row r="47257" spans="27:27">
      <c r="AA47257" s="613"/>
    </row>
    <row r="47402" spans="27:27">
      <c r="AA47402" s="613"/>
    </row>
    <row r="47403" spans="27:27">
      <c r="AA47403" s="613"/>
    </row>
    <row r="47548" spans="27:27">
      <c r="AA47548" s="613"/>
    </row>
    <row r="47549" spans="27:27">
      <c r="AA47549" s="613"/>
    </row>
    <row r="47694" spans="27:27">
      <c r="AA47694" s="613"/>
    </row>
    <row r="47695" spans="27:27">
      <c r="AA47695" s="613"/>
    </row>
    <row r="47840" spans="27:27">
      <c r="AA47840" s="613"/>
    </row>
    <row r="47841" spans="27:27">
      <c r="AA47841" s="613"/>
    </row>
    <row r="47986" spans="27:27">
      <c r="AA47986" s="613"/>
    </row>
    <row r="47987" spans="27:27">
      <c r="AA47987" s="613"/>
    </row>
    <row r="48132" spans="27:27">
      <c r="AA48132" s="613"/>
    </row>
    <row r="48133" spans="27:27">
      <c r="AA48133" s="613"/>
    </row>
    <row r="48278" spans="27:27">
      <c r="AA48278" s="613"/>
    </row>
    <row r="48279" spans="27:27">
      <c r="AA48279" s="613"/>
    </row>
    <row r="48424" spans="27:27">
      <c r="AA48424" s="613"/>
    </row>
    <row r="48425" spans="27:27">
      <c r="AA48425" s="613"/>
    </row>
    <row r="48570" spans="27:27">
      <c r="AA48570" s="613"/>
    </row>
    <row r="48571" spans="27:27">
      <c r="AA48571" s="613"/>
    </row>
    <row r="48716" spans="27:27">
      <c r="AA48716" s="613"/>
    </row>
    <row r="48717" spans="27:27">
      <c r="AA48717" s="613"/>
    </row>
    <row r="48862" spans="27:27">
      <c r="AA48862" s="613"/>
    </row>
    <row r="48863" spans="27:27">
      <c r="AA48863" s="613"/>
    </row>
    <row r="49008" spans="27:27">
      <c r="AA49008" s="613"/>
    </row>
    <row r="49009" spans="27:27">
      <c r="AA49009" s="613"/>
    </row>
    <row r="49154" spans="27:27">
      <c r="AA49154" s="613"/>
    </row>
    <row r="49155" spans="27:27">
      <c r="AA49155" s="613"/>
    </row>
    <row r="49300" spans="27:27">
      <c r="AA49300" s="613"/>
    </row>
    <row r="49301" spans="27:27">
      <c r="AA49301" s="613"/>
    </row>
    <row r="49446" spans="27:27">
      <c r="AA49446" s="613"/>
    </row>
    <row r="49447" spans="27:27">
      <c r="AA49447" s="613"/>
    </row>
    <row r="49592" spans="27:27">
      <c r="AA49592" s="613"/>
    </row>
    <row r="49593" spans="27:27">
      <c r="AA49593" s="613"/>
    </row>
    <row r="49738" spans="27:27">
      <c r="AA49738" s="613"/>
    </row>
    <row r="49739" spans="27:27">
      <c r="AA49739" s="613"/>
    </row>
    <row r="49884" spans="27:27">
      <c r="AA49884" s="613"/>
    </row>
    <row r="49885" spans="27:27">
      <c r="AA49885" s="613"/>
    </row>
    <row r="50030" spans="27:27">
      <c r="AA50030" s="613"/>
    </row>
    <row r="50031" spans="27:27">
      <c r="AA50031" s="613"/>
    </row>
    <row r="50176" spans="27:27">
      <c r="AA50176" s="613"/>
    </row>
    <row r="50177" spans="27:27">
      <c r="AA50177" s="613"/>
    </row>
    <row r="50322" spans="27:27">
      <c r="AA50322" s="613"/>
    </row>
    <row r="50323" spans="27:27">
      <c r="AA50323" s="613"/>
    </row>
    <row r="50468" spans="27:27">
      <c r="AA50468" s="613"/>
    </row>
    <row r="50469" spans="27:27">
      <c r="AA50469" s="613"/>
    </row>
    <row r="50614" spans="27:27">
      <c r="AA50614" s="613"/>
    </row>
    <row r="50615" spans="27:27">
      <c r="AA50615" s="613"/>
    </row>
    <row r="50760" spans="27:27">
      <c r="AA50760" s="613"/>
    </row>
    <row r="50761" spans="27:27">
      <c r="AA50761" s="613"/>
    </row>
    <row r="50906" spans="27:27">
      <c r="AA50906" s="613"/>
    </row>
    <row r="50907" spans="27:27">
      <c r="AA50907" s="613"/>
    </row>
    <row r="51052" spans="27:27">
      <c r="AA51052" s="613"/>
    </row>
    <row r="51053" spans="27:27">
      <c r="AA51053" s="613"/>
    </row>
    <row r="51198" spans="27:27">
      <c r="AA51198" s="613"/>
    </row>
    <row r="51199" spans="27:27">
      <c r="AA51199" s="613"/>
    </row>
    <row r="51344" spans="27:27">
      <c r="AA51344" s="613"/>
    </row>
    <row r="51345" spans="27:27">
      <c r="AA51345" s="613"/>
    </row>
    <row r="51490" spans="27:27">
      <c r="AA51490" s="613"/>
    </row>
    <row r="51491" spans="27:27">
      <c r="AA51491" s="613"/>
    </row>
    <row r="51636" spans="27:27">
      <c r="AA51636" s="613"/>
    </row>
    <row r="51637" spans="27:27">
      <c r="AA51637" s="613"/>
    </row>
    <row r="51782" spans="27:27">
      <c r="AA51782" s="613"/>
    </row>
    <row r="51783" spans="27:27">
      <c r="AA51783" s="613"/>
    </row>
    <row r="51928" spans="27:27">
      <c r="AA51928" s="613"/>
    </row>
    <row r="51929" spans="27:27">
      <c r="AA51929" s="613"/>
    </row>
    <row r="52074" spans="27:27">
      <c r="AA52074" s="613"/>
    </row>
    <row r="52075" spans="27:27">
      <c r="AA52075" s="613"/>
    </row>
    <row r="52220" spans="27:27">
      <c r="AA52220" s="613"/>
    </row>
    <row r="52221" spans="27:27">
      <c r="AA52221" s="613"/>
    </row>
    <row r="52366" spans="27:27">
      <c r="AA52366" s="613"/>
    </row>
    <row r="52367" spans="27:27">
      <c r="AA52367" s="613"/>
    </row>
    <row r="52512" spans="27:27">
      <c r="AA52512" s="613"/>
    </row>
    <row r="52513" spans="27:27">
      <c r="AA52513" s="613"/>
    </row>
    <row r="52658" spans="27:27">
      <c r="AA52658" s="613"/>
    </row>
    <row r="52659" spans="27:27">
      <c r="AA52659" s="613"/>
    </row>
    <row r="52804" spans="27:27">
      <c r="AA52804" s="613"/>
    </row>
    <row r="52805" spans="27:27">
      <c r="AA52805" s="613"/>
    </row>
    <row r="52950" spans="27:27">
      <c r="AA52950" s="613"/>
    </row>
    <row r="52951" spans="27:27">
      <c r="AA52951" s="613"/>
    </row>
    <row r="53096" spans="27:27">
      <c r="AA53096" s="613"/>
    </row>
    <row r="53097" spans="27:27">
      <c r="AA53097" s="613"/>
    </row>
    <row r="53242" spans="27:27">
      <c r="AA53242" s="613"/>
    </row>
    <row r="53243" spans="27:27">
      <c r="AA53243" s="613"/>
    </row>
    <row r="53388" spans="27:27">
      <c r="AA53388" s="613"/>
    </row>
    <row r="53389" spans="27:27">
      <c r="AA53389" s="613"/>
    </row>
    <row r="53534" spans="27:27">
      <c r="AA53534" s="613"/>
    </row>
    <row r="53535" spans="27:27">
      <c r="AA53535" s="613"/>
    </row>
    <row r="53680" spans="27:27">
      <c r="AA53680" s="613"/>
    </row>
    <row r="53681" spans="27:27">
      <c r="AA53681" s="613"/>
    </row>
    <row r="53826" spans="27:27">
      <c r="AA53826" s="613"/>
    </row>
    <row r="53827" spans="27:27">
      <c r="AA53827" s="613"/>
    </row>
    <row r="53972" spans="27:27">
      <c r="AA53972" s="613"/>
    </row>
    <row r="53973" spans="27:27">
      <c r="AA53973" s="613"/>
    </row>
    <row r="54118" spans="27:27">
      <c r="AA54118" s="613"/>
    </row>
    <row r="54119" spans="27:27">
      <c r="AA54119" s="613"/>
    </row>
    <row r="54264" spans="27:27">
      <c r="AA54264" s="613"/>
    </row>
    <row r="54265" spans="27:27">
      <c r="AA54265" s="613"/>
    </row>
    <row r="54410" spans="27:27">
      <c r="AA54410" s="613"/>
    </row>
    <row r="54411" spans="27:27">
      <c r="AA54411" s="613"/>
    </row>
    <row r="54556" spans="27:27">
      <c r="AA54556" s="613"/>
    </row>
    <row r="54557" spans="27:27">
      <c r="AA54557" s="613"/>
    </row>
    <row r="54702" spans="27:27">
      <c r="AA54702" s="613"/>
    </row>
    <row r="54703" spans="27:27">
      <c r="AA54703" s="613"/>
    </row>
    <row r="54848" spans="27:27">
      <c r="AA54848" s="613"/>
    </row>
    <row r="54849" spans="27:27">
      <c r="AA54849" s="613"/>
    </row>
    <row r="54994" spans="27:27">
      <c r="AA54994" s="613"/>
    </row>
    <row r="54995" spans="27:27">
      <c r="AA54995" s="613"/>
    </row>
    <row r="55140" spans="27:27">
      <c r="AA55140" s="613"/>
    </row>
    <row r="55141" spans="27:27">
      <c r="AA55141" s="613"/>
    </row>
    <row r="55286" spans="27:27">
      <c r="AA55286" s="613"/>
    </row>
    <row r="55287" spans="27:27">
      <c r="AA55287" s="613"/>
    </row>
    <row r="55432" spans="27:27">
      <c r="AA55432" s="613"/>
    </row>
    <row r="55433" spans="27:27">
      <c r="AA55433" s="613"/>
    </row>
    <row r="55578" spans="27:27">
      <c r="AA55578" s="613"/>
    </row>
    <row r="55579" spans="27:27">
      <c r="AA55579" s="613"/>
    </row>
    <row r="55724" spans="27:27">
      <c r="AA55724" s="613"/>
    </row>
    <row r="55725" spans="27:27">
      <c r="AA55725" s="613"/>
    </row>
    <row r="55870" spans="27:27">
      <c r="AA55870" s="613"/>
    </row>
    <row r="55871" spans="27:27">
      <c r="AA55871" s="613"/>
    </row>
    <row r="56016" spans="27:27">
      <c r="AA56016" s="613"/>
    </row>
    <row r="56017" spans="27:27">
      <c r="AA56017" s="613"/>
    </row>
    <row r="56162" spans="27:27">
      <c r="AA56162" s="613"/>
    </row>
    <row r="56163" spans="27:27">
      <c r="AA56163" s="613"/>
    </row>
    <row r="56308" spans="27:27">
      <c r="AA56308" s="613"/>
    </row>
    <row r="56309" spans="27:27">
      <c r="AA56309" s="613"/>
    </row>
    <row r="56454" spans="27:27">
      <c r="AA56454" s="613"/>
    </row>
    <row r="56455" spans="27:27">
      <c r="AA56455" s="613"/>
    </row>
    <row r="56600" spans="27:27">
      <c r="AA56600" s="613"/>
    </row>
    <row r="56601" spans="27:27">
      <c r="AA56601" s="613"/>
    </row>
    <row r="56746" spans="27:27">
      <c r="AA56746" s="613"/>
    </row>
    <row r="56747" spans="27:27">
      <c r="AA56747" s="613"/>
    </row>
    <row r="56892" spans="27:27">
      <c r="AA56892" s="613"/>
    </row>
    <row r="56893" spans="27:27">
      <c r="AA56893" s="613"/>
    </row>
    <row r="57038" spans="27:27">
      <c r="AA57038" s="613"/>
    </row>
    <row r="57039" spans="27:27">
      <c r="AA57039" s="613"/>
    </row>
    <row r="57184" spans="27:27">
      <c r="AA57184" s="613"/>
    </row>
    <row r="57185" spans="27:27">
      <c r="AA57185" s="613"/>
    </row>
    <row r="57330" spans="27:27">
      <c r="AA57330" s="613"/>
    </row>
    <row r="57331" spans="27:27">
      <c r="AA57331" s="613"/>
    </row>
    <row r="57476" spans="27:27">
      <c r="AA57476" s="613"/>
    </row>
    <row r="57477" spans="27:27">
      <c r="AA57477" s="613"/>
    </row>
    <row r="57622" spans="27:27">
      <c r="AA57622" s="613"/>
    </row>
    <row r="57623" spans="27:27">
      <c r="AA57623" s="613"/>
    </row>
    <row r="57768" spans="27:27">
      <c r="AA57768" s="613"/>
    </row>
    <row r="57769" spans="27:27">
      <c r="AA57769" s="613"/>
    </row>
    <row r="57914" spans="27:27">
      <c r="AA57914" s="613"/>
    </row>
    <row r="57915" spans="27:27">
      <c r="AA57915" s="613"/>
    </row>
    <row r="58060" spans="27:27">
      <c r="AA58060" s="613"/>
    </row>
    <row r="58061" spans="27:27">
      <c r="AA58061" s="613"/>
    </row>
    <row r="58206" spans="27:27">
      <c r="AA58206" s="613"/>
    </row>
    <row r="58207" spans="27:27">
      <c r="AA58207" s="613"/>
    </row>
    <row r="58352" spans="27:27">
      <c r="AA58352" s="613"/>
    </row>
    <row r="58353" spans="27:27">
      <c r="AA58353" s="613"/>
    </row>
    <row r="58498" spans="27:27">
      <c r="AA58498" s="613"/>
    </row>
    <row r="58499" spans="27:27">
      <c r="AA58499" s="613"/>
    </row>
    <row r="58644" spans="27:27">
      <c r="AA58644" s="613"/>
    </row>
    <row r="58645" spans="27:27">
      <c r="AA58645" s="613"/>
    </row>
    <row r="58790" spans="27:27">
      <c r="AA58790" s="613"/>
    </row>
    <row r="58791" spans="27:27">
      <c r="AA58791" s="613"/>
    </row>
    <row r="58936" spans="27:27">
      <c r="AA58936" s="613"/>
    </row>
    <row r="58937" spans="27:27">
      <c r="AA58937" s="613"/>
    </row>
    <row r="59082" spans="27:27">
      <c r="AA59082" s="613"/>
    </row>
    <row r="59083" spans="27:27">
      <c r="AA59083" s="613"/>
    </row>
    <row r="59228" spans="27:27">
      <c r="AA59228" s="613"/>
    </row>
    <row r="59229" spans="27:27">
      <c r="AA59229" s="613"/>
    </row>
    <row r="59374" spans="27:27">
      <c r="AA59374" s="613"/>
    </row>
    <row r="59375" spans="27:27">
      <c r="AA59375" s="613"/>
    </row>
    <row r="59520" spans="27:27">
      <c r="AA59520" s="613"/>
    </row>
    <row r="59521" spans="27:27">
      <c r="AA59521" s="613"/>
    </row>
    <row r="59666" spans="27:27">
      <c r="AA59666" s="613"/>
    </row>
    <row r="59667" spans="27:27">
      <c r="AA59667" s="613"/>
    </row>
    <row r="59812" spans="27:27">
      <c r="AA59812" s="613"/>
    </row>
    <row r="59813" spans="27:27">
      <c r="AA59813" s="613"/>
    </row>
    <row r="59958" spans="27:27">
      <c r="AA59958" s="613"/>
    </row>
    <row r="59959" spans="27:27">
      <c r="AA59959" s="613"/>
    </row>
    <row r="60104" spans="27:27">
      <c r="AA60104" s="613"/>
    </row>
    <row r="60105" spans="27:27">
      <c r="AA60105" s="613"/>
    </row>
    <row r="60250" spans="27:27">
      <c r="AA60250" s="613"/>
    </row>
    <row r="60251" spans="27:27">
      <c r="AA60251" s="613"/>
    </row>
    <row r="60396" spans="27:27">
      <c r="AA60396" s="613"/>
    </row>
    <row r="60397" spans="27:27">
      <c r="AA60397" s="613"/>
    </row>
    <row r="60542" spans="27:27">
      <c r="AA60542" s="613"/>
    </row>
    <row r="60543" spans="27:27">
      <c r="AA60543" s="613"/>
    </row>
    <row r="60688" spans="27:27">
      <c r="AA60688" s="613"/>
    </row>
    <row r="60689" spans="27:27">
      <c r="AA60689" s="613"/>
    </row>
    <row r="60834" spans="27:27">
      <c r="AA60834" s="613"/>
    </row>
    <row r="60835" spans="27:27">
      <c r="AA60835" s="613"/>
    </row>
    <row r="60980" spans="27:27">
      <c r="AA60980" s="613"/>
    </row>
    <row r="60981" spans="27:27">
      <c r="AA60981" s="613"/>
    </row>
    <row r="61126" spans="27:27">
      <c r="AA61126" s="613"/>
    </row>
    <row r="61127" spans="27:27">
      <c r="AA61127" s="613"/>
    </row>
    <row r="61272" spans="27:27">
      <c r="AA61272" s="613"/>
    </row>
    <row r="61273" spans="27:27">
      <c r="AA61273" s="613"/>
    </row>
    <row r="61418" spans="27:27">
      <c r="AA61418" s="613"/>
    </row>
    <row r="61419" spans="27:27">
      <c r="AA61419" s="613"/>
    </row>
    <row r="61564" spans="27:27">
      <c r="AA61564" s="613"/>
    </row>
    <row r="61565" spans="27:27">
      <c r="AA61565" s="613"/>
    </row>
    <row r="61710" spans="27:27">
      <c r="AA61710" s="613"/>
    </row>
    <row r="61711" spans="27:27">
      <c r="AA61711" s="613"/>
    </row>
    <row r="61856" spans="27:27">
      <c r="AA61856" s="613"/>
    </row>
    <row r="61857" spans="27:27">
      <c r="AA61857" s="613"/>
    </row>
    <row r="62002" spans="27:27">
      <c r="AA62002" s="613"/>
    </row>
    <row r="62003" spans="27:27">
      <c r="AA62003" s="613"/>
    </row>
    <row r="62148" spans="27:27">
      <c r="AA62148" s="613"/>
    </row>
    <row r="62149" spans="27:27">
      <c r="AA62149" s="613"/>
    </row>
    <row r="62294" spans="27:27">
      <c r="AA62294" s="613"/>
    </row>
    <row r="62295" spans="27:27">
      <c r="AA62295" s="613"/>
    </row>
    <row r="62440" spans="27:27">
      <c r="AA62440" s="613"/>
    </row>
    <row r="62441" spans="27:27">
      <c r="AA62441" s="613"/>
    </row>
    <row r="62586" spans="27:27">
      <c r="AA62586" s="613"/>
    </row>
    <row r="62587" spans="27:27">
      <c r="AA62587" s="613"/>
    </row>
    <row r="62732" spans="27:27">
      <c r="AA62732" s="613"/>
    </row>
    <row r="62733" spans="27:27">
      <c r="AA62733" s="613"/>
    </row>
    <row r="62878" spans="27:27">
      <c r="AA62878" s="613"/>
    </row>
    <row r="62879" spans="27:27">
      <c r="AA62879" s="613"/>
    </row>
    <row r="63024" spans="27:27">
      <c r="AA63024" s="613"/>
    </row>
    <row r="63025" spans="27:27">
      <c r="AA63025" s="613"/>
    </row>
    <row r="63170" spans="27:27">
      <c r="AA63170" s="613"/>
    </row>
    <row r="63171" spans="27:27">
      <c r="AA63171" s="613"/>
    </row>
    <row r="63316" spans="27:27">
      <c r="AA63316" s="613"/>
    </row>
    <row r="63317" spans="27:27">
      <c r="AA63317" s="613"/>
    </row>
    <row r="63462" spans="27:27">
      <c r="AA63462" s="613"/>
    </row>
    <row r="63463" spans="27:27">
      <c r="AA63463" s="613"/>
    </row>
    <row r="63608" spans="27:27">
      <c r="AA63608" s="613"/>
    </row>
    <row r="63609" spans="27:27">
      <c r="AA63609" s="613"/>
    </row>
    <row r="63754" spans="27:27">
      <c r="AA63754" s="613"/>
    </row>
    <row r="63755" spans="27:27">
      <c r="AA63755" s="613"/>
    </row>
    <row r="63900" spans="27:27">
      <c r="AA63900" s="613"/>
    </row>
    <row r="63901" spans="27:27">
      <c r="AA63901" s="613"/>
    </row>
    <row r="64046" spans="27:27">
      <c r="AA64046" s="613"/>
    </row>
    <row r="64047" spans="27:27">
      <c r="AA64047" s="613"/>
    </row>
    <row r="64192" spans="27:27">
      <c r="AA64192" s="613"/>
    </row>
    <row r="64193" spans="27:27">
      <c r="AA64193" s="613"/>
    </row>
    <row r="64338" spans="27:27">
      <c r="AA64338" s="613"/>
    </row>
    <row r="64339" spans="27:27">
      <c r="AA64339" s="613"/>
    </row>
    <row r="64484" spans="27:27">
      <c r="AA64484" s="613"/>
    </row>
    <row r="64485" spans="27:27">
      <c r="AA64485" s="613"/>
    </row>
    <row r="64630" spans="27:27">
      <c r="AA64630" s="613"/>
    </row>
    <row r="64631" spans="27:27">
      <c r="AA64631" s="613"/>
    </row>
    <row r="64776" spans="27:27">
      <c r="AA64776" s="613"/>
    </row>
    <row r="64777" spans="27:27">
      <c r="AA64777" s="613"/>
    </row>
    <row r="64922" spans="27:27">
      <c r="AA64922" s="613"/>
    </row>
    <row r="64923" spans="27:27">
      <c r="AA64923" s="613"/>
    </row>
    <row r="65068" spans="27:27">
      <c r="AA65068" s="613"/>
    </row>
    <row r="65069" spans="27:27">
      <c r="AA65069" s="613"/>
    </row>
    <row r="65214" spans="27:27">
      <c r="AA65214" s="613"/>
    </row>
    <row r="65215" spans="27:27">
      <c r="AA65215" s="613"/>
    </row>
    <row r="65360" spans="27:27">
      <c r="AA65360" s="613"/>
    </row>
    <row r="65361" spans="27:27">
      <c r="AA65361" s="613"/>
    </row>
    <row r="65506" spans="27:27">
      <c r="AA65506" s="613"/>
    </row>
    <row r="65507" spans="27:27">
      <c r="AA65507" s="613"/>
    </row>
    <row r="65652" spans="27:27">
      <c r="AA65652" s="613"/>
    </row>
    <row r="65653" spans="27:27">
      <c r="AA65653" s="613"/>
    </row>
    <row r="65798" spans="27:27">
      <c r="AA65798" s="613"/>
    </row>
    <row r="65799" spans="27:27">
      <c r="AA65799" s="613"/>
    </row>
    <row r="65944" spans="27:27">
      <c r="AA65944" s="613"/>
    </row>
    <row r="65945" spans="27:27">
      <c r="AA65945" s="613"/>
    </row>
    <row r="66090" spans="27:27">
      <c r="AA66090" s="613"/>
    </row>
    <row r="66091" spans="27:27">
      <c r="AA66091" s="613"/>
    </row>
    <row r="66236" spans="27:27">
      <c r="AA66236" s="613"/>
    </row>
    <row r="66237" spans="27:27">
      <c r="AA66237" s="613"/>
    </row>
    <row r="66382" spans="27:27">
      <c r="AA66382" s="613"/>
    </row>
    <row r="66383" spans="27:27">
      <c r="AA66383" s="613"/>
    </row>
    <row r="66528" spans="27:27">
      <c r="AA66528" s="613"/>
    </row>
    <row r="66529" spans="27:27">
      <c r="AA66529" s="613"/>
    </row>
    <row r="66674" spans="27:27">
      <c r="AA66674" s="613"/>
    </row>
    <row r="66675" spans="27:27">
      <c r="AA66675" s="613"/>
    </row>
    <row r="66820" spans="27:27">
      <c r="AA66820" s="613"/>
    </row>
    <row r="66821" spans="27:27">
      <c r="AA66821" s="613"/>
    </row>
    <row r="66966" spans="27:27">
      <c r="AA66966" s="613"/>
    </row>
    <row r="66967" spans="27:27">
      <c r="AA66967" s="613"/>
    </row>
    <row r="67112" spans="27:27">
      <c r="AA67112" s="613"/>
    </row>
    <row r="67113" spans="27:27">
      <c r="AA67113" s="613"/>
    </row>
    <row r="67258" spans="27:27">
      <c r="AA67258" s="613"/>
    </row>
    <row r="67259" spans="27:27">
      <c r="AA67259" s="613"/>
    </row>
    <row r="67404" spans="27:27">
      <c r="AA67404" s="613"/>
    </row>
    <row r="67405" spans="27:27">
      <c r="AA67405" s="613"/>
    </row>
    <row r="67550" spans="27:27">
      <c r="AA67550" s="613"/>
    </row>
    <row r="67551" spans="27:27">
      <c r="AA67551" s="613"/>
    </row>
    <row r="67696" spans="27:27">
      <c r="AA67696" s="613"/>
    </row>
    <row r="67697" spans="27:27">
      <c r="AA67697" s="613"/>
    </row>
    <row r="67842" spans="27:27">
      <c r="AA67842" s="613"/>
    </row>
    <row r="67843" spans="27:27">
      <c r="AA67843" s="613"/>
    </row>
    <row r="67988" spans="27:27">
      <c r="AA67988" s="613"/>
    </row>
    <row r="67989" spans="27:27">
      <c r="AA67989" s="613"/>
    </row>
    <row r="68134" spans="27:27">
      <c r="AA68134" s="613"/>
    </row>
    <row r="68135" spans="27:27">
      <c r="AA68135" s="613"/>
    </row>
    <row r="68280" spans="27:27">
      <c r="AA68280" s="613"/>
    </row>
    <row r="68281" spans="27:27">
      <c r="AA68281" s="613"/>
    </row>
    <row r="68426" spans="27:27">
      <c r="AA68426" s="613"/>
    </row>
    <row r="68427" spans="27:27">
      <c r="AA68427" s="613"/>
    </row>
    <row r="68572" spans="27:27">
      <c r="AA68572" s="613"/>
    </row>
    <row r="68573" spans="27:27">
      <c r="AA68573" s="613"/>
    </row>
    <row r="68718" spans="27:27">
      <c r="AA68718" s="613"/>
    </row>
    <row r="68719" spans="27:27">
      <c r="AA68719" s="613"/>
    </row>
    <row r="68864" spans="27:27">
      <c r="AA68864" s="613"/>
    </row>
    <row r="68865" spans="27:27">
      <c r="AA68865" s="613"/>
    </row>
    <row r="69010" spans="27:27">
      <c r="AA69010" s="613"/>
    </row>
    <row r="69011" spans="27:27">
      <c r="AA69011" s="613"/>
    </row>
    <row r="69156" spans="27:27">
      <c r="AA69156" s="613"/>
    </row>
    <row r="69157" spans="27:27">
      <c r="AA69157" s="613"/>
    </row>
    <row r="69302" spans="27:27">
      <c r="AA69302" s="613"/>
    </row>
    <row r="69303" spans="27:27">
      <c r="AA69303" s="613"/>
    </row>
    <row r="69448" spans="27:27">
      <c r="AA69448" s="613"/>
    </row>
    <row r="69449" spans="27:27">
      <c r="AA69449" s="613"/>
    </row>
    <row r="69594" spans="27:27">
      <c r="AA69594" s="613"/>
    </row>
    <row r="69595" spans="27:27">
      <c r="AA69595" s="613"/>
    </row>
    <row r="69740" spans="27:27">
      <c r="AA69740" s="613"/>
    </row>
    <row r="69741" spans="27:27">
      <c r="AA69741" s="613"/>
    </row>
    <row r="69886" spans="27:27">
      <c r="AA69886" s="613"/>
    </row>
    <row r="69887" spans="27:27">
      <c r="AA69887" s="613"/>
    </row>
    <row r="70032" spans="27:27">
      <c r="AA70032" s="613"/>
    </row>
    <row r="70033" spans="27:27">
      <c r="AA70033" s="613"/>
    </row>
    <row r="70178" spans="27:27">
      <c r="AA70178" s="613"/>
    </row>
    <row r="70179" spans="27:27">
      <c r="AA70179" s="613"/>
    </row>
    <row r="70324" spans="27:27">
      <c r="AA70324" s="613"/>
    </row>
    <row r="70325" spans="27:27">
      <c r="AA70325" s="613"/>
    </row>
    <row r="70470" spans="27:27">
      <c r="AA70470" s="613"/>
    </row>
    <row r="70471" spans="27:27">
      <c r="AA70471" s="613"/>
    </row>
    <row r="70616" spans="27:27">
      <c r="AA70616" s="613"/>
    </row>
    <row r="70617" spans="27:27">
      <c r="AA70617" s="613"/>
    </row>
    <row r="70762" spans="27:27">
      <c r="AA70762" s="613"/>
    </row>
    <row r="70763" spans="27:27">
      <c r="AA70763" s="613"/>
    </row>
    <row r="70908" spans="27:27">
      <c r="AA70908" s="613"/>
    </row>
    <row r="70909" spans="27:27">
      <c r="AA70909" s="613"/>
    </row>
    <row r="71054" spans="27:27">
      <c r="AA71054" s="613"/>
    </row>
    <row r="71055" spans="27:27">
      <c r="AA71055" s="613"/>
    </row>
    <row r="71200" spans="27:27">
      <c r="AA71200" s="613"/>
    </row>
    <row r="71201" spans="27:27">
      <c r="AA71201" s="613"/>
    </row>
    <row r="71346" spans="27:27">
      <c r="AA71346" s="613"/>
    </row>
    <row r="71347" spans="27:27">
      <c r="AA71347" s="613"/>
    </row>
    <row r="71492" spans="27:27">
      <c r="AA71492" s="613"/>
    </row>
    <row r="71493" spans="27:27">
      <c r="AA71493" s="613"/>
    </row>
    <row r="71638" spans="27:27">
      <c r="AA71638" s="613"/>
    </row>
    <row r="71639" spans="27:27">
      <c r="AA71639" s="613"/>
    </row>
    <row r="71784" spans="27:27">
      <c r="AA71784" s="613"/>
    </row>
    <row r="71785" spans="27:27">
      <c r="AA71785" s="613"/>
    </row>
    <row r="71930" spans="27:27">
      <c r="AA71930" s="613"/>
    </row>
    <row r="71931" spans="27:27">
      <c r="AA71931" s="613"/>
    </row>
    <row r="72076" spans="27:27">
      <c r="AA72076" s="613"/>
    </row>
    <row r="72077" spans="27:27">
      <c r="AA72077" s="613"/>
    </row>
    <row r="72222" spans="27:27">
      <c r="AA72222" s="613"/>
    </row>
    <row r="72223" spans="27:27">
      <c r="AA72223" s="613"/>
    </row>
    <row r="72368" spans="27:27">
      <c r="AA72368" s="613"/>
    </row>
    <row r="72369" spans="27:27">
      <c r="AA72369" s="613"/>
    </row>
    <row r="72514" spans="27:27">
      <c r="AA72514" s="613"/>
    </row>
    <row r="72515" spans="27:27">
      <c r="AA72515" s="613"/>
    </row>
    <row r="72660" spans="27:27">
      <c r="AA72660" s="613"/>
    </row>
    <row r="72661" spans="27:27">
      <c r="AA72661" s="613"/>
    </row>
    <row r="72806" spans="27:27">
      <c r="AA72806" s="613"/>
    </row>
    <row r="72807" spans="27:27">
      <c r="AA72807" s="613"/>
    </row>
    <row r="72952" spans="27:27">
      <c r="AA72952" s="613"/>
    </row>
    <row r="72953" spans="27:27">
      <c r="AA72953" s="613"/>
    </row>
    <row r="73098" spans="27:27">
      <c r="AA73098" s="613"/>
    </row>
    <row r="73099" spans="27:27">
      <c r="AA73099" s="613"/>
    </row>
    <row r="73244" spans="27:27">
      <c r="AA73244" s="613"/>
    </row>
    <row r="73245" spans="27:27">
      <c r="AA73245" s="613"/>
    </row>
    <row r="73390" spans="27:27">
      <c r="AA73390" s="613"/>
    </row>
    <row r="73391" spans="27:27">
      <c r="AA73391" s="613"/>
    </row>
    <row r="73536" spans="27:27">
      <c r="AA73536" s="613"/>
    </row>
    <row r="73537" spans="27:27">
      <c r="AA73537" s="613"/>
    </row>
    <row r="73682" spans="27:27">
      <c r="AA73682" s="613"/>
    </row>
    <row r="73683" spans="27:27">
      <c r="AA73683" s="613"/>
    </row>
    <row r="73828" spans="27:27">
      <c r="AA73828" s="613"/>
    </row>
    <row r="73829" spans="27:27">
      <c r="AA73829" s="613"/>
    </row>
    <row r="73974" spans="27:27">
      <c r="AA73974" s="613"/>
    </row>
    <row r="73975" spans="27:27">
      <c r="AA73975" s="613"/>
    </row>
    <row r="74120" spans="27:27">
      <c r="AA74120" s="613"/>
    </row>
    <row r="74121" spans="27:27">
      <c r="AA74121" s="613"/>
    </row>
    <row r="74266" spans="27:27">
      <c r="AA74266" s="613"/>
    </row>
    <row r="74267" spans="27:27">
      <c r="AA74267" s="613"/>
    </row>
    <row r="74412" spans="27:27">
      <c r="AA74412" s="613"/>
    </row>
    <row r="74413" spans="27:27">
      <c r="AA74413" s="613"/>
    </row>
    <row r="74558" spans="27:27">
      <c r="AA74558" s="613"/>
    </row>
    <row r="74559" spans="27:27">
      <c r="AA74559" s="613"/>
    </row>
    <row r="74704" spans="27:27">
      <c r="AA74704" s="613"/>
    </row>
    <row r="74705" spans="27:27">
      <c r="AA74705" s="613"/>
    </row>
    <row r="74850" spans="27:27">
      <c r="AA74850" s="613"/>
    </row>
    <row r="74851" spans="27:27">
      <c r="AA74851" s="613"/>
    </row>
    <row r="74996" spans="27:27">
      <c r="AA74996" s="613"/>
    </row>
    <row r="74997" spans="27:27">
      <c r="AA74997" s="613"/>
    </row>
    <row r="75142" spans="27:27">
      <c r="AA75142" s="613"/>
    </row>
    <row r="75143" spans="27:27">
      <c r="AA75143" s="613"/>
    </row>
    <row r="75288" spans="27:27">
      <c r="AA75288" s="613"/>
    </row>
    <row r="75289" spans="27:27">
      <c r="AA75289" s="613"/>
    </row>
    <row r="75434" spans="27:27">
      <c r="AA75434" s="613"/>
    </row>
    <row r="75435" spans="27:27">
      <c r="AA75435" s="613"/>
    </row>
    <row r="75580" spans="27:27">
      <c r="AA75580" s="613"/>
    </row>
    <row r="75581" spans="27:27">
      <c r="AA75581" s="613"/>
    </row>
    <row r="75726" spans="27:27">
      <c r="AA75726" s="613"/>
    </row>
    <row r="75727" spans="27:27">
      <c r="AA75727" s="613"/>
    </row>
    <row r="75872" spans="27:27">
      <c r="AA75872" s="613"/>
    </row>
    <row r="75873" spans="27:27">
      <c r="AA75873" s="613"/>
    </row>
    <row r="76018" spans="27:27">
      <c r="AA76018" s="613"/>
    </row>
    <row r="76019" spans="27:27">
      <c r="AA76019" s="613"/>
    </row>
    <row r="76164" spans="27:27">
      <c r="AA76164" s="613"/>
    </row>
    <row r="76165" spans="27:27">
      <c r="AA76165" s="613"/>
    </row>
    <row r="76310" spans="27:27">
      <c r="AA76310" s="613"/>
    </row>
    <row r="76311" spans="27:27">
      <c r="AA76311" s="613"/>
    </row>
    <row r="76456" spans="27:27">
      <c r="AA76456" s="613"/>
    </row>
    <row r="76457" spans="27:27">
      <c r="AA76457" s="613"/>
    </row>
    <row r="76602" spans="27:27">
      <c r="AA76602" s="613"/>
    </row>
    <row r="76603" spans="27:27">
      <c r="AA76603" s="613"/>
    </row>
    <row r="76748" spans="27:27">
      <c r="AA76748" s="613"/>
    </row>
    <row r="76749" spans="27:27">
      <c r="AA76749" s="613"/>
    </row>
    <row r="76894" spans="27:27">
      <c r="AA76894" s="613"/>
    </row>
    <row r="76895" spans="27:27">
      <c r="AA76895" s="613"/>
    </row>
    <row r="77040" spans="27:27">
      <c r="AA77040" s="613"/>
    </row>
    <row r="77041" spans="27:27">
      <c r="AA77041" s="613"/>
    </row>
    <row r="77186" spans="27:27">
      <c r="AA77186" s="613"/>
    </row>
    <row r="77187" spans="27:27">
      <c r="AA77187" s="613"/>
    </row>
    <row r="77332" spans="27:27">
      <c r="AA77332" s="613"/>
    </row>
    <row r="77333" spans="27:27">
      <c r="AA77333" s="613"/>
    </row>
    <row r="77478" spans="27:27">
      <c r="AA77478" s="613"/>
    </row>
    <row r="77479" spans="27:27">
      <c r="AA77479" s="613"/>
    </row>
    <row r="77624" spans="27:27">
      <c r="AA77624" s="613"/>
    </row>
    <row r="77625" spans="27:27">
      <c r="AA77625" s="613"/>
    </row>
    <row r="77770" spans="27:27">
      <c r="AA77770" s="613"/>
    </row>
    <row r="77771" spans="27:27">
      <c r="AA77771" s="613"/>
    </row>
    <row r="77916" spans="27:27">
      <c r="AA77916" s="613"/>
    </row>
    <row r="77917" spans="27:27">
      <c r="AA77917" s="613"/>
    </row>
    <row r="78062" spans="27:27">
      <c r="AA78062" s="613"/>
    </row>
    <row r="78063" spans="27:27">
      <c r="AA78063" s="613"/>
    </row>
    <row r="78208" spans="27:27">
      <c r="AA78208" s="613"/>
    </row>
    <row r="78209" spans="27:27">
      <c r="AA78209" s="613"/>
    </row>
    <row r="78354" spans="27:27">
      <c r="AA78354" s="613"/>
    </row>
    <row r="78355" spans="27:27">
      <c r="AA78355" s="613"/>
    </row>
    <row r="78500" spans="27:27">
      <c r="AA78500" s="613"/>
    </row>
    <row r="78501" spans="27:27">
      <c r="AA78501" s="613"/>
    </row>
    <row r="78646" spans="27:27">
      <c r="AA78646" s="613"/>
    </row>
    <row r="78647" spans="27:27">
      <c r="AA78647" s="613"/>
    </row>
    <row r="78792" spans="27:27">
      <c r="AA78792" s="613"/>
    </row>
    <row r="78793" spans="27:27">
      <c r="AA78793" s="613"/>
    </row>
    <row r="78938" spans="27:27">
      <c r="AA78938" s="613"/>
    </row>
    <row r="78939" spans="27:27">
      <c r="AA78939" s="613"/>
    </row>
    <row r="79084" spans="27:27">
      <c r="AA79084" s="613"/>
    </row>
    <row r="79085" spans="27:27">
      <c r="AA79085" s="613"/>
    </row>
    <row r="79230" spans="27:27">
      <c r="AA79230" s="613"/>
    </row>
    <row r="79231" spans="27:27">
      <c r="AA79231" s="613"/>
    </row>
    <row r="79376" spans="27:27">
      <c r="AA79376" s="613"/>
    </row>
    <row r="79377" spans="27:27">
      <c r="AA79377" s="613"/>
    </row>
    <row r="79522" spans="27:27">
      <c r="AA79522" s="613"/>
    </row>
    <row r="79523" spans="27:27">
      <c r="AA79523" s="613"/>
    </row>
    <row r="79668" spans="27:27">
      <c r="AA79668" s="613"/>
    </row>
    <row r="79669" spans="27:27">
      <c r="AA79669" s="613"/>
    </row>
    <row r="79814" spans="27:27">
      <c r="AA79814" s="613"/>
    </row>
    <row r="79815" spans="27:27">
      <c r="AA79815" s="613"/>
    </row>
    <row r="79960" spans="27:27">
      <c r="AA79960" s="613"/>
    </row>
    <row r="79961" spans="27:27">
      <c r="AA79961" s="613"/>
    </row>
    <row r="80106" spans="27:27">
      <c r="AA80106" s="613"/>
    </row>
    <row r="80107" spans="27:27">
      <c r="AA80107" s="613"/>
    </row>
    <row r="80252" spans="27:27">
      <c r="AA80252" s="613"/>
    </row>
    <row r="80253" spans="27:27">
      <c r="AA80253" s="613"/>
    </row>
    <row r="80398" spans="27:27">
      <c r="AA80398" s="613"/>
    </row>
    <row r="80399" spans="27:27">
      <c r="AA80399" s="613"/>
    </row>
    <row r="80544" spans="27:27">
      <c r="AA80544" s="613"/>
    </row>
    <row r="80545" spans="27:27">
      <c r="AA80545" s="613"/>
    </row>
    <row r="80690" spans="27:27">
      <c r="AA80690" s="613"/>
    </row>
    <row r="80691" spans="27:27">
      <c r="AA80691" s="613"/>
    </row>
    <row r="80836" spans="27:27">
      <c r="AA80836" s="613"/>
    </row>
    <row r="80837" spans="27:27">
      <c r="AA80837" s="613"/>
    </row>
    <row r="80982" spans="27:27">
      <c r="AA80982" s="613"/>
    </row>
    <row r="80983" spans="27:27">
      <c r="AA80983" s="613"/>
    </row>
    <row r="81128" spans="27:27">
      <c r="AA81128" s="613"/>
    </row>
    <row r="81129" spans="27:27">
      <c r="AA81129" s="613"/>
    </row>
    <row r="81274" spans="27:27">
      <c r="AA81274" s="613"/>
    </row>
    <row r="81275" spans="27:27">
      <c r="AA81275" s="613"/>
    </row>
    <row r="81420" spans="27:27">
      <c r="AA81420" s="613"/>
    </row>
    <row r="81421" spans="27:27">
      <c r="AA81421" s="613"/>
    </row>
    <row r="81566" spans="27:27">
      <c r="AA81566" s="613"/>
    </row>
    <row r="81567" spans="27:27">
      <c r="AA81567" s="613"/>
    </row>
    <row r="81712" spans="27:27">
      <c r="AA81712" s="613"/>
    </row>
    <row r="81713" spans="27:27">
      <c r="AA81713" s="613"/>
    </row>
    <row r="81858" spans="27:27">
      <c r="AA81858" s="613"/>
    </row>
    <row r="81859" spans="27:27">
      <c r="AA81859" s="613"/>
    </row>
    <row r="82004" spans="27:27">
      <c r="AA82004" s="613"/>
    </row>
    <row r="82005" spans="27:27">
      <c r="AA82005" s="613"/>
    </row>
    <row r="82150" spans="27:27">
      <c r="AA82150" s="613"/>
    </row>
    <row r="82151" spans="27:27">
      <c r="AA82151" s="613"/>
    </row>
    <row r="82296" spans="27:27">
      <c r="AA82296" s="613"/>
    </row>
    <row r="82297" spans="27:27">
      <c r="AA82297" s="613"/>
    </row>
    <row r="82442" spans="27:27">
      <c r="AA82442" s="613"/>
    </row>
    <row r="82443" spans="27:27">
      <c r="AA82443" s="613"/>
    </row>
    <row r="82588" spans="27:27">
      <c r="AA82588" s="613"/>
    </row>
    <row r="82589" spans="27:27">
      <c r="AA82589" s="613"/>
    </row>
    <row r="82734" spans="27:27">
      <c r="AA82734" s="613"/>
    </row>
    <row r="82735" spans="27:27">
      <c r="AA82735" s="613"/>
    </row>
    <row r="82880" spans="27:27">
      <c r="AA82880" s="613"/>
    </row>
    <row r="82881" spans="27:27">
      <c r="AA82881" s="613"/>
    </row>
    <row r="83026" spans="27:27">
      <c r="AA83026" s="613"/>
    </row>
    <row r="83027" spans="27:27">
      <c r="AA83027" s="613"/>
    </row>
    <row r="83172" spans="27:27">
      <c r="AA83172" s="613"/>
    </row>
    <row r="83173" spans="27:27">
      <c r="AA83173" s="613"/>
    </row>
    <row r="83318" spans="27:27">
      <c r="AA83318" s="613"/>
    </row>
    <row r="83319" spans="27:27">
      <c r="AA83319" s="613"/>
    </row>
    <row r="83464" spans="27:27">
      <c r="AA83464" s="613"/>
    </row>
    <row r="83465" spans="27:27">
      <c r="AA83465" s="613"/>
    </row>
    <row r="83610" spans="27:27">
      <c r="AA83610" s="613"/>
    </row>
    <row r="83611" spans="27:27">
      <c r="AA83611" s="613"/>
    </row>
    <row r="83756" spans="27:27">
      <c r="AA83756" s="613"/>
    </row>
    <row r="83757" spans="27:27">
      <c r="AA83757" s="613"/>
    </row>
    <row r="83902" spans="27:27">
      <c r="AA83902" s="613"/>
    </row>
    <row r="83903" spans="27:27">
      <c r="AA83903" s="613"/>
    </row>
    <row r="84048" spans="27:27">
      <c r="AA84048" s="613"/>
    </row>
    <row r="84049" spans="27:27">
      <c r="AA84049" s="613"/>
    </row>
    <row r="84194" spans="27:27">
      <c r="AA84194" s="613"/>
    </row>
    <row r="84195" spans="27:27">
      <c r="AA84195" s="613"/>
    </row>
    <row r="84340" spans="27:27">
      <c r="AA84340" s="613"/>
    </row>
    <row r="84341" spans="27:27">
      <c r="AA84341" s="613"/>
    </row>
    <row r="84486" spans="27:27">
      <c r="AA84486" s="613"/>
    </row>
    <row r="84487" spans="27:27">
      <c r="AA84487" s="613"/>
    </row>
    <row r="84632" spans="27:27">
      <c r="AA84632" s="613"/>
    </row>
    <row r="84633" spans="27:27">
      <c r="AA84633" s="613"/>
    </row>
    <row r="84778" spans="27:27">
      <c r="AA84778" s="613"/>
    </row>
    <row r="84779" spans="27:27">
      <c r="AA84779" s="613"/>
    </row>
    <row r="84924" spans="27:27">
      <c r="AA84924" s="613"/>
    </row>
    <row r="84925" spans="27:27">
      <c r="AA84925" s="613"/>
    </row>
    <row r="85070" spans="27:27">
      <c r="AA85070" s="613"/>
    </row>
    <row r="85071" spans="27:27">
      <c r="AA85071" s="613"/>
    </row>
    <row r="85216" spans="27:27">
      <c r="AA85216" s="613"/>
    </row>
    <row r="85217" spans="27:27">
      <c r="AA85217" s="613"/>
    </row>
    <row r="85362" spans="27:27">
      <c r="AA85362" s="613"/>
    </row>
    <row r="85363" spans="27:27">
      <c r="AA85363" s="613"/>
    </row>
    <row r="85508" spans="27:27">
      <c r="AA85508" s="613"/>
    </row>
    <row r="85509" spans="27:27">
      <c r="AA85509" s="613"/>
    </row>
    <row r="85654" spans="27:27">
      <c r="AA85654" s="613"/>
    </row>
    <row r="85655" spans="27:27">
      <c r="AA85655" s="613"/>
    </row>
    <row r="85800" spans="27:27">
      <c r="AA85800" s="613"/>
    </row>
    <row r="85801" spans="27:27">
      <c r="AA85801" s="613"/>
    </row>
    <row r="85946" spans="27:27">
      <c r="AA85946" s="613"/>
    </row>
    <row r="85947" spans="27:27">
      <c r="AA85947" s="613"/>
    </row>
    <row r="86092" spans="27:27">
      <c r="AA86092" s="613"/>
    </row>
    <row r="86093" spans="27:27">
      <c r="AA86093" s="613"/>
    </row>
    <row r="86238" spans="27:27">
      <c r="AA86238" s="613"/>
    </row>
    <row r="86239" spans="27:27">
      <c r="AA86239" s="613"/>
    </row>
    <row r="86384" spans="27:27">
      <c r="AA86384" s="613"/>
    </row>
    <row r="86385" spans="27:27">
      <c r="AA86385" s="613"/>
    </row>
    <row r="86530" spans="27:27">
      <c r="AA86530" s="613"/>
    </row>
    <row r="86531" spans="27:27">
      <c r="AA86531" s="613"/>
    </row>
    <row r="86676" spans="27:27">
      <c r="AA86676" s="613"/>
    </row>
    <row r="86677" spans="27:27">
      <c r="AA86677" s="613"/>
    </row>
    <row r="86822" spans="27:27">
      <c r="AA86822" s="613"/>
    </row>
    <row r="86823" spans="27:27">
      <c r="AA86823" s="613"/>
    </row>
    <row r="86968" spans="27:27">
      <c r="AA86968" s="613"/>
    </row>
    <row r="86969" spans="27:27">
      <c r="AA86969" s="613"/>
    </row>
    <row r="87114" spans="27:27">
      <c r="AA87114" s="613"/>
    </row>
    <row r="87115" spans="27:27">
      <c r="AA87115" s="613"/>
    </row>
    <row r="87260" spans="27:27">
      <c r="AA87260" s="613"/>
    </row>
    <row r="87261" spans="27:27">
      <c r="AA87261" s="613"/>
    </row>
    <row r="87406" spans="27:27">
      <c r="AA87406" s="613"/>
    </row>
    <row r="87407" spans="27:27">
      <c r="AA87407" s="613"/>
    </row>
    <row r="87552" spans="27:27">
      <c r="AA87552" s="613"/>
    </row>
    <row r="87553" spans="27:27">
      <c r="AA87553" s="613"/>
    </row>
    <row r="87698" spans="27:27">
      <c r="AA87698" s="613"/>
    </row>
    <row r="87699" spans="27:27">
      <c r="AA87699" s="613"/>
    </row>
    <row r="87844" spans="27:27">
      <c r="AA87844" s="613"/>
    </row>
    <row r="87845" spans="27:27">
      <c r="AA87845" s="613"/>
    </row>
    <row r="87990" spans="27:27">
      <c r="AA87990" s="613"/>
    </row>
    <row r="87991" spans="27:27">
      <c r="AA87991" s="613"/>
    </row>
    <row r="88136" spans="27:27">
      <c r="AA88136" s="613"/>
    </row>
    <row r="88137" spans="27:27">
      <c r="AA88137" s="613"/>
    </row>
    <row r="88282" spans="27:27">
      <c r="AA88282" s="613"/>
    </row>
    <row r="88283" spans="27:27">
      <c r="AA88283" s="613"/>
    </row>
    <row r="88428" spans="27:27">
      <c r="AA88428" s="613"/>
    </row>
    <row r="88429" spans="27:27">
      <c r="AA88429" s="613"/>
    </row>
    <row r="88574" spans="27:27">
      <c r="AA88574" s="613"/>
    </row>
    <row r="88575" spans="27:27">
      <c r="AA88575" s="613"/>
    </row>
    <row r="88720" spans="27:27">
      <c r="AA88720" s="613"/>
    </row>
    <row r="88721" spans="27:27">
      <c r="AA88721" s="613"/>
    </row>
    <row r="88866" spans="27:27">
      <c r="AA88866" s="613"/>
    </row>
    <row r="88867" spans="27:27">
      <c r="AA88867" s="613"/>
    </row>
    <row r="89012" spans="27:27">
      <c r="AA89012" s="613"/>
    </row>
    <row r="89013" spans="27:27">
      <c r="AA89013" s="613"/>
    </row>
    <row r="89158" spans="27:27">
      <c r="AA89158" s="613"/>
    </row>
    <row r="89159" spans="27:27">
      <c r="AA89159" s="613"/>
    </row>
    <row r="89304" spans="27:27">
      <c r="AA89304" s="613"/>
    </row>
    <row r="89305" spans="27:27">
      <c r="AA89305" s="613"/>
    </row>
    <row r="89450" spans="27:27">
      <c r="AA89450" s="613"/>
    </row>
    <row r="89451" spans="27:27">
      <c r="AA89451" s="613"/>
    </row>
    <row r="89596" spans="27:27">
      <c r="AA89596" s="613"/>
    </row>
    <row r="89597" spans="27:27">
      <c r="AA89597" s="613"/>
    </row>
    <row r="89742" spans="27:27">
      <c r="AA89742" s="613"/>
    </row>
    <row r="89743" spans="27:27">
      <c r="AA89743" s="613"/>
    </row>
    <row r="89888" spans="27:27">
      <c r="AA89888" s="613"/>
    </row>
    <row r="89889" spans="27:27">
      <c r="AA89889" s="613"/>
    </row>
    <row r="90034" spans="27:27">
      <c r="AA90034" s="613"/>
    </row>
    <row r="90035" spans="27:27">
      <c r="AA90035" s="613"/>
    </row>
    <row r="90180" spans="27:27">
      <c r="AA90180" s="613"/>
    </row>
    <row r="90181" spans="27:27">
      <c r="AA90181" s="613"/>
    </row>
    <row r="90326" spans="27:27">
      <c r="AA90326" s="613"/>
    </row>
    <row r="90327" spans="27:27">
      <c r="AA90327" s="613"/>
    </row>
    <row r="90472" spans="27:27">
      <c r="AA90472" s="613"/>
    </row>
    <row r="90473" spans="27:27">
      <c r="AA90473" s="613"/>
    </row>
    <row r="90618" spans="27:27">
      <c r="AA90618" s="613"/>
    </row>
    <row r="90619" spans="27:27">
      <c r="AA90619" s="613"/>
    </row>
    <row r="90764" spans="27:27">
      <c r="AA90764" s="613"/>
    </row>
    <row r="90765" spans="27:27">
      <c r="AA90765" s="613"/>
    </row>
    <row r="90910" spans="27:27">
      <c r="AA90910" s="613"/>
    </row>
    <row r="90911" spans="27:27">
      <c r="AA90911" s="613"/>
    </row>
    <row r="91056" spans="27:27">
      <c r="AA91056" s="613"/>
    </row>
    <row r="91057" spans="27:27">
      <c r="AA91057" s="613"/>
    </row>
    <row r="91202" spans="27:27">
      <c r="AA91202" s="613"/>
    </row>
    <row r="91203" spans="27:27">
      <c r="AA91203" s="613"/>
    </row>
    <row r="91348" spans="27:27">
      <c r="AA91348" s="613"/>
    </row>
    <row r="91349" spans="27:27">
      <c r="AA91349" s="613"/>
    </row>
    <row r="91494" spans="27:27">
      <c r="AA91494" s="613"/>
    </row>
    <row r="91495" spans="27:27">
      <c r="AA91495" s="613"/>
    </row>
    <row r="91640" spans="27:27">
      <c r="AA91640" s="613"/>
    </row>
    <row r="91641" spans="27:27">
      <c r="AA91641" s="613"/>
    </row>
    <row r="91786" spans="27:27">
      <c r="AA91786" s="613"/>
    </row>
    <row r="91787" spans="27:27">
      <c r="AA91787" s="613"/>
    </row>
    <row r="91932" spans="27:27">
      <c r="AA91932" s="613"/>
    </row>
    <row r="91933" spans="27:27">
      <c r="AA91933" s="613"/>
    </row>
    <row r="92078" spans="27:27">
      <c r="AA92078" s="613"/>
    </row>
    <row r="92079" spans="27:27">
      <c r="AA92079" s="613"/>
    </row>
    <row r="92224" spans="27:27">
      <c r="AA92224" s="613"/>
    </row>
    <row r="92225" spans="27:27">
      <c r="AA92225" s="613"/>
    </row>
    <row r="92370" spans="27:27">
      <c r="AA92370" s="613"/>
    </row>
    <row r="92371" spans="27:27">
      <c r="AA92371" s="613"/>
    </row>
    <row r="92516" spans="27:27">
      <c r="AA92516" s="613"/>
    </row>
    <row r="92517" spans="27:27">
      <c r="AA92517" s="613"/>
    </row>
    <row r="92662" spans="27:27">
      <c r="AA92662" s="613"/>
    </row>
    <row r="92663" spans="27:27">
      <c r="AA92663" s="613"/>
    </row>
    <row r="92808" spans="27:27">
      <c r="AA92808" s="613"/>
    </row>
    <row r="92809" spans="27:27">
      <c r="AA92809" s="613"/>
    </row>
    <row r="92954" spans="27:27">
      <c r="AA92954" s="613"/>
    </row>
    <row r="92955" spans="27:27">
      <c r="AA92955" s="613"/>
    </row>
    <row r="93100" spans="27:27">
      <c r="AA93100" s="613"/>
    </row>
    <row r="93101" spans="27:27">
      <c r="AA93101" s="613"/>
    </row>
    <row r="93246" spans="27:27">
      <c r="AA93246" s="613"/>
    </row>
    <row r="93247" spans="27:27">
      <c r="AA93247" s="613"/>
    </row>
    <row r="93392" spans="27:27">
      <c r="AA93392" s="613"/>
    </row>
    <row r="93393" spans="27:27">
      <c r="AA93393" s="613"/>
    </row>
    <row r="93538" spans="27:27">
      <c r="AA93538" s="613"/>
    </row>
    <row r="93539" spans="27:27">
      <c r="AA93539" s="613"/>
    </row>
    <row r="93684" spans="27:27">
      <c r="AA93684" s="613"/>
    </row>
    <row r="93685" spans="27:27">
      <c r="AA93685" s="613"/>
    </row>
    <row r="93830" spans="27:27">
      <c r="AA93830" s="613"/>
    </row>
    <row r="93831" spans="27:27">
      <c r="AA93831" s="613"/>
    </row>
    <row r="93976" spans="27:27">
      <c r="AA93976" s="613"/>
    </row>
    <row r="93977" spans="27:27">
      <c r="AA93977" s="613"/>
    </row>
    <row r="94122" spans="27:27">
      <c r="AA94122" s="613"/>
    </row>
    <row r="94123" spans="27:27">
      <c r="AA94123" s="613"/>
    </row>
    <row r="94268" spans="27:27">
      <c r="AA94268" s="613"/>
    </row>
    <row r="94269" spans="27:27">
      <c r="AA94269" s="613"/>
    </row>
    <row r="94414" spans="27:27">
      <c r="AA94414" s="613"/>
    </row>
    <row r="94415" spans="27:27">
      <c r="AA94415" s="613"/>
    </row>
    <row r="94560" spans="27:27">
      <c r="AA94560" s="613"/>
    </row>
    <row r="94561" spans="27:27">
      <c r="AA94561" s="613"/>
    </row>
    <row r="94706" spans="27:27">
      <c r="AA94706" s="613"/>
    </row>
    <row r="94707" spans="27:27">
      <c r="AA94707" s="613"/>
    </row>
    <row r="94852" spans="27:27">
      <c r="AA94852" s="613"/>
    </row>
    <row r="94853" spans="27:27">
      <c r="AA94853" s="613"/>
    </row>
    <row r="94998" spans="27:27">
      <c r="AA94998" s="613"/>
    </row>
    <row r="94999" spans="27:27">
      <c r="AA94999" s="613"/>
    </row>
    <row r="95144" spans="27:27">
      <c r="AA95144" s="613"/>
    </row>
    <row r="95145" spans="27:27">
      <c r="AA95145" s="613"/>
    </row>
    <row r="95290" spans="27:27">
      <c r="AA95290" s="613"/>
    </row>
    <row r="95291" spans="27:27">
      <c r="AA95291" s="613"/>
    </row>
    <row r="95436" spans="27:27">
      <c r="AA95436" s="613"/>
    </row>
    <row r="95437" spans="27:27">
      <c r="AA95437" s="613"/>
    </row>
    <row r="95582" spans="27:27">
      <c r="AA95582" s="613"/>
    </row>
    <row r="95583" spans="27:27">
      <c r="AA95583" s="613"/>
    </row>
    <row r="95728" spans="27:27">
      <c r="AA95728" s="613"/>
    </row>
    <row r="95729" spans="27:27">
      <c r="AA95729" s="613"/>
    </row>
    <row r="95874" spans="27:27">
      <c r="AA95874" s="613"/>
    </row>
    <row r="95875" spans="27:27">
      <c r="AA95875" s="613"/>
    </row>
    <row r="96020" spans="27:27">
      <c r="AA96020" s="613"/>
    </row>
    <row r="96021" spans="27:27">
      <c r="AA96021" s="613"/>
    </row>
    <row r="96166" spans="27:27">
      <c r="AA96166" s="613"/>
    </row>
    <row r="96167" spans="27:27">
      <c r="AA96167" s="613"/>
    </row>
    <row r="96312" spans="27:27">
      <c r="AA96312" s="613"/>
    </row>
    <row r="96313" spans="27:27">
      <c r="AA96313" s="613"/>
    </row>
    <row r="96458" spans="27:27">
      <c r="AA96458" s="613"/>
    </row>
    <row r="96459" spans="27:27">
      <c r="AA96459" s="613"/>
    </row>
    <row r="96604" spans="27:27">
      <c r="AA96604" s="613"/>
    </row>
    <row r="96605" spans="27:27">
      <c r="AA96605" s="613"/>
    </row>
    <row r="96750" spans="27:27">
      <c r="AA96750" s="613"/>
    </row>
    <row r="96751" spans="27:27">
      <c r="AA96751" s="613"/>
    </row>
    <row r="96896" spans="27:27">
      <c r="AA96896" s="613"/>
    </row>
    <row r="96897" spans="27:27">
      <c r="AA96897" s="613"/>
    </row>
    <row r="97042" spans="27:27">
      <c r="AA97042" s="613"/>
    </row>
    <row r="97043" spans="27:27">
      <c r="AA97043" s="613"/>
    </row>
    <row r="97188" spans="27:27">
      <c r="AA97188" s="613"/>
    </row>
    <row r="97189" spans="27:27">
      <c r="AA97189" s="613"/>
    </row>
    <row r="97334" spans="27:27">
      <c r="AA97334" s="613"/>
    </row>
    <row r="97335" spans="27:27">
      <c r="AA97335" s="613"/>
    </row>
    <row r="97480" spans="27:27">
      <c r="AA97480" s="613"/>
    </row>
    <row r="97481" spans="27:27">
      <c r="AA97481" s="613"/>
    </row>
    <row r="97626" spans="27:27">
      <c r="AA97626" s="613"/>
    </row>
    <row r="97627" spans="27:27">
      <c r="AA97627" s="613"/>
    </row>
    <row r="97772" spans="27:27">
      <c r="AA97772" s="613"/>
    </row>
    <row r="97773" spans="27:27">
      <c r="AA97773" s="613"/>
    </row>
    <row r="97918" spans="27:27">
      <c r="AA97918" s="613"/>
    </row>
    <row r="97919" spans="27:27">
      <c r="AA97919" s="613"/>
    </row>
    <row r="98064" spans="27:27">
      <c r="AA98064" s="613"/>
    </row>
    <row r="98065" spans="27:27">
      <c r="AA98065" s="613"/>
    </row>
    <row r="98210" spans="27:27">
      <c r="AA98210" s="613"/>
    </row>
    <row r="98211" spans="27:27">
      <c r="AA98211" s="613"/>
    </row>
    <row r="98356" spans="27:27">
      <c r="AA98356" s="613"/>
    </row>
    <row r="98357" spans="27:27">
      <c r="AA98357" s="613"/>
    </row>
    <row r="98502" spans="27:27">
      <c r="AA98502" s="613"/>
    </row>
    <row r="98503" spans="27:27">
      <c r="AA98503" s="613"/>
    </row>
    <row r="98648" spans="27:27">
      <c r="AA98648" s="613"/>
    </row>
    <row r="98649" spans="27:27">
      <c r="AA98649" s="613"/>
    </row>
    <row r="98794" spans="27:27">
      <c r="AA98794" s="613"/>
    </row>
    <row r="98795" spans="27:27">
      <c r="AA98795" s="613"/>
    </row>
    <row r="98940" spans="27:27">
      <c r="AA98940" s="613"/>
    </row>
    <row r="98941" spans="27:27">
      <c r="AA98941" s="613"/>
    </row>
    <row r="99086" spans="27:27">
      <c r="AA99086" s="613"/>
    </row>
    <row r="99087" spans="27:27">
      <c r="AA99087" s="613"/>
    </row>
    <row r="99232" spans="27:27">
      <c r="AA99232" s="613"/>
    </row>
    <row r="99233" spans="27:27">
      <c r="AA99233" s="613"/>
    </row>
    <row r="99378" spans="27:27">
      <c r="AA99378" s="613"/>
    </row>
    <row r="99379" spans="27:27">
      <c r="AA99379" s="613"/>
    </row>
    <row r="99524" spans="27:27">
      <c r="AA99524" s="613"/>
    </row>
    <row r="99525" spans="27:27">
      <c r="AA99525" s="613"/>
    </row>
    <row r="99670" spans="27:27">
      <c r="AA99670" s="613"/>
    </row>
    <row r="99671" spans="27:27">
      <c r="AA99671" s="613"/>
    </row>
    <row r="99816" spans="27:27">
      <c r="AA99816" s="613"/>
    </row>
    <row r="99817" spans="27:27">
      <c r="AA99817" s="613"/>
    </row>
    <row r="99962" spans="27:27">
      <c r="AA99962" s="613"/>
    </row>
    <row r="99963" spans="27:27">
      <c r="AA99963" s="613"/>
    </row>
    <row r="100108" spans="27:27">
      <c r="AA100108" s="613"/>
    </row>
    <row r="100109" spans="27:27">
      <c r="AA100109" s="613"/>
    </row>
    <row r="100254" spans="27:27">
      <c r="AA100254" s="613"/>
    </row>
    <row r="100255" spans="27:27">
      <c r="AA100255" s="613"/>
    </row>
    <row r="100400" spans="27:27">
      <c r="AA100400" s="613"/>
    </row>
    <row r="100401" spans="27:27">
      <c r="AA100401" s="613"/>
    </row>
    <row r="100546" spans="27:27">
      <c r="AA100546" s="613"/>
    </row>
    <row r="100547" spans="27:27">
      <c r="AA100547" s="613"/>
    </row>
    <row r="100692" spans="27:27">
      <c r="AA100692" s="613"/>
    </row>
    <row r="100693" spans="27:27">
      <c r="AA100693" s="613"/>
    </row>
    <row r="100838" spans="27:27">
      <c r="AA100838" s="613"/>
    </row>
    <row r="100839" spans="27:27">
      <c r="AA100839" s="613"/>
    </row>
    <row r="100984" spans="27:27">
      <c r="AA100984" s="613"/>
    </row>
    <row r="100985" spans="27:27">
      <c r="AA100985" s="613"/>
    </row>
    <row r="101130" spans="27:27">
      <c r="AA101130" s="613"/>
    </row>
    <row r="101131" spans="27:27">
      <c r="AA101131" s="613"/>
    </row>
    <row r="101276" spans="27:27">
      <c r="AA101276" s="613"/>
    </row>
    <row r="101277" spans="27:27">
      <c r="AA101277" s="613"/>
    </row>
    <row r="101422" spans="27:27">
      <c r="AA101422" s="613"/>
    </row>
    <row r="101423" spans="27:27">
      <c r="AA101423" s="613"/>
    </row>
    <row r="101568" spans="27:27">
      <c r="AA101568" s="613"/>
    </row>
    <row r="101569" spans="27:27">
      <c r="AA101569" s="613"/>
    </row>
    <row r="101714" spans="27:27">
      <c r="AA101714" s="613"/>
    </row>
    <row r="101715" spans="27:27">
      <c r="AA101715" s="613"/>
    </row>
    <row r="101860" spans="27:27">
      <c r="AA101860" s="613"/>
    </row>
    <row r="101861" spans="27:27">
      <c r="AA101861" s="613"/>
    </row>
    <row r="102006" spans="27:27">
      <c r="AA102006" s="613"/>
    </row>
    <row r="102007" spans="27:27">
      <c r="AA102007" s="613"/>
    </row>
    <row r="102152" spans="27:27">
      <c r="AA102152" s="613"/>
    </row>
    <row r="102153" spans="27:27">
      <c r="AA102153" s="613"/>
    </row>
    <row r="102298" spans="27:27">
      <c r="AA102298" s="613"/>
    </row>
    <row r="102299" spans="27:27">
      <c r="AA102299" s="613"/>
    </row>
    <row r="102444" spans="27:27">
      <c r="AA102444" s="613"/>
    </row>
    <row r="102445" spans="27:27">
      <c r="AA102445" s="613"/>
    </row>
    <row r="102590" spans="27:27">
      <c r="AA102590" s="613"/>
    </row>
    <row r="102591" spans="27:27">
      <c r="AA102591" s="613"/>
    </row>
    <row r="102736" spans="27:27">
      <c r="AA102736" s="613"/>
    </row>
    <row r="102737" spans="27:27">
      <c r="AA102737" s="613"/>
    </row>
    <row r="102882" spans="27:27">
      <c r="AA102882" s="613"/>
    </row>
    <row r="102883" spans="27:27">
      <c r="AA102883" s="613"/>
    </row>
    <row r="103028" spans="27:27">
      <c r="AA103028" s="613"/>
    </row>
    <row r="103029" spans="27:27">
      <c r="AA103029" s="613"/>
    </row>
    <row r="103174" spans="27:27">
      <c r="AA103174" s="613"/>
    </row>
    <row r="103175" spans="27:27">
      <c r="AA103175" s="613"/>
    </row>
    <row r="103320" spans="27:27">
      <c r="AA103320" s="613"/>
    </row>
    <row r="103321" spans="27:27">
      <c r="AA103321" s="613"/>
    </row>
    <row r="103466" spans="27:27">
      <c r="AA103466" s="613"/>
    </row>
    <row r="103467" spans="27:27">
      <c r="AA103467" s="613"/>
    </row>
    <row r="103612" spans="27:27">
      <c r="AA103612" s="613"/>
    </row>
    <row r="103613" spans="27:27">
      <c r="AA103613" s="613"/>
    </row>
    <row r="103758" spans="27:27">
      <c r="AA103758" s="613"/>
    </row>
    <row r="103759" spans="27:27">
      <c r="AA103759" s="613"/>
    </row>
    <row r="103904" spans="27:27">
      <c r="AA103904" s="613"/>
    </row>
    <row r="103905" spans="27:27">
      <c r="AA103905" s="613"/>
    </row>
    <row r="104050" spans="27:27">
      <c r="AA104050" s="613"/>
    </row>
    <row r="104051" spans="27:27">
      <c r="AA104051" s="613"/>
    </row>
    <row r="104196" spans="27:27">
      <c r="AA104196" s="613"/>
    </row>
    <row r="104197" spans="27:27">
      <c r="AA104197" s="613"/>
    </row>
    <row r="104342" spans="27:27">
      <c r="AA104342" s="613"/>
    </row>
    <row r="104343" spans="27:27">
      <c r="AA104343" s="613"/>
    </row>
    <row r="104488" spans="27:27">
      <c r="AA104488" s="613"/>
    </row>
    <row r="104489" spans="27:27">
      <c r="AA104489" s="613"/>
    </row>
    <row r="104634" spans="27:27">
      <c r="AA104634" s="613"/>
    </row>
    <row r="104635" spans="27:27">
      <c r="AA104635" s="613"/>
    </row>
    <row r="104780" spans="27:27">
      <c r="AA104780" s="613"/>
    </row>
    <row r="104781" spans="27:27">
      <c r="AA104781" s="613"/>
    </row>
    <row r="104926" spans="27:27">
      <c r="AA104926" s="613"/>
    </row>
    <row r="104927" spans="27:27">
      <c r="AA104927" s="613"/>
    </row>
    <row r="105072" spans="27:27">
      <c r="AA105072" s="613"/>
    </row>
    <row r="105073" spans="27:27">
      <c r="AA105073" s="613"/>
    </row>
    <row r="105218" spans="27:27">
      <c r="AA105218" s="613"/>
    </row>
    <row r="105219" spans="27:27">
      <c r="AA105219" s="613"/>
    </row>
    <row r="105364" spans="27:27">
      <c r="AA105364" s="613"/>
    </row>
    <row r="105365" spans="27:27">
      <c r="AA105365" s="613"/>
    </row>
    <row r="105510" spans="27:27">
      <c r="AA105510" s="613"/>
    </row>
    <row r="105511" spans="27:27">
      <c r="AA105511" s="613"/>
    </row>
    <row r="105656" spans="27:27">
      <c r="AA105656" s="613"/>
    </row>
    <row r="105657" spans="27:27">
      <c r="AA105657" s="613"/>
    </row>
    <row r="105802" spans="27:27">
      <c r="AA105802" s="613"/>
    </row>
    <row r="105803" spans="27:27">
      <c r="AA105803" s="613"/>
    </row>
    <row r="105948" spans="27:27">
      <c r="AA105948" s="613"/>
    </row>
    <row r="105949" spans="27:27">
      <c r="AA105949" s="613"/>
    </row>
    <row r="106094" spans="27:27">
      <c r="AA106094" s="613"/>
    </row>
    <row r="106095" spans="27:27">
      <c r="AA106095" s="613"/>
    </row>
    <row r="106240" spans="27:27">
      <c r="AA106240" s="613"/>
    </row>
    <row r="106241" spans="27:27">
      <c r="AA106241" s="613"/>
    </row>
    <row r="106386" spans="27:27">
      <c r="AA106386" s="613"/>
    </row>
    <row r="106387" spans="27:27">
      <c r="AA106387" s="613"/>
    </row>
    <row r="106532" spans="27:27">
      <c r="AA106532" s="613"/>
    </row>
    <row r="106533" spans="27:27">
      <c r="AA106533" s="613"/>
    </row>
    <row r="106678" spans="27:27">
      <c r="AA106678" s="613"/>
    </row>
    <row r="106679" spans="27:27">
      <c r="AA106679" s="613"/>
    </row>
    <row r="106824" spans="27:27">
      <c r="AA106824" s="613"/>
    </row>
    <row r="106825" spans="27:27">
      <c r="AA106825" s="613"/>
    </row>
    <row r="106970" spans="27:27">
      <c r="AA106970" s="613"/>
    </row>
    <row r="106971" spans="27:27">
      <c r="AA106971" s="613"/>
    </row>
    <row r="107116" spans="27:27">
      <c r="AA107116" s="613"/>
    </row>
    <row r="107117" spans="27:27">
      <c r="AA107117" s="613"/>
    </row>
    <row r="107262" spans="27:27">
      <c r="AA107262" s="613"/>
    </row>
    <row r="107263" spans="27:27">
      <c r="AA107263" s="613"/>
    </row>
    <row r="107408" spans="27:27">
      <c r="AA107408" s="613"/>
    </row>
    <row r="107409" spans="27:27">
      <c r="AA107409" s="613"/>
    </row>
    <row r="107554" spans="27:27">
      <c r="AA107554" s="613"/>
    </row>
    <row r="107555" spans="27:27">
      <c r="AA107555" s="613"/>
    </row>
    <row r="107700" spans="27:27">
      <c r="AA107700" s="613"/>
    </row>
    <row r="107701" spans="27:27">
      <c r="AA107701" s="613"/>
    </row>
    <row r="107846" spans="27:27">
      <c r="AA107846" s="613"/>
    </row>
    <row r="107847" spans="27:27">
      <c r="AA107847" s="613"/>
    </row>
    <row r="107992" spans="27:27">
      <c r="AA107992" s="613"/>
    </row>
    <row r="107993" spans="27:27">
      <c r="AA107993" s="613"/>
    </row>
    <row r="108138" spans="27:27">
      <c r="AA108138" s="613"/>
    </row>
    <row r="108139" spans="27:27">
      <c r="AA108139" s="613"/>
    </row>
    <row r="108284" spans="27:27">
      <c r="AA108284" s="613"/>
    </row>
    <row r="108285" spans="27:27">
      <c r="AA108285" s="613"/>
    </row>
    <row r="108430" spans="27:27">
      <c r="AA108430" s="613"/>
    </row>
    <row r="108431" spans="27:27">
      <c r="AA108431" s="613"/>
    </row>
    <row r="108576" spans="27:27">
      <c r="AA108576" s="613"/>
    </row>
    <row r="108577" spans="27:27">
      <c r="AA108577" s="613"/>
    </row>
    <row r="108722" spans="27:27">
      <c r="AA108722" s="613"/>
    </row>
    <row r="108723" spans="27:27">
      <c r="AA108723" s="613"/>
    </row>
    <row r="108868" spans="27:27">
      <c r="AA108868" s="613"/>
    </row>
    <row r="108869" spans="27:27">
      <c r="AA108869" s="613"/>
    </row>
    <row r="109014" spans="27:27">
      <c r="AA109014" s="613"/>
    </row>
    <row r="109015" spans="27:27">
      <c r="AA109015" s="613"/>
    </row>
    <row r="109160" spans="27:27">
      <c r="AA109160" s="613"/>
    </row>
    <row r="109161" spans="27:27">
      <c r="AA109161" s="613"/>
    </row>
    <row r="109306" spans="27:27">
      <c r="AA109306" s="613"/>
    </row>
    <row r="109307" spans="27:27">
      <c r="AA109307" s="613"/>
    </row>
    <row r="109452" spans="27:27">
      <c r="AA109452" s="613"/>
    </row>
    <row r="109453" spans="27:27">
      <c r="AA109453" s="613"/>
    </row>
    <row r="109598" spans="27:27">
      <c r="AA109598" s="613"/>
    </row>
    <row r="109599" spans="27:27">
      <c r="AA109599" s="613"/>
    </row>
    <row r="109744" spans="27:27">
      <c r="AA109744" s="613"/>
    </row>
    <row r="109745" spans="27:27">
      <c r="AA109745" s="613"/>
    </row>
    <row r="109890" spans="27:27">
      <c r="AA109890" s="613"/>
    </row>
    <row r="109891" spans="27:27">
      <c r="AA109891" s="613"/>
    </row>
    <row r="110036" spans="27:27">
      <c r="AA110036" s="613"/>
    </row>
    <row r="110037" spans="27:27">
      <c r="AA110037" s="613"/>
    </row>
    <row r="110182" spans="27:27">
      <c r="AA110182" s="613"/>
    </row>
    <row r="110183" spans="27:27">
      <c r="AA110183" s="613"/>
    </row>
    <row r="110328" spans="27:27">
      <c r="AA110328" s="613"/>
    </row>
    <row r="110329" spans="27:27">
      <c r="AA110329" s="613"/>
    </row>
    <row r="110474" spans="27:27">
      <c r="AA110474" s="613"/>
    </row>
    <row r="110475" spans="27:27">
      <c r="AA110475" s="613"/>
    </row>
    <row r="110620" spans="27:27">
      <c r="AA110620" s="613"/>
    </row>
    <row r="110621" spans="27:27">
      <c r="AA110621" s="613"/>
    </row>
    <row r="110766" spans="27:27">
      <c r="AA110766" s="613"/>
    </row>
    <row r="110767" spans="27:27">
      <c r="AA110767" s="613"/>
    </row>
    <row r="110912" spans="27:27">
      <c r="AA110912" s="613"/>
    </row>
    <row r="110913" spans="27:27">
      <c r="AA110913" s="613"/>
    </row>
    <row r="111058" spans="27:27">
      <c r="AA111058" s="613"/>
    </row>
    <row r="111059" spans="27:27">
      <c r="AA111059" s="613"/>
    </row>
    <row r="111204" spans="27:27">
      <c r="AA111204" s="613"/>
    </row>
    <row r="111205" spans="27:27">
      <c r="AA111205" s="613"/>
    </row>
    <row r="111350" spans="27:27">
      <c r="AA111350" s="613"/>
    </row>
    <row r="111351" spans="27:27">
      <c r="AA111351" s="613"/>
    </row>
    <row r="111496" spans="27:27">
      <c r="AA111496" s="613"/>
    </row>
    <row r="111497" spans="27:27">
      <c r="AA111497" s="613"/>
    </row>
    <row r="111642" spans="27:27">
      <c r="AA111642" s="613"/>
    </row>
    <row r="111643" spans="27:27">
      <c r="AA111643" s="613"/>
    </row>
    <row r="111788" spans="27:27">
      <c r="AA111788" s="613"/>
    </row>
    <row r="111789" spans="27:27">
      <c r="AA111789" s="613"/>
    </row>
    <row r="111934" spans="27:27">
      <c r="AA111934" s="613"/>
    </row>
    <row r="111935" spans="27:27">
      <c r="AA111935" s="613"/>
    </row>
    <row r="112080" spans="27:27">
      <c r="AA112080" s="613"/>
    </row>
    <row r="112081" spans="27:27">
      <c r="AA112081" s="613"/>
    </row>
    <row r="112226" spans="27:27">
      <c r="AA112226" s="613"/>
    </row>
    <row r="112227" spans="27:27">
      <c r="AA112227" s="613"/>
    </row>
    <row r="112372" spans="27:27">
      <c r="AA112372" s="613"/>
    </row>
    <row r="112373" spans="27:27">
      <c r="AA112373" s="613"/>
    </row>
    <row r="112518" spans="27:27">
      <c r="AA112518" s="613"/>
    </row>
    <row r="112519" spans="27:27">
      <c r="AA112519" s="613"/>
    </row>
    <row r="112664" spans="27:27">
      <c r="AA112664" s="613"/>
    </row>
    <row r="112665" spans="27:27">
      <c r="AA112665" s="613"/>
    </row>
    <row r="112810" spans="27:27">
      <c r="AA112810" s="613"/>
    </row>
    <row r="112811" spans="27:27">
      <c r="AA112811" s="613"/>
    </row>
    <row r="112956" spans="27:27">
      <c r="AA112956" s="613"/>
    </row>
    <row r="112957" spans="27:27">
      <c r="AA112957" s="613"/>
    </row>
    <row r="113102" spans="27:27">
      <c r="AA113102" s="613"/>
    </row>
    <row r="113103" spans="27:27">
      <c r="AA113103" s="613"/>
    </row>
    <row r="113248" spans="27:27">
      <c r="AA113248" s="613"/>
    </row>
    <row r="113249" spans="27:27">
      <c r="AA113249" s="613"/>
    </row>
    <row r="113394" spans="27:27">
      <c r="AA113394" s="613"/>
    </row>
    <row r="113395" spans="27:27">
      <c r="AA113395" s="613"/>
    </row>
    <row r="113540" spans="27:27">
      <c r="AA113540" s="613"/>
    </row>
    <row r="113541" spans="27:27">
      <c r="AA113541" s="613"/>
    </row>
    <row r="113686" spans="27:27">
      <c r="AA113686" s="613"/>
    </row>
    <row r="113687" spans="27:27">
      <c r="AA113687" s="613"/>
    </row>
    <row r="113832" spans="27:27">
      <c r="AA113832" s="613"/>
    </row>
    <row r="113833" spans="27:27">
      <c r="AA113833" s="613"/>
    </row>
    <row r="113978" spans="27:27">
      <c r="AA113978" s="613"/>
    </row>
    <row r="113979" spans="27:27">
      <c r="AA113979" s="613"/>
    </row>
    <row r="114124" spans="27:27">
      <c r="AA114124" s="613"/>
    </row>
    <row r="114125" spans="27:27">
      <c r="AA114125" s="613"/>
    </row>
    <row r="114270" spans="27:27">
      <c r="AA114270" s="613"/>
    </row>
    <row r="114271" spans="27:27">
      <c r="AA114271" s="613"/>
    </row>
    <row r="114416" spans="27:27">
      <c r="AA114416" s="613"/>
    </row>
    <row r="114417" spans="27:27">
      <c r="AA114417" s="613"/>
    </row>
    <row r="114562" spans="27:27">
      <c r="AA114562" s="613"/>
    </row>
    <row r="114563" spans="27:27">
      <c r="AA114563" s="613"/>
    </row>
    <row r="114708" spans="27:27">
      <c r="AA114708" s="613"/>
    </row>
    <row r="114709" spans="27:27">
      <c r="AA114709" s="613"/>
    </row>
    <row r="114854" spans="27:27">
      <c r="AA114854" s="613"/>
    </row>
    <row r="114855" spans="27:27">
      <c r="AA114855" s="613"/>
    </row>
    <row r="115000" spans="27:27">
      <c r="AA115000" s="613"/>
    </row>
    <row r="115001" spans="27:27">
      <c r="AA115001" s="613"/>
    </row>
    <row r="115146" spans="27:27">
      <c r="AA115146" s="613"/>
    </row>
    <row r="115147" spans="27:27">
      <c r="AA115147" s="613"/>
    </row>
    <row r="115292" spans="27:27">
      <c r="AA115292" s="613"/>
    </row>
    <row r="115293" spans="27:27">
      <c r="AA115293" s="613"/>
    </row>
    <row r="115438" spans="27:27">
      <c r="AA115438" s="613"/>
    </row>
    <row r="115439" spans="27:27">
      <c r="AA115439" s="613"/>
    </row>
    <row r="115584" spans="27:27">
      <c r="AA115584" s="613"/>
    </row>
    <row r="115585" spans="27:27">
      <c r="AA115585" s="613"/>
    </row>
    <row r="115730" spans="27:27">
      <c r="AA115730" s="613"/>
    </row>
    <row r="115731" spans="27:27">
      <c r="AA115731" s="613"/>
    </row>
    <row r="115876" spans="27:27">
      <c r="AA115876" s="613"/>
    </row>
    <row r="115877" spans="27:27">
      <c r="AA115877" s="613"/>
    </row>
    <row r="116022" spans="27:27">
      <c r="AA116022" s="613"/>
    </row>
    <row r="116023" spans="27:27">
      <c r="AA116023" s="613"/>
    </row>
    <row r="116168" spans="27:27">
      <c r="AA116168" s="613"/>
    </row>
    <row r="116169" spans="27:27">
      <c r="AA116169" s="613"/>
    </row>
    <row r="116314" spans="27:27">
      <c r="AA116314" s="613"/>
    </row>
    <row r="116315" spans="27:27">
      <c r="AA116315" s="613"/>
    </row>
    <row r="116460" spans="27:27">
      <c r="AA116460" s="613"/>
    </row>
    <row r="116461" spans="27:27">
      <c r="AA116461" s="613"/>
    </row>
    <row r="116606" spans="27:27">
      <c r="AA116606" s="613"/>
    </row>
    <row r="116607" spans="27:27">
      <c r="AA116607" s="613"/>
    </row>
    <row r="116752" spans="27:27">
      <c r="AA116752" s="613"/>
    </row>
    <row r="116753" spans="27:27">
      <c r="AA116753" s="613"/>
    </row>
    <row r="116898" spans="27:27">
      <c r="AA116898" s="613"/>
    </row>
    <row r="116899" spans="27:27">
      <c r="AA116899" s="613"/>
    </row>
    <row r="117044" spans="27:27">
      <c r="AA117044" s="613"/>
    </row>
    <row r="117045" spans="27:27">
      <c r="AA117045" s="613"/>
    </row>
    <row r="117190" spans="27:27">
      <c r="AA117190" s="613"/>
    </row>
    <row r="117191" spans="27:27">
      <c r="AA117191" s="613"/>
    </row>
    <row r="117336" spans="27:27">
      <c r="AA117336" s="613"/>
    </row>
    <row r="117337" spans="27:27">
      <c r="AA117337" s="613"/>
    </row>
    <row r="117482" spans="27:27">
      <c r="AA117482" s="613"/>
    </row>
    <row r="117483" spans="27:27">
      <c r="AA117483" s="613"/>
    </row>
    <row r="117628" spans="27:27">
      <c r="AA117628" s="613"/>
    </row>
    <row r="117629" spans="27:27">
      <c r="AA117629" s="613"/>
    </row>
    <row r="117774" spans="27:27">
      <c r="AA117774" s="613"/>
    </row>
    <row r="117775" spans="27:27">
      <c r="AA117775" s="613"/>
    </row>
    <row r="117920" spans="27:27">
      <c r="AA117920" s="613"/>
    </row>
    <row r="117921" spans="27:27">
      <c r="AA117921" s="613"/>
    </row>
    <row r="118066" spans="27:27">
      <c r="AA118066" s="613"/>
    </row>
    <row r="118067" spans="27:27">
      <c r="AA118067" s="613"/>
    </row>
    <row r="118212" spans="27:27">
      <c r="AA118212" s="613"/>
    </row>
    <row r="118213" spans="27:27">
      <c r="AA118213" s="613"/>
    </row>
    <row r="118358" spans="27:27">
      <c r="AA118358" s="613"/>
    </row>
    <row r="118359" spans="27:27">
      <c r="AA118359" s="613"/>
    </row>
    <row r="118504" spans="27:27">
      <c r="AA118504" s="613"/>
    </row>
    <row r="118505" spans="27:27">
      <c r="AA118505" s="613"/>
    </row>
    <row r="118650" spans="27:27">
      <c r="AA118650" s="613"/>
    </row>
    <row r="118651" spans="27:27">
      <c r="AA118651" s="613"/>
    </row>
    <row r="118796" spans="27:27">
      <c r="AA118796" s="613"/>
    </row>
    <row r="118797" spans="27:27">
      <c r="AA118797" s="613"/>
    </row>
    <row r="118942" spans="27:27">
      <c r="AA118942" s="613"/>
    </row>
    <row r="118943" spans="27:27">
      <c r="AA118943" s="613"/>
    </row>
    <row r="119088" spans="27:27">
      <c r="AA119088" s="613"/>
    </row>
    <row r="119089" spans="27:27">
      <c r="AA119089" s="613"/>
    </row>
    <row r="119234" spans="27:27">
      <c r="AA119234" s="613"/>
    </row>
    <row r="119235" spans="27:27">
      <c r="AA119235" s="613"/>
    </row>
    <row r="119380" spans="27:27">
      <c r="AA119380" s="613"/>
    </row>
    <row r="119381" spans="27:27">
      <c r="AA119381" s="613"/>
    </row>
    <row r="119526" spans="27:27">
      <c r="AA119526" s="613"/>
    </row>
    <row r="119527" spans="27:27">
      <c r="AA119527" s="613"/>
    </row>
    <row r="119672" spans="27:27">
      <c r="AA119672" s="613"/>
    </row>
    <row r="119673" spans="27:27">
      <c r="AA119673" s="613"/>
    </row>
    <row r="119818" spans="27:27">
      <c r="AA119818" s="613"/>
    </row>
    <row r="119819" spans="27:27">
      <c r="AA119819" s="613"/>
    </row>
    <row r="119964" spans="27:27">
      <c r="AA119964" s="613"/>
    </row>
    <row r="119965" spans="27:27">
      <c r="AA119965" s="613"/>
    </row>
    <row r="120110" spans="27:27">
      <c r="AA120110" s="613"/>
    </row>
    <row r="120111" spans="27:27">
      <c r="AA120111" s="613"/>
    </row>
    <row r="120256" spans="27:27">
      <c r="AA120256" s="613"/>
    </row>
    <row r="120257" spans="27:27">
      <c r="AA120257" s="613"/>
    </row>
    <row r="120402" spans="27:27">
      <c r="AA120402" s="613"/>
    </row>
    <row r="120403" spans="27:27">
      <c r="AA120403" s="613"/>
    </row>
    <row r="120548" spans="27:27">
      <c r="AA120548" s="613"/>
    </row>
    <row r="120549" spans="27:27">
      <c r="AA120549" s="613"/>
    </row>
    <row r="120694" spans="27:27">
      <c r="AA120694" s="613"/>
    </row>
    <row r="120695" spans="27:27">
      <c r="AA120695" s="613"/>
    </row>
    <row r="120840" spans="27:27">
      <c r="AA120840" s="613"/>
    </row>
    <row r="120841" spans="27:27">
      <c r="AA120841" s="613"/>
    </row>
    <row r="120986" spans="27:27">
      <c r="AA120986" s="613"/>
    </row>
    <row r="120987" spans="27:27">
      <c r="AA120987" s="613"/>
    </row>
    <row r="121132" spans="27:27">
      <c r="AA121132" s="613"/>
    </row>
    <row r="121133" spans="27:27">
      <c r="AA121133" s="613"/>
    </row>
    <row r="121278" spans="27:27">
      <c r="AA121278" s="613"/>
    </row>
    <row r="121279" spans="27:27">
      <c r="AA121279" s="613"/>
    </row>
    <row r="121424" spans="27:27">
      <c r="AA121424" s="613"/>
    </row>
    <row r="121425" spans="27:27">
      <c r="AA121425" s="613"/>
    </row>
    <row r="121570" spans="27:27">
      <c r="AA121570" s="613"/>
    </row>
    <row r="121571" spans="27:27">
      <c r="AA121571" s="613"/>
    </row>
    <row r="121716" spans="27:27">
      <c r="AA121716" s="613"/>
    </row>
    <row r="121717" spans="27:27">
      <c r="AA121717" s="613"/>
    </row>
    <row r="121862" spans="27:27">
      <c r="AA121862" s="613"/>
    </row>
    <row r="121863" spans="27:27">
      <c r="AA121863" s="613"/>
    </row>
    <row r="122008" spans="27:27">
      <c r="AA122008" s="613"/>
    </row>
    <row r="122009" spans="27:27">
      <c r="AA122009" s="613"/>
    </row>
    <row r="122154" spans="27:27">
      <c r="AA122154" s="613"/>
    </row>
    <row r="122155" spans="27:27">
      <c r="AA122155" s="613"/>
    </row>
    <row r="122300" spans="27:27">
      <c r="AA122300" s="613"/>
    </row>
    <row r="122301" spans="27:27">
      <c r="AA122301" s="613"/>
    </row>
    <row r="122446" spans="27:27">
      <c r="AA122446" s="613"/>
    </row>
    <row r="122447" spans="27:27">
      <c r="AA122447" s="613"/>
    </row>
    <row r="122592" spans="27:27">
      <c r="AA122592" s="613"/>
    </row>
    <row r="122593" spans="27:27">
      <c r="AA122593" s="613"/>
    </row>
    <row r="122738" spans="27:27">
      <c r="AA122738" s="613"/>
    </row>
    <row r="122739" spans="27:27">
      <c r="AA122739" s="613"/>
    </row>
    <row r="122884" spans="27:27">
      <c r="AA122884" s="613"/>
    </row>
    <row r="122885" spans="27:27">
      <c r="AA122885" s="613"/>
    </row>
    <row r="123030" spans="27:27">
      <c r="AA123030" s="613"/>
    </row>
    <row r="123031" spans="27:27">
      <c r="AA123031" s="613"/>
    </row>
    <row r="123176" spans="27:27">
      <c r="AA123176" s="613"/>
    </row>
    <row r="123177" spans="27:27">
      <c r="AA123177" s="613"/>
    </row>
    <row r="123322" spans="27:27">
      <c r="AA123322" s="613"/>
    </row>
    <row r="123323" spans="27:27">
      <c r="AA123323" s="613"/>
    </row>
    <row r="123468" spans="27:27">
      <c r="AA123468" s="613"/>
    </row>
    <row r="123469" spans="27:27">
      <c r="AA123469" s="613"/>
    </row>
    <row r="123614" spans="27:27">
      <c r="AA123614" s="613"/>
    </row>
    <row r="123615" spans="27:27">
      <c r="AA123615" s="613"/>
    </row>
    <row r="123760" spans="27:27">
      <c r="AA123760" s="613"/>
    </row>
    <row r="123761" spans="27:27">
      <c r="AA123761" s="613"/>
    </row>
    <row r="123906" spans="27:27">
      <c r="AA123906" s="613"/>
    </row>
    <row r="123907" spans="27:27">
      <c r="AA123907" s="613"/>
    </row>
    <row r="124052" spans="27:27">
      <c r="AA124052" s="613"/>
    </row>
    <row r="124053" spans="27:27">
      <c r="AA124053" s="613"/>
    </row>
    <row r="124198" spans="27:27">
      <c r="AA124198" s="613"/>
    </row>
    <row r="124199" spans="27:27">
      <c r="AA124199" s="613"/>
    </row>
    <row r="124344" spans="27:27">
      <c r="AA124344" s="613"/>
    </row>
    <row r="124345" spans="27:27">
      <c r="AA124345" s="613"/>
    </row>
    <row r="124490" spans="27:27">
      <c r="AA124490" s="613"/>
    </row>
    <row r="124491" spans="27:27">
      <c r="AA124491" s="613"/>
    </row>
    <row r="124636" spans="27:27">
      <c r="AA124636" s="613"/>
    </row>
    <row r="124637" spans="27:27">
      <c r="AA124637" s="613"/>
    </row>
    <row r="124782" spans="27:27">
      <c r="AA124782" s="613"/>
    </row>
    <row r="124783" spans="27:27">
      <c r="AA124783" s="613"/>
    </row>
    <row r="124928" spans="27:27">
      <c r="AA124928" s="613"/>
    </row>
    <row r="124929" spans="27:27">
      <c r="AA124929" s="613"/>
    </row>
    <row r="125074" spans="27:27">
      <c r="AA125074" s="613"/>
    </row>
    <row r="125075" spans="27:27">
      <c r="AA125075" s="613"/>
    </row>
    <row r="125220" spans="27:27">
      <c r="AA125220" s="613"/>
    </row>
    <row r="125221" spans="27:27">
      <c r="AA125221" s="613"/>
    </row>
    <row r="125366" spans="27:27">
      <c r="AA125366" s="613"/>
    </row>
    <row r="125367" spans="27:27">
      <c r="AA125367" s="613"/>
    </row>
    <row r="125512" spans="27:27">
      <c r="AA125512" s="613"/>
    </row>
    <row r="125513" spans="27:27">
      <c r="AA125513" s="613"/>
    </row>
    <row r="125658" spans="27:27">
      <c r="AA125658" s="613"/>
    </row>
    <row r="125659" spans="27:27">
      <c r="AA125659" s="613"/>
    </row>
    <row r="125804" spans="27:27">
      <c r="AA125804" s="613"/>
    </row>
    <row r="125805" spans="27:27">
      <c r="AA125805" s="613"/>
    </row>
    <row r="125950" spans="27:27">
      <c r="AA125950" s="613"/>
    </row>
    <row r="125951" spans="27:27">
      <c r="AA125951" s="613"/>
    </row>
    <row r="126096" spans="27:27">
      <c r="AA126096" s="613"/>
    </row>
    <row r="126097" spans="27:27">
      <c r="AA126097" s="613"/>
    </row>
    <row r="126242" spans="27:27">
      <c r="AA126242" s="613"/>
    </row>
    <row r="126243" spans="27:27">
      <c r="AA126243" s="613"/>
    </row>
    <row r="126388" spans="27:27">
      <c r="AA126388" s="613"/>
    </row>
    <row r="126389" spans="27:27">
      <c r="AA126389" s="613"/>
    </row>
    <row r="126534" spans="27:27">
      <c r="AA126534" s="613"/>
    </row>
    <row r="126535" spans="27:27">
      <c r="AA126535" s="613"/>
    </row>
    <row r="126680" spans="27:27">
      <c r="AA126680" s="613"/>
    </row>
    <row r="126681" spans="27:27">
      <c r="AA126681" s="613"/>
    </row>
    <row r="126826" spans="27:27">
      <c r="AA126826" s="613"/>
    </row>
    <row r="126827" spans="27:27">
      <c r="AA126827" s="613"/>
    </row>
    <row r="126972" spans="27:27">
      <c r="AA126972" s="613"/>
    </row>
    <row r="126973" spans="27:27">
      <c r="AA126973" s="613"/>
    </row>
    <row r="127118" spans="27:27">
      <c r="AA127118" s="613"/>
    </row>
    <row r="127119" spans="27:27">
      <c r="AA127119" s="613"/>
    </row>
    <row r="127264" spans="27:27">
      <c r="AA127264" s="613"/>
    </row>
    <row r="127265" spans="27:27">
      <c r="AA127265" s="613"/>
    </row>
    <row r="127410" spans="27:27">
      <c r="AA127410" s="613"/>
    </row>
    <row r="127411" spans="27:27">
      <c r="AA127411" s="613"/>
    </row>
    <row r="127556" spans="27:27">
      <c r="AA127556" s="613"/>
    </row>
    <row r="127557" spans="27:27">
      <c r="AA127557" s="613"/>
    </row>
    <row r="127702" spans="27:27">
      <c r="AA127702" s="613"/>
    </row>
    <row r="127703" spans="27:27">
      <c r="AA127703" s="613"/>
    </row>
    <row r="127848" spans="27:27">
      <c r="AA127848" s="613"/>
    </row>
    <row r="127849" spans="27:27">
      <c r="AA127849" s="613"/>
    </row>
    <row r="127994" spans="27:27">
      <c r="AA127994" s="613"/>
    </row>
    <row r="127995" spans="27:27">
      <c r="AA127995" s="613"/>
    </row>
    <row r="128140" spans="27:27">
      <c r="AA128140" s="613"/>
    </row>
    <row r="128141" spans="27:27">
      <c r="AA128141" s="613"/>
    </row>
    <row r="128286" spans="27:27">
      <c r="AA128286" s="613"/>
    </row>
    <row r="128287" spans="27:27">
      <c r="AA128287" s="613"/>
    </row>
    <row r="128432" spans="27:27">
      <c r="AA128432" s="613"/>
    </row>
    <row r="128433" spans="27:27">
      <c r="AA128433" s="613"/>
    </row>
    <row r="128578" spans="27:27">
      <c r="AA128578" s="613"/>
    </row>
    <row r="128579" spans="27:27">
      <c r="AA128579" s="613"/>
    </row>
    <row r="128724" spans="27:27">
      <c r="AA128724" s="613"/>
    </row>
    <row r="128725" spans="27:27">
      <c r="AA128725" s="613"/>
    </row>
    <row r="128870" spans="27:27">
      <c r="AA128870" s="613"/>
    </row>
    <row r="128871" spans="27:27">
      <c r="AA128871" s="613"/>
    </row>
    <row r="129016" spans="27:27">
      <c r="AA129016" s="613"/>
    </row>
    <row r="129017" spans="27:27">
      <c r="AA129017" s="613"/>
    </row>
    <row r="129162" spans="27:27">
      <c r="AA129162" s="613"/>
    </row>
    <row r="129163" spans="27:27">
      <c r="AA129163" s="613"/>
    </row>
    <row r="129308" spans="27:27">
      <c r="AA129308" s="613"/>
    </row>
    <row r="129309" spans="27:27">
      <c r="AA129309" s="613"/>
    </row>
    <row r="129454" spans="27:27">
      <c r="AA129454" s="613"/>
    </row>
    <row r="129455" spans="27:27">
      <c r="AA129455" s="613"/>
    </row>
    <row r="129600" spans="27:27">
      <c r="AA129600" s="613"/>
    </row>
    <row r="129601" spans="27:27">
      <c r="AA129601" s="613"/>
    </row>
    <row r="129746" spans="27:27">
      <c r="AA129746" s="613"/>
    </row>
    <row r="129747" spans="27:27">
      <c r="AA129747" s="613"/>
    </row>
    <row r="129892" spans="27:27">
      <c r="AA129892" s="613"/>
    </row>
    <row r="129893" spans="27:27">
      <c r="AA129893" s="613"/>
    </row>
    <row r="130038" spans="27:27">
      <c r="AA130038" s="613"/>
    </row>
    <row r="130039" spans="27:27">
      <c r="AA130039" s="613"/>
    </row>
    <row r="130184" spans="27:27">
      <c r="AA130184" s="613"/>
    </row>
    <row r="130185" spans="27:27">
      <c r="AA130185" s="613"/>
    </row>
    <row r="130330" spans="27:27">
      <c r="AA130330" s="613"/>
    </row>
    <row r="130331" spans="27:27">
      <c r="AA130331" s="613"/>
    </row>
    <row r="130476" spans="27:27">
      <c r="AA130476" s="613"/>
    </row>
    <row r="130477" spans="27:27">
      <c r="AA130477" s="613"/>
    </row>
    <row r="130622" spans="27:27">
      <c r="AA130622" s="613"/>
    </row>
    <row r="130623" spans="27:27">
      <c r="AA130623" s="613"/>
    </row>
    <row r="130768" spans="27:27">
      <c r="AA130768" s="613"/>
    </row>
    <row r="130769" spans="27:27">
      <c r="AA130769" s="613"/>
    </row>
    <row r="130914" spans="27:27">
      <c r="AA130914" s="613"/>
    </row>
    <row r="130915" spans="27:27">
      <c r="AA130915" s="613"/>
    </row>
    <row r="131060" spans="27:27">
      <c r="AA131060" s="613"/>
    </row>
    <row r="131061" spans="27:27">
      <c r="AA131061" s="613"/>
    </row>
    <row r="131206" spans="27:27">
      <c r="AA131206" s="613"/>
    </row>
    <row r="131207" spans="27:27">
      <c r="AA131207" s="613"/>
    </row>
    <row r="131352" spans="27:27">
      <c r="AA131352" s="613"/>
    </row>
    <row r="131353" spans="27:27">
      <c r="AA131353" s="613"/>
    </row>
    <row r="131498" spans="27:27">
      <c r="AA131498" s="613"/>
    </row>
    <row r="131499" spans="27:27">
      <c r="AA131499" s="613"/>
    </row>
    <row r="131644" spans="27:27">
      <c r="AA131644" s="613"/>
    </row>
    <row r="131645" spans="27:27">
      <c r="AA131645" s="613"/>
    </row>
    <row r="131790" spans="27:27">
      <c r="AA131790" s="613"/>
    </row>
    <row r="131791" spans="27:27">
      <c r="AA131791" s="613"/>
    </row>
    <row r="131936" spans="27:27">
      <c r="AA131936" s="613"/>
    </row>
    <row r="131937" spans="27:27">
      <c r="AA131937" s="613"/>
    </row>
    <row r="132082" spans="27:27">
      <c r="AA132082" s="613"/>
    </row>
    <row r="132083" spans="27:27">
      <c r="AA132083" s="613"/>
    </row>
    <row r="132228" spans="27:27">
      <c r="AA132228" s="613"/>
    </row>
    <row r="132229" spans="27:27">
      <c r="AA132229" s="613"/>
    </row>
    <row r="132374" spans="27:27">
      <c r="AA132374" s="613"/>
    </row>
    <row r="132375" spans="27:27">
      <c r="AA132375" s="613"/>
    </row>
    <row r="132520" spans="27:27">
      <c r="AA132520" s="613"/>
    </row>
    <row r="132521" spans="27:27">
      <c r="AA132521" s="613"/>
    </row>
    <row r="132666" spans="27:27">
      <c r="AA132666" s="613"/>
    </row>
    <row r="132667" spans="27:27">
      <c r="AA132667" s="613"/>
    </row>
    <row r="132812" spans="27:27">
      <c r="AA132812" s="613"/>
    </row>
    <row r="132813" spans="27:27">
      <c r="AA132813" s="613"/>
    </row>
    <row r="132958" spans="27:27">
      <c r="AA132958" s="613"/>
    </row>
    <row r="132959" spans="27:27">
      <c r="AA132959" s="613"/>
    </row>
    <row r="133104" spans="27:27">
      <c r="AA133104" s="613"/>
    </row>
    <row r="133105" spans="27:27">
      <c r="AA133105" s="613"/>
    </row>
    <row r="133250" spans="27:27">
      <c r="AA133250" s="613"/>
    </row>
    <row r="133251" spans="27:27">
      <c r="AA133251" s="613"/>
    </row>
    <row r="133396" spans="27:27">
      <c r="AA133396" s="613"/>
    </row>
    <row r="133397" spans="27:27">
      <c r="AA133397" s="613"/>
    </row>
    <row r="133542" spans="27:27">
      <c r="AA133542" s="613"/>
    </row>
    <row r="133543" spans="27:27">
      <c r="AA133543" s="613"/>
    </row>
    <row r="133688" spans="27:27">
      <c r="AA133688" s="613"/>
    </row>
    <row r="133689" spans="27:27">
      <c r="AA133689" s="613"/>
    </row>
    <row r="133834" spans="27:27">
      <c r="AA133834" s="613"/>
    </row>
    <row r="133835" spans="27:27">
      <c r="AA133835" s="613"/>
    </row>
    <row r="133980" spans="27:27">
      <c r="AA133980" s="613"/>
    </row>
    <row r="133981" spans="27:27">
      <c r="AA133981" s="613"/>
    </row>
    <row r="134126" spans="27:27">
      <c r="AA134126" s="613"/>
    </row>
    <row r="134127" spans="27:27">
      <c r="AA134127" s="613"/>
    </row>
    <row r="134272" spans="27:27">
      <c r="AA134272" s="613"/>
    </row>
    <row r="134273" spans="27:27">
      <c r="AA134273" s="613"/>
    </row>
    <row r="134418" spans="27:27">
      <c r="AA134418" s="613"/>
    </row>
    <row r="134419" spans="27:27">
      <c r="AA134419" s="613"/>
    </row>
    <row r="134564" spans="27:27">
      <c r="AA134564" s="613"/>
    </row>
    <row r="134565" spans="27:27">
      <c r="AA134565" s="613"/>
    </row>
    <row r="134710" spans="27:27">
      <c r="AA134710" s="613"/>
    </row>
    <row r="134711" spans="27:27">
      <c r="AA134711" s="613"/>
    </row>
    <row r="134856" spans="27:27">
      <c r="AA134856" s="613"/>
    </row>
    <row r="134857" spans="27:27">
      <c r="AA134857" s="613"/>
    </row>
    <row r="135002" spans="27:27">
      <c r="AA135002" s="613"/>
    </row>
    <row r="135003" spans="27:27">
      <c r="AA135003" s="613"/>
    </row>
    <row r="135148" spans="27:27">
      <c r="AA135148" s="613"/>
    </row>
    <row r="135149" spans="27:27">
      <c r="AA135149" s="613"/>
    </row>
    <row r="135294" spans="27:27">
      <c r="AA135294" s="613"/>
    </row>
    <row r="135295" spans="27:27">
      <c r="AA135295" s="613"/>
    </row>
    <row r="135440" spans="27:27">
      <c r="AA135440" s="613"/>
    </row>
    <row r="135441" spans="27:27">
      <c r="AA135441" s="613"/>
    </row>
    <row r="135586" spans="27:27">
      <c r="AA135586" s="613"/>
    </row>
    <row r="135587" spans="27:27">
      <c r="AA135587" s="613"/>
    </row>
    <row r="135732" spans="27:27">
      <c r="AA135732" s="613"/>
    </row>
    <row r="135733" spans="27:27">
      <c r="AA135733" s="613"/>
    </row>
    <row r="135878" spans="27:27">
      <c r="AA135878" s="613"/>
    </row>
    <row r="135879" spans="27:27">
      <c r="AA135879" s="613"/>
    </row>
    <row r="136024" spans="27:27">
      <c r="AA136024" s="613"/>
    </row>
    <row r="136025" spans="27:27">
      <c r="AA136025" s="613"/>
    </row>
    <row r="136170" spans="27:27">
      <c r="AA136170" s="613"/>
    </row>
    <row r="136171" spans="27:27">
      <c r="AA136171" s="613"/>
    </row>
    <row r="136316" spans="27:27">
      <c r="AA136316" s="613"/>
    </row>
    <row r="136317" spans="27:27">
      <c r="AA136317" s="613"/>
    </row>
    <row r="136462" spans="27:27">
      <c r="AA136462" s="613"/>
    </row>
    <row r="136463" spans="27:27">
      <c r="AA136463" s="613"/>
    </row>
    <row r="136608" spans="27:27">
      <c r="AA136608" s="613"/>
    </row>
    <row r="136609" spans="27:27">
      <c r="AA136609" s="613"/>
    </row>
    <row r="136754" spans="27:27">
      <c r="AA136754" s="613"/>
    </row>
    <row r="136755" spans="27:27">
      <c r="AA136755" s="613"/>
    </row>
    <row r="136900" spans="27:27">
      <c r="AA136900" s="613"/>
    </row>
    <row r="136901" spans="27:27">
      <c r="AA136901" s="613"/>
    </row>
    <row r="137046" spans="27:27">
      <c r="AA137046" s="613"/>
    </row>
    <row r="137047" spans="27:27">
      <c r="AA137047" s="613"/>
    </row>
    <row r="137192" spans="27:27">
      <c r="AA137192" s="613"/>
    </row>
    <row r="137193" spans="27:27">
      <c r="AA137193" s="613"/>
    </row>
    <row r="137338" spans="27:27">
      <c r="AA137338" s="613"/>
    </row>
    <row r="137339" spans="27:27">
      <c r="AA137339" s="613"/>
    </row>
    <row r="137484" spans="27:27">
      <c r="AA137484" s="613"/>
    </row>
    <row r="137485" spans="27:27">
      <c r="AA137485" s="613"/>
    </row>
    <row r="137630" spans="27:27">
      <c r="AA137630" s="613"/>
    </row>
    <row r="137631" spans="27:27">
      <c r="AA137631" s="613"/>
    </row>
    <row r="137776" spans="27:27">
      <c r="AA137776" s="613"/>
    </row>
    <row r="137777" spans="27:27">
      <c r="AA137777" s="613"/>
    </row>
    <row r="137922" spans="27:27">
      <c r="AA137922" s="613"/>
    </row>
    <row r="137923" spans="27:27">
      <c r="AA137923" s="613"/>
    </row>
    <row r="138068" spans="27:27">
      <c r="AA138068" s="613"/>
    </row>
    <row r="138069" spans="27:27">
      <c r="AA138069" s="613"/>
    </row>
    <row r="138214" spans="27:27">
      <c r="AA138214" s="613"/>
    </row>
    <row r="138215" spans="27:27">
      <c r="AA138215" s="613"/>
    </row>
    <row r="138360" spans="27:27">
      <c r="AA138360" s="613"/>
    </row>
    <row r="138361" spans="27:27">
      <c r="AA138361" s="613"/>
    </row>
    <row r="138506" spans="27:27">
      <c r="AA138506" s="613"/>
    </row>
    <row r="138507" spans="27:27">
      <c r="AA138507" s="613"/>
    </row>
    <row r="138652" spans="27:27">
      <c r="AA138652" s="613"/>
    </row>
    <row r="138653" spans="27:27">
      <c r="AA138653" s="613"/>
    </row>
    <row r="138798" spans="27:27">
      <c r="AA138798" s="613"/>
    </row>
    <row r="138799" spans="27:27">
      <c r="AA138799" s="613"/>
    </row>
    <row r="138944" spans="27:27">
      <c r="AA138944" s="613"/>
    </row>
    <row r="138945" spans="27:27">
      <c r="AA138945" s="613"/>
    </row>
    <row r="139090" spans="27:27">
      <c r="AA139090" s="613"/>
    </row>
    <row r="139091" spans="27:27">
      <c r="AA139091" s="613"/>
    </row>
    <row r="139236" spans="27:27">
      <c r="AA139236" s="613"/>
    </row>
    <row r="139237" spans="27:27">
      <c r="AA139237" s="613"/>
    </row>
    <row r="139382" spans="27:27">
      <c r="AA139382" s="613"/>
    </row>
    <row r="139383" spans="27:27">
      <c r="AA139383" s="613"/>
    </row>
    <row r="139528" spans="27:27">
      <c r="AA139528" s="613"/>
    </row>
    <row r="139529" spans="27:27">
      <c r="AA139529" s="613"/>
    </row>
    <row r="139674" spans="27:27">
      <c r="AA139674" s="613"/>
    </row>
    <row r="139675" spans="27:27">
      <c r="AA139675" s="613"/>
    </row>
    <row r="139820" spans="27:27">
      <c r="AA139820" s="613"/>
    </row>
    <row r="139821" spans="27:27">
      <c r="AA139821" s="613"/>
    </row>
    <row r="139966" spans="27:27">
      <c r="AA139966" s="613"/>
    </row>
    <row r="139967" spans="27:27">
      <c r="AA139967" s="613"/>
    </row>
    <row r="140112" spans="27:27">
      <c r="AA140112" s="613"/>
    </row>
    <row r="140113" spans="27:27">
      <c r="AA140113" s="613"/>
    </row>
    <row r="140258" spans="27:27">
      <c r="AA140258" s="613"/>
    </row>
    <row r="140259" spans="27:27">
      <c r="AA140259" s="613"/>
    </row>
    <row r="140404" spans="27:27">
      <c r="AA140404" s="613"/>
    </row>
    <row r="140405" spans="27:27">
      <c r="AA140405" s="613"/>
    </row>
    <row r="140550" spans="27:27">
      <c r="AA140550" s="613"/>
    </row>
    <row r="140551" spans="27:27">
      <c r="AA140551" s="613"/>
    </row>
    <row r="140696" spans="27:27">
      <c r="AA140696" s="613"/>
    </row>
    <row r="140697" spans="27:27">
      <c r="AA140697" s="613"/>
    </row>
    <row r="140842" spans="27:27">
      <c r="AA140842" s="613"/>
    </row>
    <row r="140843" spans="27:27">
      <c r="AA140843" s="613"/>
    </row>
    <row r="140988" spans="27:27">
      <c r="AA140988" s="613"/>
    </row>
    <row r="140989" spans="27:27">
      <c r="AA140989" s="613"/>
    </row>
    <row r="141134" spans="27:27">
      <c r="AA141134" s="613"/>
    </row>
    <row r="141135" spans="27:27">
      <c r="AA141135" s="613"/>
    </row>
    <row r="141280" spans="27:27">
      <c r="AA141280" s="613"/>
    </row>
    <row r="141281" spans="27:27">
      <c r="AA141281" s="613"/>
    </row>
    <row r="141426" spans="27:27">
      <c r="AA141426" s="613"/>
    </row>
    <row r="141427" spans="27:27">
      <c r="AA141427" s="613"/>
    </row>
    <row r="141572" spans="27:27">
      <c r="AA141572" s="613"/>
    </row>
    <row r="141573" spans="27:27">
      <c r="AA141573" s="613"/>
    </row>
    <row r="141718" spans="27:27">
      <c r="AA141718" s="613"/>
    </row>
    <row r="141719" spans="27:27">
      <c r="AA141719" s="613"/>
    </row>
    <row r="141864" spans="27:27">
      <c r="AA141864" s="613"/>
    </row>
    <row r="141865" spans="27:27">
      <c r="AA141865" s="613"/>
    </row>
    <row r="142010" spans="27:27">
      <c r="AA142010" s="613"/>
    </row>
    <row r="142011" spans="27:27">
      <c r="AA142011" s="613"/>
    </row>
    <row r="142156" spans="27:27">
      <c r="AA142156" s="613"/>
    </row>
    <row r="142157" spans="27:27">
      <c r="AA142157" s="613"/>
    </row>
    <row r="142302" spans="27:27">
      <c r="AA142302" s="613"/>
    </row>
    <row r="142303" spans="27:27">
      <c r="AA142303" s="613"/>
    </row>
    <row r="142448" spans="27:27">
      <c r="AA142448" s="613"/>
    </row>
    <row r="142449" spans="27:27">
      <c r="AA142449" s="613"/>
    </row>
    <row r="142594" spans="27:27">
      <c r="AA142594" s="613"/>
    </row>
    <row r="142595" spans="27:27">
      <c r="AA142595" s="613"/>
    </row>
    <row r="142740" spans="27:27">
      <c r="AA142740" s="613"/>
    </row>
    <row r="142741" spans="27:27">
      <c r="AA142741" s="613"/>
    </row>
    <row r="142886" spans="27:27">
      <c r="AA142886" s="613"/>
    </row>
    <row r="142887" spans="27:27">
      <c r="AA142887" s="613"/>
    </row>
    <row r="143032" spans="27:27">
      <c r="AA143032" s="613"/>
    </row>
    <row r="143033" spans="27:27">
      <c r="AA143033" s="613"/>
    </row>
    <row r="143178" spans="27:27">
      <c r="AA143178" s="613"/>
    </row>
    <row r="143179" spans="27:27">
      <c r="AA143179" s="613"/>
    </row>
    <row r="143324" spans="27:27">
      <c r="AA143324" s="613"/>
    </row>
    <row r="143325" spans="27:27">
      <c r="AA143325" s="613"/>
    </row>
    <row r="143470" spans="27:27">
      <c r="AA143470" s="613"/>
    </row>
    <row r="143471" spans="27:27">
      <c r="AA143471" s="613"/>
    </row>
    <row r="143616" spans="27:27">
      <c r="AA143616" s="613"/>
    </row>
    <row r="143617" spans="27:27">
      <c r="AA143617" s="613"/>
    </row>
    <row r="143762" spans="27:27">
      <c r="AA143762" s="613"/>
    </row>
    <row r="143763" spans="27:27">
      <c r="AA143763" s="613"/>
    </row>
    <row r="143908" spans="27:27">
      <c r="AA143908" s="613"/>
    </row>
    <row r="143909" spans="27:27">
      <c r="AA143909" s="613"/>
    </row>
    <row r="144054" spans="27:27">
      <c r="AA144054" s="613"/>
    </row>
    <row r="144055" spans="27:27">
      <c r="AA144055" s="613"/>
    </row>
    <row r="144200" spans="27:27">
      <c r="AA144200" s="613"/>
    </row>
    <row r="144201" spans="27:27">
      <c r="AA144201" s="613"/>
    </row>
    <row r="144346" spans="27:27">
      <c r="AA144346" s="613"/>
    </row>
    <row r="144347" spans="27:27">
      <c r="AA144347" s="613"/>
    </row>
    <row r="144492" spans="27:27">
      <c r="AA144492" s="613"/>
    </row>
    <row r="144493" spans="27:27">
      <c r="AA144493" s="613"/>
    </row>
    <row r="144638" spans="27:27">
      <c r="AA144638" s="613"/>
    </row>
    <row r="144639" spans="27:27">
      <c r="AA144639" s="613"/>
    </row>
    <row r="144784" spans="27:27">
      <c r="AA144784" s="613"/>
    </row>
    <row r="144785" spans="27:27">
      <c r="AA144785" s="613"/>
    </row>
    <row r="144930" spans="27:27">
      <c r="AA144930" s="613"/>
    </row>
    <row r="144931" spans="27:27">
      <c r="AA144931" s="613"/>
    </row>
    <row r="145076" spans="27:27">
      <c r="AA145076" s="613"/>
    </row>
    <row r="145077" spans="27:27">
      <c r="AA145077" s="613"/>
    </row>
    <row r="145222" spans="27:27">
      <c r="AA145222" s="613"/>
    </row>
    <row r="145223" spans="27:27">
      <c r="AA145223" s="613"/>
    </row>
    <row r="145368" spans="27:27">
      <c r="AA145368" s="613"/>
    </row>
    <row r="145369" spans="27:27">
      <c r="AA145369" s="613"/>
    </row>
    <row r="145514" spans="27:27">
      <c r="AA145514" s="613"/>
    </row>
    <row r="145515" spans="27:27">
      <c r="AA145515" s="613"/>
    </row>
    <row r="145660" spans="27:27">
      <c r="AA145660" s="613"/>
    </row>
    <row r="145661" spans="27:27">
      <c r="AA145661" s="613"/>
    </row>
    <row r="145806" spans="27:27">
      <c r="AA145806" s="613"/>
    </row>
    <row r="145807" spans="27:27">
      <c r="AA145807" s="613"/>
    </row>
    <row r="145952" spans="27:27">
      <c r="AA145952" s="613"/>
    </row>
    <row r="145953" spans="27:27">
      <c r="AA145953" s="613"/>
    </row>
    <row r="146098" spans="27:27">
      <c r="AA146098" s="613"/>
    </row>
    <row r="146099" spans="27:27">
      <c r="AA146099" s="613"/>
    </row>
    <row r="146244" spans="27:27">
      <c r="AA146244" s="613"/>
    </row>
    <row r="146245" spans="27:27">
      <c r="AA146245" s="613"/>
    </row>
    <row r="146390" spans="27:27">
      <c r="AA146390" s="613"/>
    </row>
    <row r="146391" spans="27:27">
      <c r="AA146391" s="613"/>
    </row>
    <row r="146536" spans="27:27">
      <c r="AA146536" s="613"/>
    </row>
    <row r="146537" spans="27:27">
      <c r="AA146537" s="613"/>
    </row>
    <row r="146682" spans="27:27">
      <c r="AA146682" s="613"/>
    </row>
    <row r="146683" spans="27:27">
      <c r="AA146683" s="613"/>
    </row>
    <row r="146828" spans="27:27">
      <c r="AA146828" s="613"/>
    </row>
    <row r="146829" spans="27:27">
      <c r="AA146829" s="613"/>
    </row>
    <row r="146974" spans="27:27">
      <c r="AA146974" s="613"/>
    </row>
    <row r="146975" spans="27:27">
      <c r="AA146975" s="613"/>
    </row>
    <row r="147120" spans="27:27">
      <c r="AA147120" s="613"/>
    </row>
    <row r="147121" spans="27:27">
      <c r="AA147121" s="613"/>
    </row>
    <row r="147266" spans="27:27">
      <c r="AA147266" s="613"/>
    </row>
    <row r="147267" spans="27:27">
      <c r="AA147267" s="613"/>
    </row>
    <row r="147412" spans="27:27">
      <c r="AA147412" s="613"/>
    </row>
    <row r="147413" spans="27:27">
      <c r="AA147413" s="613"/>
    </row>
    <row r="147558" spans="27:27">
      <c r="AA147558" s="613"/>
    </row>
    <row r="147559" spans="27:27">
      <c r="AA147559" s="613"/>
    </row>
    <row r="147704" spans="27:27">
      <c r="AA147704" s="613"/>
    </row>
    <row r="147705" spans="27:27">
      <c r="AA147705" s="613"/>
    </row>
    <row r="147850" spans="27:27">
      <c r="AA147850" s="613"/>
    </row>
    <row r="147851" spans="27:27">
      <c r="AA147851" s="613"/>
    </row>
    <row r="147996" spans="27:27">
      <c r="AA147996" s="613"/>
    </row>
    <row r="147997" spans="27:27">
      <c r="AA147997" s="613"/>
    </row>
    <row r="148142" spans="27:27">
      <c r="AA148142" s="613"/>
    </row>
    <row r="148143" spans="27:27">
      <c r="AA148143" s="613"/>
    </row>
    <row r="148288" spans="27:27">
      <c r="AA148288" s="613"/>
    </row>
    <row r="148289" spans="27:27">
      <c r="AA148289" s="613"/>
    </row>
    <row r="148434" spans="27:27">
      <c r="AA148434" s="613"/>
    </row>
    <row r="148435" spans="27:27">
      <c r="AA148435" s="613"/>
    </row>
    <row r="148580" spans="27:27">
      <c r="AA148580" s="613"/>
    </row>
    <row r="148581" spans="27:27">
      <c r="AA148581" s="613"/>
    </row>
    <row r="148726" spans="27:27">
      <c r="AA148726" s="613"/>
    </row>
    <row r="148727" spans="27:27">
      <c r="AA148727" s="613"/>
    </row>
    <row r="148872" spans="27:27">
      <c r="AA148872" s="613"/>
    </row>
    <row r="148873" spans="27:27">
      <c r="AA148873" s="613"/>
    </row>
    <row r="149018" spans="27:27">
      <c r="AA149018" s="613"/>
    </row>
    <row r="149019" spans="27:27">
      <c r="AA149019" s="613"/>
    </row>
    <row r="149164" spans="27:27">
      <c r="AA149164" s="613"/>
    </row>
    <row r="149165" spans="27:27">
      <c r="AA149165" s="613"/>
    </row>
    <row r="149310" spans="27:27">
      <c r="AA149310" s="613"/>
    </row>
    <row r="149311" spans="27:27">
      <c r="AA149311" s="613"/>
    </row>
    <row r="149456" spans="27:27">
      <c r="AA149456" s="613"/>
    </row>
    <row r="149457" spans="27:27">
      <c r="AA149457" s="613"/>
    </row>
    <row r="149602" spans="27:27">
      <c r="AA149602" s="613"/>
    </row>
    <row r="149603" spans="27:27">
      <c r="AA149603" s="613"/>
    </row>
    <row r="149748" spans="27:27">
      <c r="AA149748" s="613"/>
    </row>
    <row r="149749" spans="27:27">
      <c r="AA149749" s="613"/>
    </row>
    <row r="149894" spans="27:27">
      <c r="AA149894" s="613"/>
    </row>
    <row r="149895" spans="27:27">
      <c r="AA149895" s="613"/>
    </row>
    <row r="150040" spans="27:27">
      <c r="AA150040" s="613"/>
    </row>
    <row r="150041" spans="27:27">
      <c r="AA150041" s="613"/>
    </row>
    <row r="150186" spans="27:27">
      <c r="AA150186" s="613"/>
    </row>
    <row r="150187" spans="27:27">
      <c r="AA150187" s="613"/>
    </row>
    <row r="150332" spans="27:27">
      <c r="AA150332" s="613"/>
    </row>
    <row r="150333" spans="27:27">
      <c r="AA150333" s="613"/>
    </row>
    <row r="150478" spans="27:27">
      <c r="AA150478" s="613"/>
    </row>
    <row r="150479" spans="27:27">
      <c r="AA150479" s="613"/>
    </row>
    <row r="150624" spans="27:27">
      <c r="AA150624" s="613"/>
    </row>
    <row r="150625" spans="27:27">
      <c r="AA150625" s="613"/>
    </row>
    <row r="150770" spans="27:27">
      <c r="AA150770" s="613"/>
    </row>
    <row r="150771" spans="27:27">
      <c r="AA150771" s="613"/>
    </row>
    <row r="150916" spans="27:27">
      <c r="AA150916" s="613"/>
    </row>
    <row r="150917" spans="27:27">
      <c r="AA150917" s="613"/>
    </row>
    <row r="151062" spans="27:27">
      <c r="AA151062" s="613"/>
    </row>
    <row r="151063" spans="27:27">
      <c r="AA151063" s="613"/>
    </row>
    <row r="151208" spans="27:27">
      <c r="AA151208" s="613"/>
    </row>
    <row r="151209" spans="27:27">
      <c r="AA151209" s="613"/>
    </row>
    <row r="151354" spans="27:27">
      <c r="AA151354" s="613"/>
    </row>
    <row r="151355" spans="27:27">
      <c r="AA151355" s="613"/>
    </row>
    <row r="151500" spans="27:27">
      <c r="AA151500" s="613"/>
    </row>
    <row r="151501" spans="27:27">
      <c r="AA151501" s="613"/>
    </row>
    <row r="151646" spans="27:27">
      <c r="AA151646" s="613"/>
    </row>
    <row r="151647" spans="27:27">
      <c r="AA151647" s="613"/>
    </row>
    <row r="151792" spans="27:27">
      <c r="AA151792" s="613"/>
    </row>
    <row r="151793" spans="27:27">
      <c r="AA151793" s="613"/>
    </row>
    <row r="151938" spans="27:27">
      <c r="AA151938" s="613"/>
    </row>
    <row r="151939" spans="27:27">
      <c r="AA151939" s="613"/>
    </row>
    <row r="152084" spans="27:27">
      <c r="AA152084" s="613"/>
    </row>
    <row r="152085" spans="27:27">
      <c r="AA152085" s="613"/>
    </row>
    <row r="152230" spans="27:27">
      <c r="AA152230" s="613"/>
    </row>
    <row r="152231" spans="27:27">
      <c r="AA152231" s="613"/>
    </row>
    <row r="152376" spans="27:27">
      <c r="AA152376" s="613"/>
    </row>
    <row r="152377" spans="27:27">
      <c r="AA152377" s="613"/>
    </row>
    <row r="152522" spans="27:27">
      <c r="AA152522" s="613"/>
    </row>
    <row r="152523" spans="27:27">
      <c r="AA152523" s="613"/>
    </row>
    <row r="152668" spans="27:27">
      <c r="AA152668" s="613"/>
    </row>
    <row r="152669" spans="27:27">
      <c r="AA152669" s="613"/>
    </row>
    <row r="152814" spans="27:27">
      <c r="AA152814" s="613"/>
    </row>
    <row r="152815" spans="27:27">
      <c r="AA152815" s="613"/>
    </row>
    <row r="152960" spans="27:27">
      <c r="AA152960" s="613"/>
    </row>
    <row r="152961" spans="27:27">
      <c r="AA152961" s="613"/>
    </row>
    <row r="153106" spans="27:27">
      <c r="AA153106" s="613"/>
    </row>
    <row r="153107" spans="27:27">
      <c r="AA153107" s="613"/>
    </row>
    <row r="153252" spans="27:27">
      <c r="AA153252" s="613"/>
    </row>
    <row r="153253" spans="27:27">
      <c r="AA153253" s="613"/>
    </row>
    <row r="153398" spans="27:27">
      <c r="AA153398" s="613"/>
    </row>
    <row r="153399" spans="27:27">
      <c r="AA153399" s="613"/>
    </row>
    <row r="153544" spans="27:27">
      <c r="AA153544" s="613"/>
    </row>
    <row r="153545" spans="27:27">
      <c r="AA153545" s="613"/>
    </row>
    <row r="153690" spans="27:27">
      <c r="AA153690" s="613"/>
    </row>
    <row r="153691" spans="27:27">
      <c r="AA153691" s="613"/>
    </row>
    <row r="153836" spans="27:27">
      <c r="AA153836" s="613"/>
    </row>
    <row r="153837" spans="27:27">
      <c r="AA153837" s="613"/>
    </row>
    <row r="153982" spans="27:27">
      <c r="AA153982" s="613"/>
    </row>
    <row r="153983" spans="27:27">
      <c r="AA153983" s="613"/>
    </row>
    <row r="154128" spans="27:27">
      <c r="AA154128" s="613"/>
    </row>
    <row r="154129" spans="27:27">
      <c r="AA154129" s="613"/>
    </row>
    <row r="154274" spans="27:27">
      <c r="AA154274" s="613"/>
    </row>
    <row r="154275" spans="27:27">
      <c r="AA154275" s="613"/>
    </row>
    <row r="154420" spans="27:27">
      <c r="AA154420" s="613"/>
    </row>
    <row r="154421" spans="27:27">
      <c r="AA154421" s="613"/>
    </row>
    <row r="154566" spans="27:27">
      <c r="AA154566" s="613"/>
    </row>
    <row r="154567" spans="27:27">
      <c r="AA154567" s="613"/>
    </row>
    <row r="154712" spans="27:27">
      <c r="AA154712" s="613"/>
    </row>
    <row r="154713" spans="27:27">
      <c r="AA154713" s="613"/>
    </row>
    <row r="154858" spans="27:27">
      <c r="AA154858" s="613"/>
    </row>
    <row r="154859" spans="27:27">
      <c r="AA154859" s="613"/>
    </row>
    <row r="155004" spans="27:27">
      <c r="AA155004" s="613"/>
    </row>
    <row r="155005" spans="27:27">
      <c r="AA155005" s="613"/>
    </row>
    <row r="155150" spans="27:27">
      <c r="AA155150" s="613"/>
    </row>
    <row r="155151" spans="27:27">
      <c r="AA155151" s="613"/>
    </row>
    <row r="155296" spans="27:27">
      <c r="AA155296" s="613"/>
    </row>
    <row r="155297" spans="27:27">
      <c r="AA155297" s="613"/>
    </row>
    <row r="155442" spans="27:27">
      <c r="AA155442" s="613"/>
    </row>
    <row r="155443" spans="27:27">
      <c r="AA155443" s="613"/>
    </row>
    <row r="155588" spans="27:27">
      <c r="AA155588" s="613"/>
    </row>
    <row r="155589" spans="27:27">
      <c r="AA155589" s="613"/>
    </row>
    <row r="155734" spans="27:27">
      <c r="AA155734" s="613"/>
    </row>
    <row r="155735" spans="27:27">
      <c r="AA155735" s="613"/>
    </row>
    <row r="155880" spans="27:27">
      <c r="AA155880" s="613"/>
    </row>
    <row r="155881" spans="27:27">
      <c r="AA155881" s="613"/>
    </row>
    <row r="156026" spans="27:27">
      <c r="AA156026" s="613"/>
    </row>
    <row r="156027" spans="27:27">
      <c r="AA156027" s="613"/>
    </row>
    <row r="156172" spans="27:27">
      <c r="AA156172" s="613"/>
    </row>
    <row r="156173" spans="27:27">
      <c r="AA156173" s="613"/>
    </row>
    <row r="156318" spans="27:27">
      <c r="AA156318" s="613"/>
    </row>
    <row r="156319" spans="27:27">
      <c r="AA156319" s="613"/>
    </row>
    <row r="156464" spans="27:27">
      <c r="AA156464" s="613"/>
    </row>
    <row r="156465" spans="27:27">
      <c r="AA156465" s="613"/>
    </row>
    <row r="156610" spans="27:27">
      <c r="AA156610" s="613"/>
    </row>
    <row r="156611" spans="27:27">
      <c r="AA156611" s="613"/>
    </row>
    <row r="156756" spans="27:27">
      <c r="AA156756" s="613"/>
    </row>
    <row r="156757" spans="27:27">
      <c r="AA156757" s="613"/>
    </row>
    <row r="156902" spans="27:27">
      <c r="AA156902" s="613"/>
    </row>
    <row r="156903" spans="27:27">
      <c r="AA156903" s="613"/>
    </row>
    <row r="157048" spans="27:27">
      <c r="AA157048" s="613"/>
    </row>
    <row r="157049" spans="27:27">
      <c r="AA157049" s="613"/>
    </row>
    <row r="157194" spans="27:27">
      <c r="AA157194" s="613"/>
    </row>
    <row r="157195" spans="27:27">
      <c r="AA157195" s="613"/>
    </row>
    <row r="157340" spans="27:27">
      <c r="AA157340" s="613"/>
    </row>
    <row r="157341" spans="27:27">
      <c r="AA157341" s="613"/>
    </row>
    <row r="157486" spans="27:27">
      <c r="AA157486" s="613"/>
    </row>
    <row r="157487" spans="27:27">
      <c r="AA157487" s="613"/>
    </row>
    <row r="157632" spans="27:27">
      <c r="AA157632" s="613"/>
    </row>
    <row r="157633" spans="27:27">
      <c r="AA157633" s="613"/>
    </row>
    <row r="157778" spans="27:27">
      <c r="AA157778" s="613"/>
    </row>
    <row r="157779" spans="27:27">
      <c r="AA157779" s="613"/>
    </row>
    <row r="157924" spans="27:27">
      <c r="AA157924" s="613"/>
    </row>
    <row r="157925" spans="27:27">
      <c r="AA157925" s="613"/>
    </row>
    <row r="158070" spans="27:27">
      <c r="AA158070" s="613"/>
    </row>
    <row r="158071" spans="27:27">
      <c r="AA158071" s="613"/>
    </row>
    <row r="158216" spans="27:27">
      <c r="AA158216" s="613"/>
    </row>
    <row r="158217" spans="27:27">
      <c r="AA158217" s="613"/>
    </row>
    <row r="158362" spans="27:27">
      <c r="AA158362" s="613"/>
    </row>
    <row r="158363" spans="27:27">
      <c r="AA158363" s="613"/>
    </row>
    <row r="158508" spans="27:27">
      <c r="AA158508" s="613"/>
    </row>
    <row r="158509" spans="27:27">
      <c r="AA158509" s="613"/>
    </row>
    <row r="158654" spans="27:27">
      <c r="AA158654" s="613"/>
    </row>
    <row r="158655" spans="27:27">
      <c r="AA158655" s="613"/>
    </row>
    <row r="158800" spans="27:27">
      <c r="AA158800" s="613"/>
    </row>
    <row r="158801" spans="27:27">
      <c r="AA158801" s="613"/>
    </row>
    <row r="158946" spans="27:27">
      <c r="AA158946" s="613"/>
    </row>
    <row r="158947" spans="27:27">
      <c r="AA158947" s="613"/>
    </row>
    <row r="159092" spans="27:27">
      <c r="AA159092" s="613"/>
    </row>
    <row r="159093" spans="27:27">
      <c r="AA159093" s="613"/>
    </row>
    <row r="159238" spans="27:27">
      <c r="AA159238" s="613"/>
    </row>
    <row r="159239" spans="27:27">
      <c r="AA159239" s="613"/>
    </row>
    <row r="159384" spans="27:27">
      <c r="AA159384" s="613"/>
    </row>
    <row r="159385" spans="27:27">
      <c r="AA159385" s="613"/>
    </row>
    <row r="159530" spans="27:27">
      <c r="AA159530" s="613"/>
    </row>
    <row r="159531" spans="27:27">
      <c r="AA159531" s="613"/>
    </row>
    <row r="159676" spans="27:27">
      <c r="AA159676" s="613"/>
    </row>
    <row r="159677" spans="27:27">
      <c r="AA159677" s="613"/>
    </row>
    <row r="159822" spans="27:27">
      <c r="AA159822" s="613"/>
    </row>
    <row r="159823" spans="27:27">
      <c r="AA159823" s="613"/>
    </row>
    <row r="159968" spans="27:27">
      <c r="AA159968" s="613"/>
    </row>
    <row r="159969" spans="27:27">
      <c r="AA159969" s="613"/>
    </row>
    <row r="160114" spans="27:27">
      <c r="AA160114" s="613"/>
    </row>
    <row r="160115" spans="27:27">
      <c r="AA160115" s="613"/>
    </row>
    <row r="160260" spans="27:27">
      <c r="AA160260" s="613"/>
    </row>
    <row r="160261" spans="27:27">
      <c r="AA160261" s="613"/>
    </row>
    <row r="160406" spans="27:27">
      <c r="AA160406" s="613"/>
    </row>
    <row r="160407" spans="27:27">
      <c r="AA160407" s="613"/>
    </row>
    <row r="160552" spans="27:27">
      <c r="AA160552" s="613"/>
    </row>
    <row r="160553" spans="27:27">
      <c r="AA160553" s="613"/>
    </row>
    <row r="160698" spans="27:27">
      <c r="AA160698" s="613"/>
    </row>
    <row r="160699" spans="27:27">
      <c r="AA160699" s="613"/>
    </row>
    <row r="160844" spans="27:27">
      <c r="AA160844" s="613"/>
    </row>
    <row r="160845" spans="27:27">
      <c r="AA160845" s="613"/>
    </row>
    <row r="160990" spans="27:27">
      <c r="AA160990" s="613"/>
    </row>
    <row r="160991" spans="27:27">
      <c r="AA160991" s="613"/>
    </row>
    <row r="161136" spans="27:27">
      <c r="AA161136" s="613"/>
    </row>
    <row r="161137" spans="27:27">
      <c r="AA161137" s="613"/>
    </row>
    <row r="161282" spans="27:27">
      <c r="AA161282" s="613"/>
    </row>
    <row r="161283" spans="27:27">
      <c r="AA161283" s="613"/>
    </row>
    <row r="161428" spans="27:27">
      <c r="AA161428" s="613"/>
    </row>
    <row r="161429" spans="27:27">
      <c r="AA161429" s="613"/>
    </row>
    <row r="161574" spans="27:27">
      <c r="AA161574" s="613"/>
    </row>
    <row r="161575" spans="27:27">
      <c r="AA161575" s="613"/>
    </row>
    <row r="161720" spans="27:27">
      <c r="AA161720" s="613"/>
    </row>
    <row r="161721" spans="27:27">
      <c r="AA161721" s="613"/>
    </row>
    <row r="161866" spans="27:27">
      <c r="AA161866" s="613"/>
    </row>
    <row r="161867" spans="27:27">
      <c r="AA161867" s="613"/>
    </row>
    <row r="162012" spans="27:27">
      <c r="AA162012" s="613"/>
    </row>
    <row r="162013" spans="27:27">
      <c r="AA162013" s="613"/>
    </row>
    <row r="162158" spans="27:27">
      <c r="AA162158" s="613"/>
    </row>
    <row r="162159" spans="27:27">
      <c r="AA162159" s="613"/>
    </row>
    <row r="162304" spans="27:27">
      <c r="AA162304" s="613"/>
    </row>
    <row r="162305" spans="27:27">
      <c r="AA162305" s="613"/>
    </row>
    <row r="162450" spans="27:27">
      <c r="AA162450" s="613"/>
    </row>
    <row r="162451" spans="27:27">
      <c r="AA162451" s="613"/>
    </row>
    <row r="162596" spans="27:27">
      <c r="AA162596" s="613"/>
    </row>
    <row r="162597" spans="27:27">
      <c r="AA162597" s="613"/>
    </row>
    <row r="162742" spans="27:27">
      <c r="AA162742" s="613"/>
    </row>
    <row r="162743" spans="27:27">
      <c r="AA162743" s="613"/>
    </row>
    <row r="162888" spans="27:27">
      <c r="AA162888" s="613"/>
    </row>
    <row r="162889" spans="27:27">
      <c r="AA162889" s="613"/>
    </row>
    <row r="163034" spans="27:27">
      <c r="AA163034" s="613"/>
    </row>
    <row r="163035" spans="27:27">
      <c r="AA163035" s="613"/>
    </row>
    <row r="163180" spans="27:27">
      <c r="AA163180" s="613"/>
    </row>
    <row r="163181" spans="27:27">
      <c r="AA163181" s="613"/>
    </row>
    <row r="163326" spans="27:27">
      <c r="AA163326" s="613"/>
    </row>
    <row r="163327" spans="27:27">
      <c r="AA163327" s="613"/>
    </row>
    <row r="163472" spans="27:27">
      <c r="AA163472" s="613"/>
    </row>
    <row r="163473" spans="27:27">
      <c r="AA163473" s="613"/>
    </row>
    <row r="163618" spans="27:27">
      <c r="AA163618" s="613"/>
    </row>
    <row r="163619" spans="27:27">
      <c r="AA163619" s="613"/>
    </row>
    <row r="163764" spans="27:27">
      <c r="AA163764" s="613"/>
    </row>
    <row r="163765" spans="27:27">
      <c r="AA163765" s="613"/>
    </row>
    <row r="163910" spans="27:27">
      <c r="AA163910" s="613"/>
    </row>
    <row r="163911" spans="27:27">
      <c r="AA163911" s="613"/>
    </row>
    <row r="164056" spans="27:27">
      <c r="AA164056" s="613"/>
    </row>
    <row r="164057" spans="27:27">
      <c r="AA164057" s="613"/>
    </row>
    <row r="164202" spans="27:27">
      <c r="AA164202" s="613"/>
    </row>
    <row r="164203" spans="27:27">
      <c r="AA164203" s="613"/>
    </row>
    <row r="164348" spans="27:27">
      <c r="AA164348" s="613"/>
    </row>
    <row r="164349" spans="27:27">
      <c r="AA164349" s="613"/>
    </row>
    <row r="164494" spans="27:27">
      <c r="AA164494" s="613"/>
    </row>
    <row r="164495" spans="27:27">
      <c r="AA164495" s="613"/>
    </row>
    <row r="164640" spans="27:27">
      <c r="AA164640" s="613"/>
    </row>
    <row r="164641" spans="27:27">
      <c r="AA164641" s="613"/>
    </row>
    <row r="164786" spans="27:27">
      <c r="AA164786" s="613"/>
    </row>
    <row r="164787" spans="27:27">
      <c r="AA164787" s="613"/>
    </row>
    <row r="164932" spans="27:27">
      <c r="AA164932" s="613"/>
    </row>
    <row r="164933" spans="27:27">
      <c r="AA164933" s="613"/>
    </row>
    <row r="165078" spans="27:27">
      <c r="AA165078" s="613"/>
    </row>
    <row r="165079" spans="27:27">
      <c r="AA165079" s="613"/>
    </row>
    <row r="165224" spans="27:27">
      <c r="AA165224" s="613"/>
    </row>
    <row r="165225" spans="27:27">
      <c r="AA165225" s="613"/>
    </row>
    <row r="165370" spans="27:27">
      <c r="AA165370" s="613"/>
    </row>
    <row r="165371" spans="27:27">
      <c r="AA165371" s="613"/>
    </row>
    <row r="165516" spans="27:27">
      <c r="AA165516" s="613"/>
    </row>
    <row r="165517" spans="27:27">
      <c r="AA165517" s="613"/>
    </row>
    <row r="165662" spans="27:27">
      <c r="AA165662" s="613"/>
    </row>
    <row r="165663" spans="27:27">
      <c r="AA165663" s="613"/>
    </row>
    <row r="165808" spans="27:27">
      <c r="AA165808" s="613"/>
    </row>
    <row r="165809" spans="27:27">
      <c r="AA165809" s="613"/>
    </row>
    <row r="165954" spans="27:27">
      <c r="AA165954" s="613"/>
    </row>
    <row r="165955" spans="27:27">
      <c r="AA165955" s="613"/>
    </row>
    <row r="166100" spans="27:27">
      <c r="AA166100" s="613"/>
    </row>
    <row r="166101" spans="27:27">
      <c r="AA166101" s="613"/>
    </row>
    <row r="166246" spans="27:27">
      <c r="AA166246" s="613"/>
    </row>
    <row r="166247" spans="27:27">
      <c r="AA166247" s="613"/>
    </row>
    <row r="166392" spans="27:27">
      <c r="AA166392" s="613"/>
    </row>
    <row r="166393" spans="27:27">
      <c r="AA166393" s="613"/>
    </row>
    <row r="166538" spans="27:27">
      <c r="AA166538" s="613"/>
    </row>
    <row r="166539" spans="27:27">
      <c r="AA166539" s="613"/>
    </row>
    <row r="166684" spans="27:27">
      <c r="AA166684" s="613"/>
    </row>
    <row r="166685" spans="27:27">
      <c r="AA166685" s="613"/>
    </row>
    <row r="166830" spans="27:27">
      <c r="AA166830" s="613"/>
    </row>
    <row r="166831" spans="27:27">
      <c r="AA166831" s="613"/>
    </row>
    <row r="166976" spans="27:27">
      <c r="AA166976" s="613"/>
    </row>
    <row r="166977" spans="27:27">
      <c r="AA166977" s="613"/>
    </row>
    <row r="167122" spans="27:27">
      <c r="AA167122" s="613"/>
    </row>
    <row r="167123" spans="27:27">
      <c r="AA167123" s="613"/>
    </row>
    <row r="167268" spans="27:27">
      <c r="AA167268" s="613"/>
    </row>
    <row r="167269" spans="27:27">
      <c r="AA167269" s="613"/>
    </row>
    <row r="167414" spans="27:27">
      <c r="AA167414" s="613"/>
    </row>
    <row r="167415" spans="27:27">
      <c r="AA167415" s="613"/>
    </row>
    <row r="167560" spans="27:27">
      <c r="AA167560" s="613"/>
    </row>
    <row r="167561" spans="27:27">
      <c r="AA167561" s="613"/>
    </row>
    <row r="167706" spans="27:27">
      <c r="AA167706" s="613"/>
    </row>
    <row r="167707" spans="27:27">
      <c r="AA167707" s="613"/>
    </row>
    <row r="167852" spans="27:27">
      <c r="AA167852" s="613"/>
    </row>
    <row r="167853" spans="27:27">
      <c r="AA167853" s="613"/>
    </row>
    <row r="167998" spans="27:27">
      <c r="AA167998" s="613"/>
    </row>
    <row r="167999" spans="27:27">
      <c r="AA167999" s="613"/>
    </row>
    <row r="168144" spans="27:27">
      <c r="AA168144" s="613"/>
    </row>
    <row r="168145" spans="27:27">
      <c r="AA168145" s="613"/>
    </row>
    <row r="168290" spans="27:27">
      <c r="AA168290" s="613"/>
    </row>
    <row r="168291" spans="27:27">
      <c r="AA168291" s="613"/>
    </row>
    <row r="168436" spans="27:27">
      <c r="AA168436" s="613"/>
    </row>
    <row r="168437" spans="27:27">
      <c r="AA168437" s="613"/>
    </row>
    <row r="168582" spans="27:27">
      <c r="AA168582" s="613"/>
    </row>
    <row r="168583" spans="27:27">
      <c r="AA168583" s="613"/>
    </row>
    <row r="168728" spans="27:27">
      <c r="AA168728" s="613"/>
    </row>
    <row r="168729" spans="27:27">
      <c r="AA168729" s="613"/>
    </row>
    <row r="168874" spans="27:27">
      <c r="AA168874" s="613"/>
    </row>
    <row r="168875" spans="27:27">
      <c r="AA168875" s="613"/>
    </row>
    <row r="169020" spans="27:27">
      <c r="AA169020" s="613"/>
    </row>
    <row r="169021" spans="27:27">
      <c r="AA169021" s="613"/>
    </row>
    <row r="169166" spans="27:27">
      <c r="AA169166" s="613"/>
    </row>
    <row r="169167" spans="27:27">
      <c r="AA169167" s="613"/>
    </row>
    <row r="169312" spans="27:27">
      <c r="AA169312" s="613"/>
    </row>
    <row r="169313" spans="27:27">
      <c r="AA169313" s="613"/>
    </row>
    <row r="169458" spans="27:27">
      <c r="AA169458" s="613"/>
    </row>
    <row r="169459" spans="27:27">
      <c r="AA169459" s="613"/>
    </row>
    <row r="169604" spans="27:27">
      <c r="AA169604" s="613"/>
    </row>
    <row r="169605" spans="27:27">
      <c r="AA169605" s="613"/>
    </row>
    <row r="169750" spans="27:27">
      <c r="AA169750" s="613"/>
    </row>
    <row r="169751" spans="27:27">
      <c r="AA169751" s="613"/>
    </row>
    <row r="169896" spans="27:27">
      <c r="AA169896" s="613"/>
    </row>
    <row r="169897" spans="27:27">
      <c r="AA169897" s="613"/>
    </row>
    <row r="170042" spans="27:27">
      <c r="AA170042" s="613"/>
    </row>
    <row r="170043" spans="27:27">
      <c r="AA170043" s="613"/>
    </row>
    <row r="170188" spans="27:27">
      <c r="AA170188" s="613"/>
    </row>
    <row r="170189" spans="27:27">
      <c r="AA170189" s="613"/>
    </row>
    <row r="170334" spans="27:27">
      <c r="AA170334" s="613"/>
    </row>
    <row r="170335" spans="27:27">
      <c r="AA170335" s="613"/>
    </row>
    <row r="170480" spans="27:27">
      <c r="AA170480" s="613"/>
    </row>
    <row r="170481" spans="27:27">
      <c r="AA170481" s="613"/>
    </row>
    <row r="170626" spans="27:27">
      <c r="AA170626" s="613"/>
    </row>
    <row r="170627" spans="27:27">
      <c r="AA170627" s="613"/>
    </row>
    <row r="170772" spans="27:27">
      <c r="AA170772" s="613"/>
    </row>
    <row r="170773" spans="27:27">
      <c r="AA170773" s="613"/>
    </row>
    <row r="170918" spans="27:27">
      <c r="AA170918" s="613"/>
    </row>
    <row r="170919" spans="27:27">
      <c r="AA170919" s="613"/>
    </row>
    <row r="171064" spans="27:27">
      <c r="AA171064" s="613"/>
    </row>
    <row r="171065" spans="27:27">
      <c r="AA171065" s="613"/>
    </row>
    <row r="171210" spans="27:27">
      <c r="AA171210" s="613"/>
    </row>
    <row r="171211" spans="27:27">
      <c r="AA171211" s="613"/>
    </row>
    <row r="171356" spans="27:27">
      <c r="AA171356" s="613"/>
    </row>
    <row r="171357" spans="27:27">
      <c r="AA171357" s="613"/>
    </row>
    <row r="171502" spans="27:27">
      <c r="AA171502" s="613"/>
    </row>
    <row r="171503" spans="27:27">
      <c r="AA171503" s="613"/>
    </row>
    <row r="171648" spans="27:27">
      <c r="AA171648" s="613"/>
    </row>
    <row r="171649" spans="27:27">
      <c r="AA171649" s="613"/>
    </row>
    <row r="171794" spans="27:27">
      <c r="AA171794" s="613"/>
    </row>
    <row r="171795" spans="27:27">
      <c r="AA171795" s="613"/>
    </row>
    <row r="171940" spans="27:27">
      <c r="AA171940" s="613"/>
    </row>
    <row r="171941" spans="27:27">
      <c r="AA171941" s="613"/>
    </row>
    <row r="172086" spans="27:27">
      <c r="AA172086" s="613"/>
    </row>
    <row r="172087" spans="27:27">
      <c r="AA172087" s="613"/>
    </row>
    <row r="172232" spans="27:27">
      <c r="AA172232" s="613"/>
    </row>
    <row r="172233" spans="27:27">
      <c r="AA172233" s="613"/>
    </row>
    <row r="172378" spans="27:27">
      <c r="AA172378" s="613"/>
    </row>
    <row r="172379" spans="27:27">
      <c r="AA172379" s="613"/>
    </row>
    <row r="172524" spans="27:27">
      <c r="AA172524" s="613"/>
    </row>
    <row r="172525" spans="27:27">
      <c r="AA172525" s="613"/>
    </row>
    <row r="172670" spans="27:27">
      <c r="AA172670" s="613"/>
    </row>
    <row r="172671" spans="27:27">
      <c r="AA172671" s="613"/>
    </row>
    <row r="172816" spans="27:27">
      <c r="AA172816" s="613"/>
    </row>
    <row r="172817" spans="27:27">
      <c r="AA172817" s="613"/>
    </row>
    <row r="172962" spans="27:27">
      <c r="AA172962" s="613"/>
    </row>
    <row r="172963" spans="27:27">
      <c r="AA172963" s="613"/>
    </row>
    <row r="173108" spans="27:27">
      <c r="AA173108" s="613"/>
    </row>
    <row r="173109" spans="27:27">
      <c r="AA173109" s="613"/>
    </row>
    <row r="173254" spans="27:27">
      <c r="AA173254" s="613"/>
    </row>
    <row r="173255" spans="27:27">
      <c r="AA173255" s="613"/>
    </row>
    <row r="173400" spans="27:27">
      <c r="AA173400" s="613"/>
    </row>
    <row r="173401" spans="27:27">
      <c r="AA173401" s="613"/>
    </row>
    <row r="173546" spans="27:27">
      <c r="AA173546" s="613"/>
    </row>
    <row r="173547" spans="27:27">
      <c r="AA173547" s="613"/>
    </row>
    <row r="173692" spans="27:27">
      <c r="AA173692" s="613"/>
    </row>
    <row r="173693" spans="27:27">
      <c r="AA173693" s="613"/>
    </row>
    <row r="173838" spans="27:27">
      <c r="AA173838" s="613"/>
    </row>
    <row r="173839" spans="27:27">
      <c r="AA173839" s="613"/>
    </row>
    <row r="173984" spans="27:27">
      <c r="AA173984" s="613"/>
    </row>
    <row r="173985" spans="27:27">
      <c r="AA173985" s="613"/>
    </row>
    <row r="174130" spans="27:27">
      <c r="AA174130" s="613"/>
    </row>
    <row r="174131" spans="27:27">
      <c r="AA174131" s="613"/>
    </row>
    <row r="174276" spans="27:27">
      <c r="AA174276" s="613"/>
    </row>
    <row r="174277" spans="27:27">
      <c r="AA174277" s="613"/>
    </row>
    <row r="174422" spans="27:27">
      <c r="AA174422" s="613"/>
    </row>
    <row r="174423" spans="27:27">
      <c r="AA174423" s="613"/>
    </row>
    <row r="174568" spans="27:27">
      <c r="AA174568" s="613"/>
    </row>
    <row r="174569" spans="27:27">
      <c r="AA174569" s="613"/>
    </row>
    <row r="174714" spans="27:27">
      <c r="AA174714" s="613"/>
    </row>
    <row r="174715" spans="27:27">
      <c r="AA174715" s="613"/>
    </row>
    <row r="174860" spans="27:27">
      <c r="AA174860" s="613"/>
    </row>
    <row r="174861" spans="27:27">
      <c r="AA174861" s="613"/>
    </row>
    <row r="175006" spans="27:27">
      <c r="AA175006" s="613"/>
    </row>
    <row r="175007" spans="27:27">
      <c r="AA175007" s="613"/>
    </row>
    <row r="175152" spans="27:27">
      <c r="AA175152" s="613"/>
    </row>
    <row r="175153" spans="27:27">
      <c r="AA175153" s="613"/>
    </row>
    <row r="175298" spans="27:27">
      <c r="AA175298" s="613"/>
    </row>
    <row r="175299" spans="27:27">
      <c r="AA175299" s="613"/>
    </row>
    <row r="175444" spans="27:27">
      <c r="AA175444" s="613"/>
    </row>
    <row r="175445" spans="27:27">
      <c r="AA175445" s="613"/>
    </row>
    <row r="175590" spans="27:27">
      <c r="AA175590" s="613"/>
    </row>
    <row r="175591" spans="27:27">
      <c r="AA175591" s="613"/>
    </row>
    <row r="175736" spans="27:27">
      <c r="AA175736" s="613"/>
    </row>
    <row r="175737" spans="27:27">
      <c r="AA175737" s="613"/>
    </row>
    <row r="175882" spans="27:27">
      <c r="AA175882" s="613"/>
    </row>
    <row r="175883" spans="27:27">
      <c r="AA175883" s="613"/>
    </row>
    <row r="176028" spans="27:27">
      <c r="AA176028" s="613"/>
    </row>
    <row r="176029" spans="27:27">
      <c r="AA176029" s="613"/>
    </row>
    <row r="176174" spans="27:27">
      <c r="AA176174" s="613"/>
    </row>
    <row r="176175" spans="27:27">
      <c r="AA176175" s="613"/>
    </row>
    <row r="176320" spans="27:27">
      <c r="AA176320" s="613"/>
    </row>
    <row r="176321" spans="27:27">
      <c r="AA176321" s="613"/>
    </row>
    <row r="176466" spans="27:27">
      <c r="AA176466" s="613"/>
    </row>
    <row r="176467" spans="27:27">
      <c r="AA176467" s="613"/>
    </row>
    <row r="176612" spans="27:27">
      <c r="AA176612" s="613"/>
    </row>
    <row r="176613" spans="27:27">
      <c r="AA176613" s="613"/>
    </row>
    <row r="176758" spans="27:27">
      <c r="AA176758" s="613"/>
    </row>
    <row r="176759" spans="27:27">
      <c r="AA176759" s="613"/>
    </row>
    <row r="176904" spans="27:27">
      <c r="AA176904" s="613"/>
    </row>
    <row r="176905" spans="27:27">
      <c r="AA176905" s="613"/>
    </row>
    <row r="177050" spans="27:27">
      <c r="AA177050" s="613"/>
    </row>
    <row r="177051" spans="27:27">
      <c r="AA177051" s="613"/>
    </row>
    <row r="177196" spans="27:27">
      <c r="AA177196" s="613"/>
    </row>
    <row r="177197" spans="27:27">
      <c r="AA177197" s="613"/>
    </row>
    <row r="177342" spans="27:27">
      <c r="AA177342" s="613"/>
    </row>
    <row r="177343" spans="27:27">
      <c r="AA177343" s="613"/>
    </row>
    <row r="177488" spans="27:27">
      <c r="AA177488" s="613"/>
    </row>
    <row r="177489" spans="27:27">
      <c r="AA177489" s="613"/>
    </row>
    <row r="177634" spans="27:27">
      <c r="AA177634" s="613"/>
    </row>
    <row r="177635" spans="27:27">
      <c r="AA177635" s="613"/>
    </row>
    <row r="177780" spans="27:27">
      <c r="AA177780" s="613"/>
    </row>
    <row r="177781" spans="27:27">
      <c r="AA177781" s="613"/>
    </row>
    <row r="177926" spans="27:27">
      <c r="AA177926" s="613"/>
    </row>
    <row r="177927" spans="27:27">
      <c r="AA177927" s="613"/>
    </row>
    <row r="178072" spans="27:27">
      <c r="AA178072" s="613"/>
    </row>
    <row r="178073" spans="27:27">
      <c r="AA178073" s="613"/>
    </row>
    <row r="178218" spans="27:27">
      <c r="AA178218" s="613"/>
    </row>
    <row r="178219" spans="27:27">
      <c r="AA178219" s="613"/>
    </row>
    <row r="178364" spans="27:27">
      <c r="AA178364" s="613"/>
    </row>
    <row r="178365" spans="27:27">
      <c r="AA178365" s="613"/>
    </row>
    <row r="178510" spans="27:27">
      <c r="AA178510" s="613"/>
    </row>
    <row r="178511" spans="27:27">
      <c r="AA178511" s="613"/>
    </row>
    <row r="178656" spans="27:27">
      <c r="AA178656" s="613"/>
    </row>
    <row r="178657" spans="27:27">
      <c r="AA178657" s="613"/>
    </row>
    <row r="178802" spans="27:27">
      <c r="AA178802" s="613"/>
    </row>
    <row r="178803" spans="27:27">
      <c r="AA178803" s="613"/>
    </row>
    <row r="178948" spans="27:27">
      <c r="AA178948" s="613"/>
    </row>
    <row r="178949" spans="27:27">
      <c r="AA178949" s="613"/>
    </row>
    <row r="179094" spans="27:27">
      <c r="AA179094" s="613"/>
    </row>
    <row r="179095" spans="27:27">
      <c r="AA179095" s="613"/>
    </row>
    <row r="179240" spans="27:27">
      <c r="AA179240" s="613"/>
    </row>
    <row r="179241" spans="27:27">
      <c r="AA179241" s="613"/>
    </row>
    <row r="179386" spans="27:27">
      <c r="AA179386" s="613"/>
    </row>
    <row r="179387" spans="27:27">
      <c r="AA179387" s="613"/>
    </row>
    <row r="179532" spans="27:27">
      <c r="AA179532" s="613"/>
    </row>
    <row r="179533" spans="27:27">
      <c r="AA179533" s="613"/>
    </row>
    <row r="179678" spans="27:27">
      <c r="AA179678" s="613"/>
    </row>
    <row r="179679" spans="27:27">
      <c r="AA179679" s="613"/>
    </row>
    <row r="179824" spans="27:27">
      <c r="AA179824" s="613"/>
    </row>
    <row r="179825" spans="27:27">
      <c r="AA179825" s="613"/>
    </row>
    <row r="179970" spans="27:27">
      <c r="AA179970" s="613"/>
    </row>
    <row r="179971" spans="27:27">
      <c r="AA179971" s="613"/>
    </row>
    <row r="180116" spans="27:27">
      <c r="AA180116" s="613"/>
    </row>
    <row r="180117" spans="27:27">
      <c r="AA180117" s="613"/>
    </row>
    <row r="180262" spans="27:27">
      <c r="AA180262" s="613"/>
    </row>
    <row r="180263" spans="27:27">
      <c r="AA180263" s="613"/>
    </row>
    <row r="180408" spans="27:27">
      <c r="AA180408" s="613"/>
    </row>
    <row r="180409" spans="27:27">
      <c r="AA180409" s="613"/>
    </row>
    <row r="180554" spans="27:27">
      <c r="AA180554" s="613"/>
    </row>
    <row r="180555" spans="27:27">
      <c r="AA180555" s="613"/>
    </row>
    <row r="180700" spans="27:27">
      <c r="AA180700" s="613"/>
    </row>
    <row r="180701" spans="27:27">
      <c r="AA180701" s="613"/>
    </row>
    <row r="180846" spans="27:27">
      <c r="AA180846" s="613"/>
    </row>
    <row r="180847" spans="27:27">
      <c r="AA180847" s="613"/>
    </row>
    <row r="180992" spans="27:27">
      <c r="AA180992" s="613"/>
    </row>
    <row r="180993" spans="27:27">
      <c r="AA180993" s="613"/>
    </row>
    <row r="181138" spans="27:27">
      <c r="AA181138" s="613"/>
    </row>
    <row r="181139" spans="27:27">
      <c r="AA181139" s="613"/>
    </row>
    <row r="181284" spans="27:27">
      <c r="AA181284" s="613"/>
    </row>
    <row r="181285" spans="27:27">
      <c r="AA181285" s="613"/>
    </row>
    <row r="181430" spans="27:27">
      <c r="AA181430" s="613"/>
    </row>
    <row r="181431" spans="27:27">
      <c r="AA181431" s="613"/>
    </row>
    <row r="181576" spans="27:27">
      <c r="AA181576" s="613"/>
    </row>
    <row r="181577" spans="27:27">
      <c r="AA181577" s="613"/>
    </row>
    <row r="181722" spans="27:27">
      <c r="AA181722" s="613"/>
    </row>
    <row r="181723" spans="27:27">
      <c r="AA181723" s="613"/>
    </row>
    <row r="181868" spans="27:27">
      <c r="AA181868" s="613"/>
    </row>
    <row r="181869" spans="27:27">
      <c r="AA181869" s="613"/>
    </row>
    <row r="182014" spans="27:27">
      <c r="AA182014" s="613"/>
    </row>
    <row r="182015" spans="27:27">
      <c r="AA182015" s="613"/>
    </row>
    <row r="182160" spans="27:27">
      <c r="AA182160" s="613"/>
    </row>
    <row r="182161" spans="27:27">
      <c r="AA182161" s="613"/>
    </row>
    <row r="182306" spans="27:27">
      <c r="AA182306" s="613"/>
    </row>
    <row r="182307" spans="27:27">
      <c r="AA182307" s="613"/>
    </row>
    <row r="182452" spans="27:27">
      <c r="AA182452" s="613"/>
    </row>
    <row r="182453" spans="27:27">
      <c r="AA182453" s="613"/>
    </row>
    <row r="182598" spans="27:27">
      <c r="AA182598" s="613"/>
    </row>
    <row r="182599" spans="27:27">
      <c r="AA182599" s="613"/>
    </row>
    <row r="182744" spans="27:27">
      <c r="AA182744" s="613"/>
    </row>
    <row r="182745" spans="27:27">
      <c r="AA182745" s="613"/>
    </row>
    <row r="182890" spans="27:27">
      <c r="AA182890" s="613"/>
    </row>
    <row r="182891" spans="27:27">
      <c r="AA182891" s="613"/>
    </row>
    <row r="183036" spans="27:27">
      <c r="AA183036" s="613"/>
    </row>
    <row r="183037" spans="27:27">
      <c r="AA183037" s="613"/>
    </row>
    <row r="183182" spans="27:27">
      <c r="AA183182" s="613"/>
    </row>
    <row r="183183" spans="27:27">
      <c r="AA183183" s="613"/>
    </row>
    <row r="183328" spans="27:27">
      <c r="AA183328" s="613"/>
    </row>
    <row r="183329" spans="27:27">
      <c r="AA183329" s="613"/>
    </row>
    <row r="183474" spans="27:27">
      <c r="AA183474" s="613"/>
    </row>
    <row r="183475" spans="27:27">
      <c r="AA183475" s="613"/>
    </row>
    <row r="183620" spans="27:27">
      <c r="AA183620" s="613"/>
    </row>
    <row r="183621" spans="27:27">
      <c r="AA183621" s="613"/>
    </row>
    <row r="183766" spans="27:27">
      <c r="AA183766" s="613"/>
    </row>
    <row r="183767" spans="27:27">
      <c r="AA183767" s="613"/>
    </row>
    <row r="183912" spans="27:27">
      <c r="AA183912" s="613"/>
    </row>
    <row r="183913" spans="27:27">
      <c r="AA183913" s="613"/>
    </row>
    <row r="184058" spans="27:27">
      <c r="AA184058" s="613"/>
    </row>
    <row r="184059" spans="27:27">
      <c r="AA184059" s="613"/>
    </row>
    <row r="184204" spans="27:27">
      <c r="AA184204" s="613"/>
    </row>
    <row r="184205" spans="27:27">
      <c r="AA184205" s="613"/>
    </row>
    <row r="184350" spans="27:27">
      <c r="AA184350" s="613"/>
    </row>
    <row r="184351" spans="27:27">
      <c r="AA184351" s="613"/>
    </row>
    <row r="184496" spans="27:27">
      <c r="AA184496" s="613"/>
    </row>
    <row r="184497" spans="27:27">
      <c r="AA184497" s="613"/>
    </row>
    <row r="184642" spans="27:27">
      <c r="AA184642" s="613"/>
    </row>
    <row r="184643" spans="27:27">
      <c r="AA184643" s="613"/>
    </row>
    <row r="184788" spans="27:27">
      <c r="AA184788" s="613"/>
    </row>
    <row r="184789" spans="27:27">
      <c r="AA184789" s="613"/>
    </row>
    <row r="184934" spans="27:27">
      <c r="AA184934" s="613"/>
    </row>
    <row r="184935" spans="27:27">
      <c r="AA184935" s="613"/>
    </row>
    <row r="185080" spans="27:27">
      <c r="AA185080" s="613"/>
    </row>
    <row r="185081" spans="27:27">
      <c r="AA185081" s="613"/>
    </row>
    <row r="185226" spans="27:27">
      <c r="AA185226" s="613"/>
    </row>
    <row r="185227" spans="27:27">
      <c r="AA185227" s="613"/>
    </row>
    <row r="185372" spans="27:27">
      <c r="AA185372" s="613"/>
    </row>
    <row r="185373" spans="27:27">
      <c r="AA185373" s="613"/>
    </row>
    <row r="185518" spans="27:27">
      <c r="AA185518" s="613"/>
    </row>
    <row r="185519" spans="27:27">
      <c r="AA185519" s="613"/>
    </row>
    <row r="185664" spans="27:27">
      <c r="AA185664" s="613"/>
    </row>
    <row r="185665" spans="27:27">
      <c r="AA185665" s="613"/>
    </row>
    <row r="185810" spans="27:27">
      <c r="AA185810" s="613"/>
    </row>
    <row r="185811" spans="27:27">
      <c r="AA185811" s="613"/>
    </row>
    <row r="185956" spans="27:27">
      <c r="AA185956" s="613"/>
    </row>
    <row r="185957" spans="27:27">
      <c r="AA185957" s="613"/>
    </row>
    <row r="186102" spans="27:27">
      <c r="AA186102" s="613"/>
    </row>
    <row r="186103" spans="27:27">
      <c r="AA186103" s="613"/>
    </row>
    <row r="186248" spans="27:27">
      <c r="AA186248" s="613"/>
    </row>
    <row r="186249" spans="27:27">
      <c r="AA186249" s="613"/>
    </row>
    <row r="186394" spans="27:27">
      <c r="AA186394" s="613"/>
    </row>
    <row r="186395" spans="27:27">
      <c r="AA186395" s="613"/>
    </row>
    <row r="186540" spans="27:27">
      <c r="AA186540" s="613"/>
    </row>
    <row r="186541" spans="27:27">
      <c r="AA186541" s="613"/>
    </row>
    <row r="186686" spans="27:27">
      <c r="AA186686" s="613"/>
    </row>
    <row r="186687" spans="27:27">
      <c r="AA186687" s="613"/>
    </row>
    <row r="186832" spans="27:27">
      <c r="AA186832" s="613"/>
    </row>
    <row r="186833" spans="27:27">
      <c r="AA186833" s="613"/>
    </row>
    <row r="186978" spans="27:27">
      <c r="AA186978" s="613"/>
    </row>
    <row r="186979" spans="27:27">
      <c r="AA186979" s="613"/>
    </row>
    <row r="187124" spans="27:27">
      <c r="AA187124" s="613"/>
    </row>
    <row r="187125" spans="27:27">
      <c r="AA187125" s="613"/>
    </row>
    <row r="187270" spans="27:27">
      <c r="AA187270" s="613"/>
    </row>
    <row r="187271" spans="27:27">
      <c r="AA187271" s="613"/>
    </row>
    <row r="187416" spans="27:27">
      <c r="AA187416" s="613"/>
    </row>
    <row r="187417" spans="27:27">
      <c r="AA187417" s="613"/>
    </row>
    <row r="187562" spans="27:27">
      <c r="AA187562" s="613"/>
    </row>
    <row r="187563" spans="27:27">
      <c r="AA187563" s="613"/>
    </row>
    <row r="187708" spans="27:27">
      <c r="AA187708" s="613"/>
    </row>
    <row r="187709" spans="27:27">
      <c r="AA187709" s="613"/>
    </row>
    <row r="187854" spans="27:27">
      <c r="AA187854" s="613"/>
    </row>
    <row r="187855" spans="27:27">
      <c r="AA187855" s="613"/>
    </row>
    <row r="188000" spans="27:27">
      <c r="AA188000" s="613"/>
    </row>
    <row r="188001" spans="27:27">
      <c r="AA188001" s="613"/>
    </row>
    <row r="188146" spans="27:27">
      <c r="AA188146" s="613"/>
    </row>
    <row r="188147" spans="27:27">
      <c r="AA188147" s="613"/>
    </row>
    <row r="188292" spans="27:27">
      <c r="AA188292" s="613"/>
    </row>
    <row r="188293" spans="27:27">
      <c r="AA188293" s="613"/>
    </row>
    <row r="188438" spans="27:27">
      <c r="AA188438" s="613"/>
    </row>
    <row r="188439" spans="27:27">
      <c r="AA188439" s="613"/>
    </row>
    <row r="188584" spans="27:27">
      <c r="AA188584" s="613"/>
    </row>
    <row r="188585" spans="27:27">
      <c r="AA188585" s="613"/>
    </row>
    <row r="188730" spans="27:27">
      <c r="AA188730" s="613"/>
    </row>
    <row r="188731" spans="27:27">
      <c r="AA188731" s="613"/>
    </row>
    <row r="188876" spans="27:27">
      <c r="AA188876" s="613"/>
    </row>
    <row r="188877" spans="27:27">
      <c r="AA188877" s="613"/>
    </row>
    <row r="189022" spans="27:27">
      <c r="AA189022" s="613"/>
    </row>
    <row r="189023" spans="27:27">
      <c r="AA189023" s="613"/>
    </row>
    <row r="189168" spans="27:27">
      <c r="AA189168" s="613"/>
    </row>
    <row r="189169" spans="27:27">
      <c r="AA189169" s="613"/>
    </row>
    <row r="189314" spans="27:27">
      <c r="AA189314" s="613"/>
    </row>
    <row r="189315" spans="27:27">
      <c r="AA189315" s="613"/>
    </row>
    <row r="189460" spans="27:27">
      <c r="AA189460" s="613"/>
    </row>
    <row r="189461" spans="27:27">
      <c r="AA189461" s="613"/>
    </row>
    <row r="189606" spans="27:27">
      <c r="AA189606" s="613"/>
    </row>
    <row r="189607" spans="27:27">
      <c r="AA189607" s="613"/>
    </row>
    <row r="189752" spans="27:27">
      <c r="AA189752" s="613"/>
    </row>
    <row r="189753" spans="27:27">
      <c r="AA189753" s="613"/>
    </row>
    <row r="189898" spans="27:27">
      <c r="AA189898" s="613"/>
    </row>
    <row r="189899" spans="27:27">
      <c r="AA189899" s="613"/>
    </row>
    <row r="190044" spans="27:27">
      <c r="AA190044" s="613"/>
    </row>
    <row r="190045" spans="27:27">
      <c r="AA190045" s="613"/>
    </row>
    <row r="190190" spans="27:27">
      <c r="AA190190" s="613"/>
    </row>
    <row r="190191" spans="27:27">
      <c r="AA190191" s="613"/>
    </row>
    <row r="190336" spans="27:27">
      <c r="AA190336" s="613"/>
    </row>
    <row r="190337" spans="27:27">
      <c r="AA190337" s="613"/>
    </row>
    <row r="190482" spans="27:27">
      <c r="AA190482" s="613"/>
    </row>
    <row r="190483" spans="27:27">
      <c r="AA190483" s="613"/>
    </row>
    <row r="190628" spans="27:27">
      <c r="AA190628" s="613"/>
    </row>
    <row r="190629" spans="27:27">
      <c r="AA190629" s="613"/>
    </row>
    <row r="190774" spans="27:27">
      <c r="AA190774" s="613"/>
    </row>
    <row r="190775" spans="27:27">
      <c r="AA190775" s="613"/>
    </row>
    <row r="190920" spans="27:27">
      <c r="AA190920" s="613"/>
    </row>
    <row r="190921" spans="27:27">
      <c r="AA190921" s="613"/>
    </row>
    <row r="191066" spans="27:27">
      <c r="AA191066" s="613"/>
    </row>
    <row r="191067" spans="27:27">
      <c r="AA191067" s="613"/>
    </row>
    <row r="191212" spans="27:27">
      <c r="AA191212" s="613"/>
    </row>
    <row r="191213" spans="27:27">
      <c r="AA191213" s="613"/>
    </row>
    <row r="191358" spans="27:27">
      <c r="AA191358" s="613"/>
    </row>
    <row r="191359" spans="27:27">
      <c r="AA191359" s="613"/>
    </row>
    <row r="191504" spans="27:27">
      <c r="AA191504" s="613"/>
    </row>
    <row r="191505" spans="27:27">
      <c r="AA191505" s="613"/>
    </row>
    <row r="191650" spans="27:27">
      <c r="AA191650" s="613"/>
    </row>
    <row r="191651" spans="27:27">
      <c r="AA191651" s="613"/>
    </row>
    <row r="191796" spans="27:27">
      <c r="AA191796" s="613"/>
    </row>
    <row r="191797" spans="27:27">
      <c r="AA191797" s="613"/>
    </row>
    <row r="191942" spans="27:27">
      <c r="AA191942" s="613"/>
    </row>
    <row r="191943" spans="27:27">
      <c r="AA191943" s="613"/>
    </row>
    <row r="192088" spans="27:27">
      <c r="AA192088" s="613"/>
    </row>
    <row r="192089" spans="27:27">
      <c r="AA192089" s="613"/>
    </row>
    <row r="192234" spans="27:27">
      <c r="AA192234" s="613"/>
    </row>
    <row r="192235" spans="27:27">
      <c r="AA192235" s="613"/>
    </row>
    <row r="192380" spans="27:27">
      <c r="AA192380" s="613"/>
    </row>
    <row r="192381" spans="27:27">
      <c r="AA192381" s="613"/>
    </row>
    <row r="192526" spans="27:27">
      <c r="AA192526" s="613"/>
    </row>
    <row r="192527" spans="27:27">
      <c r="AA192527" s="613"/>
    </row>
    <row r="192672" spans="27:27">
      <c r="AA192672" s="613"/>
    </row>
    <row r="192673" spans="27:27">
      <c r="AA192673" s="613"/>
    </row>
    <row r="192818" spans="27:27">
      <c r="AA192818" s="613"/>
    </row>
    <row r="192819" spans="27:27">
      <c r="AA192819" s="613"/>
    </row>
    <row r="192964" spans="27:27">
      <c r="AA192964" s="613"/>
    </row>
    <row r="192965" spans="27:27">
      <c r="AA192965" s="613"/>
    </row>
    <row r="193110" spans="27:27">
      <c r="AA193110" s="613"/>
    </row>
    <row r="193111" spans="27:27">
      <c r="AA193111" s="613"/>
    </row>
    <row r="193256" spans="27:27">
      <c r="AA193256" s="613"/>
    </row>
    <row r="193257" spans="27:27">
      <c r="AA193257" s="613"/>
    </row>
    <row r="193402" spans="27:27">
      <c r="AA193402" s="613"/>
    </row>
    <row r="193403" spans="27:27">
      <c r="AA193403" s="613"/>
    </row>
    <row r="193548" spans="27:27">
      <c r="AA193548" s="613"/>
    </row>
    <row r="193549" spans="27:27">
      <c r="AA193549" s="613"/>
    </row>
    <row r="193694" spans="27:27">
      <c r="AA193694" s="613"/>
    </row>
    <row r="193695" spans="27:27">
      <c r="AA193695" s="613"/>
    </row>
    <row r="193840" spans="27:27">
      <c r="AA193840" s="613"/>
    </row>
    <row r="193841" spans="27:27">
      <c r="AA193841" s="613"/>
    </row>
    <row r="193986" spans="27:27">
      <c r="AA193986" s="613"/>
    </row>
    <row r="193987" spans="27:27">
      <c r="AA193987" s="613"/>
    </row>
    <row r="194132" spans="27:27">
      <c r="AA194132" s="613"/>
    </row>
    <row r="194133" spans="27:27">
      <c r="AA194133" s="613"/>
    </row>
    <row r="194278" spans="27:27">
      <c r="AA194278" s="613"/>
    </row>
    <row r="194279" spans="27:27">
      <c r="AA194279" s="613"/>
    </row>
    <row r="194424" spans="27:27">
      <c r="AA194424" s="613"/>
    </row>
    <row r="194425" spans="27:27">
      <c r="AA194425" s="613"/>
    </row>
    <row r="194570" spans="27:27">
      <c r="AA194570" s="613"/>
    </row>
    <row r="194571" spans="27:27">
      <c r="AA194571" s="613"/>
    </row>
    <row r="194716" spans="27:27">
      <c r="AA194716" s="613"/>
    </row>
    <row r="194717" spans="27:27">
      <c r="AA194717" s="613"/>
    </row>
    <row r="194862" spans="27:27">
      <c r="AA194862" s="613"/>
    </row>
    <row r="194863" spans="27:27">
      <c r="AA194863" s="613"/>
    </row>
    <row r="195008" spans="27:27">
      <c r="AA195008" s="613"/>
    </row>
    <row r="195009" spans="27:27">
      <c r="AA195009" s="613"/>
    </row>
    <row r="195154" spans="27:27">
      <c r="AA195154" s="613"/>
    </row>
    <row r="195155" spans="27:27">
      <c r="AA195155" s="613"/>
    </row>
    <row r="195300" spans="27:27">
      <c r="AA195300" s="613"/>
    </row>
    <row r="195301" spans="27:27">
      <c r="AA195301" s="613"/>
    </row>
    <row r="195446" spans="27:27">
      <c r="AA195446" s="613"/>
    </row>
    <row r="195447" spans="27:27">
      <c r="AA195447" s="613"/>
    </row>
    <row r="195592" spans="27:27">
      <c r="AA195592" s="613"/>
    </row>
    <row r="195593" spans="27:27">
      <c r="AA195593" s="613"/>
    </row>
    <row r="195738" spans="27:27">
      <c r="AA195738" s="613"/>
    </row>
    <row r="195739" spans="27:27">
      <c r="AA195739" s="613"/>
    </row>
    <row r="195884" spans="27:27">
      <c r="AA195884" s="613"/>
    </row>
    <row r="195885" spans="27:27">
      <c r="AA195885" s="613"/>
    </row>
    <row r="196030" spans="27:27">
      <c r="AA196030" s="613"/>
    </row>
    <row r="196031" spans="27:27">
      <c r="AA196031" s="613"/>
    </row>
    <row r="196176" spans="27:27">
      <c r="AA196176" s="613"/>
    </row>
    <row r="196177" spans="27:27">
      <c r="AA196177" s="613"/>
    </row>
    <row r="196322" spans="27:27">
      <c r="AA196322" s="613"/>
    </row>
    <row r="196323" spans="27:27">
      <c r="AA196323" s="613"/>
    </row>
    <row r="196468" spans="27:27">
      <c r="AA196468" s="613"/>
    </row>
    <row r="196469" spans="27:27">
      <c r="AA196469" s="613"/>
    </row>
    <row r="196614" spans="27:27">
      <c r="AA196614" s="613"/>
    </row>
    <row r="196615" spans="27:27">
      <c r="AA196615" s="613"/>
    </row>
    <row r="196760" spans="27:27">
      <c r="AA196760" s="613"/>
    </row>
    <row r="196761" spans="27:27">
      <c r="AA196761" s="613"/>
    </row>
    <row r="196906" spans="27:27">
      <c r="AA196906" s="613"/>
    </row>
    <row r="196907" spans="27:27">
      <c r="AA196907" s="613"/>
    </row>
    <row r="197052" spans="27:27">
      <c r="AA197052" s="613"/>
    </row>
    <row r="197053" spans="27:27">
      <c r="AA197053" s="613"/>
    </row>
    <row r="197198" spans="27:27">
      <c r="AA197198" s="613"/>
    </row>
    <row r="197199" spans="27:27">
      <c r="AA197199" s="613"/>
    </row>
    <row r="197344" spans="27:27">
      <c r="AA197344" s="613"/>
    </row>
    <row r="197345" spans="27:27">
      <c r="AA197345" s="613"/>
    </row>
    <row r="197490" spans="27:27">
      <c r="AA197490" s="613"/>
    </row>
    <row r="197491" spans="27:27">
      <c r="AA197491" s="613"/>
    </row>
    <row r="197636" spans="27:27">
      <c r="AA197636" s="613"/>
    </row>
    <row r="197637" spans="27:27">
      <c r="AA197637" s="613"/>
    </row>
    <row r="197782" spans="27:27">
      <c r="AA197782" s="613"/>
    </row>
    <row r="197783" spans="27:27">
      <c r="AA197783" s="613"/>
    </row>
    <row r="197928" spans="27:27">
      <c r="AA197928" s="613"/>
    </row>
    <row r="197929" spans="27:27">
      <c r="AA197929" s="613"/>
    </row>
    <row r="198074" spans="27:27">
      <c r="AA198074" s="613"/>
    </row>
    <row r="198075" spans="27:27">
      <c r="AA198075" s="613"/>
    </row>
    <row r="198220" spans="27:27">
      <c r="AA198220" s="613"/>
    </row>
    <row r="198221" spans="27:27">
      <c r="AA198221" s="613"/>
    </row>
    <row r="198366" spans="27:27">
      <c r="AA198366" s="613"/>
    </row>
    <row r="198367" spans="27:27">
      <c r="AA198367" s="613"/>
    </row>
    <row r="198512" spans="27:27">
      <c r="AA198512" s="613"/>
    </row>
    <row r="198513" spans="27:27">
      <c r="AA198513" s="613"/>
    </row>
    <row r="198658" spans="27:27">
      <c r="AA198658" s="613"/>
    </row>
    <row r="198659" spans="27:27">
      <c r="AA198659" s="613"/>
    </row>
    <row r="198804" spans="27:27">
      <c r="AA198804" s="613"/>
    </row>
    <row r="198805" spans="27:27">
      <c r="AA198805" s="613"/>
    </row>
    <row r="198950" spans="27:27">
      <c r="AA198950" s="613"/>
    </row>
    <row r="198951" spans="27:27">
      <c r="AA198951" s="613"/>
    </row>
    <row r="199096" spans="27:27">
      <c r="AA199096" s="613"/>
    </row>
    <row r="199097" spans="27:27">
      <c r="AA199097" s="613"/>
    </row>
    <row r="199242" spans="27:27">
      <c r="AA199242" s="613"/>
    </row>
    <row r="199243" spans="27:27">
      <c r="AA199243" s="613"/>
    </row>
    <row r="199388" spans="27:27">
      <c r="AA199388" s="613"/>
    </row>
    <row r="199389" spans="27:27">
      <c r="AA199389" s="613"/>
    </row>
    <row r="199534" spans="27:27">
      <c r="AA199534" s="613"/>
    </row>
    <row r="199535" spans="27:27">
      <c r="AA199535" s="613"/>
    </row>
    <row r="199680" spans="27:27">
      <c r="AA199680" s="613"/>
    </row>
    <row r="199681" spans="27:27">
      <c r="AA199681" s="613"/>
    </row>
    <row r="199826" spans="27:27">
      <c r="AA199826" s="613"/>
    </row>
    <row r="199827" spans="27:27">
      <c r="AA199827" s="613"/>
    </row>
    <row r="199972" spans="27:27">
      <c r="AA199972" s="613"/>
    </row>
    <row r="199973" spans="27:27">
      <c r="AA199973" s="613"/>
    </row>
    <row r="200118" spans="27:27">
      <c r="AA200118" s="613"/>
    </row>
    <row r="200119" spans="27:27">
      <c r="AA200119" s="613"/>
    </row>
    <row r="200264" spans="27:27">
      <c r="AA200264" s="613"/>
    </row>
    <row r="200265" spans="27:27">
      <c r="AA200265" s="613"/>
    </row>
    <row r="200410" spans="27:27">
      <c r="AA200410" s="613"/>
    </row>
    <row r="200411" spans="27:27">
      <c r="AA200411" s="613"/>
    </row>
    <row r="200556" spans="27:27">
      <c r="AA200556" s="613"/>
    </row>
    <row r="200557" spans="27:27">
      <c r="AA200557" s="613"/>
    </row>
    <row r="200702" spans="27:27">
      <c r="AA200702" s="613"/>
    </row>
    <row r="200703" spans="27:27">
      <c r="AA200703" s="613"/>
    </row>
    <row r="200848" spans="27:27">
      <c r="AA200848" s="613"/>
    </row>
    <row r="200849" spans="27:27">
      <c r="AA200849" s="613"/>
    </row>
    <row r="200994" spans="27:27">
      <c r="AA200994" s="613"/>
    </row>
    <row r="200995" spans="27:27">
      <c r="AA200995" s="613"/>
    </row>
    <row r="201140" spans="27:27">
      <c r="AA201140" s="613"/>
    </row>
    <row r="201141" spans="27:27">
      <c r="AA201141" s="613"/>
    </row>
    <row r="201286" spans="27:27">
      <c r="AA201286" s="613"/>
    </row>
    <row r="201287" spans="27:27">
      <c r="AA201287" s="613"/>
    </row>
    <row r="201432" spans="27:27">
      <c r="AA201432" s="613"/>
    </row>
    <row r="201433" spans="27:27">
      <c r="AA201433" s="613"/>
    </row>
    <row r="201578" spans="27:27">
      <c r="AA201578" s="613"/>
    </row>
    <row r="201579" spans="27:27">
      <c r="AA201579" s="613"/>
    </row>
    <row r="201724" spans="27:27">
      <c r="AA201724" s="613"/>
    </row>
    <row r="201725" spans="27:27">
      <c r="AA201725" s="613"/>
    </row>
    <row r="201870" spans="27:27">
      <c r="AA201870" s="613"/>
    </row>
    <row r="201871" spans="27:27">
      <c r="AA201871" s="613"/>
    </row>
    <row r="202016" spans="27:27">
      <c r="AA202016" s="613"/>
    </row>
    <row r="202017" spans="27:27">
      <c r="AA202017" s="613"/>
    </row>
    <row r="202162" spans="27:27">
      <c r="AA202162" s="613"/>
    </row>
    <row r="202163" spans="27:27">
      <c r="AA202163" s="613"/>
    </row>
    <row r="202308" spans="27:27">
      <c r="AA202308" s="613"/>
    </row>
    <row r="202309" spans="27:27">
      <c r="AA202309" s="613"/>
    </row>
    <row r="202454" spans="27:27">
      <c r="AA202454" s="613"/>
    </row>
    <row r="202455" spans="27:27">
      <c r="AA202455" s="613"/>
    </row>
    <row r="202600" spans="27:27">
      <c r="AA202600" s="613"/>
    </row>
    <row r="202601" spans="27:27">
      <c r="AA202601" s="613"/>
    </row>
    <row r="202746" spans="27:27">
      <c r="AA202746" s="613"/>
    </row>
    <row r="202747" spans="27:27">
      <c r="AA202747" s="613"/>
    </row>
    <row r="202892" spans="27:27">
      <c r="AA202892" s="613"/>
    </row>
    <row r="202893" spans="27:27">
      <c r="AA202893" s="613"/>
    </row>
    <row r="203038" spans="27:27">
      <c r="AA203038" s="613"/>
    </row>
    <row r="203039" spans="27:27">
      <c r="AA203039" s="613"/>
    </row>
    <row r="203184" spans="27:27">
      <c r="AA203184" s="613"/>
    </row>
    <row r="203185" spans="27:27">
      <c r="AA203185" s="613"/>
    </row>
    <row r="203330" spans="27:27">
      <c r="AA203330" s="613"/>
    </row>
    <row r="203331" spans="27:27">
      <c r="AA203331" s="613"/>
    </row>
    <row r="203476" spans="27:27">
      <c r="AA203476" s="613"/>
    </row>
    <row r="203477" spans="27:27">
      <c r="AA203477" s="613"/>
    </row>
    <row r="203622" spans="27:27">
      <c r="AA203622" s="613"/>
    </row>
    <row r="203623" spans="27:27">
      <c r="AA203623" s="613"/>
    </row>
    <row r="203768" spans="27:27">
      <c r="AA203768" s="613"/>
    </row>
    <row r="203769" spans="27:27">
      <c r="AA203769" s="613"/>
    </row>
    <row r="203914" spans="27:27">
      <c r="AA203914" s="613"/>
    </row>
    <row r="203915" spans="27:27">
      <c r="AA203915" s="613"/>
    </row>
    <row r="204060" spans="27:27">
      <c r="AA204060" s="613"/>
    </row>
    <row r="204061" spans="27:27">
      <c r="AA204061" s="613"/>
    </row>
    <row r="204206" spans="27:27">
      <c r="AA204206" s="613"/>
    </row>
    <row r="204207" spans="27:27">
      <c r="AA204207" s="613"/>
    </row>
    <row r="204352" spans="27:27">
      <c r="AA204352" s="613"/>
    </row>
    <row r="204353" spans="27:27">
      <c r="AA204353" s="613"/>
    </row>
    <row r="204498" spans="27:27">
      <c r="AA204498" s="613"/>
    </row>
    <row r="204499" spans="27:27">
      <c r="AA204499" s="613"/>
    </row>
    <row r="204644" spans="27:27">
      <c r="AA204644" s="613"/>
    </row>
    <row r="204645" spans="27:27">
      <c r="AA204645" s="613"/>
    </row>
    <row r="204790" spans="27:27">
      <c r="AA204790" s="613"/>
    </row>
    <row r="204791" spans="27:27">
      <c r="AA204791" s="613"/>
    </row>
    <row r="204936" spans="27:27">
      <c r="AA204936" s="613"/>
    </row>
    <row r="204937" spans="27:27">
      <c r="AA204937" s="613"/>
    </row>
    <row r="205082" spans="27:27">
      <c r="AA205082" s="613"/>
    </row>
    <row r="205083" spans="27:27">
      <c r="AA205083" s="613"/>
    </row>
    <row r="205228" spans="27:27">
      <c r="AA205228" s="613"/>
    </row>
    <row r="205229" spans="27:27">
      <c r="AA205229" s="613"/>
    </row>
    <row r="205374" spans="27:27">
      <c r="AA205374" s="613"/>
    </row>
    <row r="205375" spans="27:27">
      <c r="AA205375" s="613"/>
    </row>
    <row r="205520" spans="27:27">
      <c r="AA205520" s="613"/>
    </row>
    <row r="205521" spans="27:27">
      <c r="AA205521" s="613"/>
    </row>
    <row r="205666" spans="27:27">
      <c r="AA205666" s="613"/>
    </row>
    <row r="205667" spans="27:27">
      <c r="AA205667" s="613"/>
    </row>
    <row r="205812" spans="27:27">
      <c r="AA205812" s="613"/>
    </row>
    <row r="205813" spans="27:27">
      <c r="AA205813" s="613"/>
    </row>
    <row r="205958" spans="27:27">
      <c r="AA205958" s="613"/>
    </row>
    <row r="205959" spans="27:27">
      <c r="AA205959" s="613"/>
    </row>
    <row r="206104" spans="27:27">
      <c r="AA206104" s="613"/>
    </row>
    <row r="206105" spans="27:27">
      <c r="AA206105" s="613"/>
    </row>
    <row r="206250" spans="27:27">
      <c r="AA206250" s="613"/>
    </row>
    <row r="206251" spans="27:27">
      <c r="AA206251" s="613"/>
    </row>
    <row r="206396" spans="27:27">
      <c r="AA206396" s="613"/>
    </row>
    <row r="206397" spans="27:27">
      <c r="AA206397" s="613"/>
    </row>
    <row r="206542" spans="27:27">
      <c r="AA206542" s="613"/>
    </row>
    <row r="206543" spans="27:27">
      <c r="AA206543" s="613"/>
    </row>
    <row r="206688" spans="27:27">
      <c r="AA206688" s="613"/>
    </row>
    <row r="206689" spans="27:27">
      <c r="AA206689" s="613"/>
    </row>
    <row r="206834" spans="27:27">
      <c r="AA206834" s="613"/>
    </row>
    <row r="206835" spans="27:27">
      <c r="AA206835" s="613"/>
    </row>
    <row r="206980" spans="27:27">
      <c r="AA206980" s="613"/>
    </row>
    <row r="206981" spans="27:27">
      <c r="AA206981" s="613"/>
    </row>
    <row r="207126" spans="27:27">
      <c r="AA207126" s="613"/>
    </row>
    <row r="207127" spans="27:27">
      <c r="AA207127" s="613"/>
    </row>
    <row r="207272" spans="27:27">
      <c r="AA207272" s="613"/>
    </row>
    <row r="207273" spans="27:27">
      <c r="AA207273" s="613"/>
    </row>
    <row r="207418" spans="27:27">
      <c r="AA207418" s="613"/>
    </row>
    <row r="207419" spans="27:27">
      <c r="AA207419" s="613"/>
    </row>
    <row r="207564" spans="27:27">
      <c r="AA207564" s="613"/>
    </row>
    <row r="207565" spans="27:27">
      <c r="AA207565" s="613"/>
    </row>
    <row r="207710" spans="27:27">
      <c r="AA207710" s="613"/>
    </row>
    <row r="207711" spans="27:27">
      <c r="AA207711" s="613"/>
    </row>
    <row r="207856" spans="27:27">
      <c r="AA207856" s="613"/>
    </row>
    <row r="207857" spans="27:27">
      <c r="AA207857" s="613"/>
    </row>
    <row r="208002" spans="27:27">
      <c r="AA208002" s="613"/>
    </row>
    <row r="208003" spans="27:27">
      <c r="AA208003" s="613"/>
    </row>
    <row r="208148" spans="27:27">
      <c r="AA208148" s="613"/>
    </row>
    <row r="208149" spans="27:27">
      <c r="AA208149" s="613"/>
    </row>
    <row r="208294" spans="27:27">
      <c r="AA208294" s="613"/>
    </row>
    <row r="208295" spans="27:27">
      <c r="AA208295" s="613"/>
    </row>
    <row r="208440" spans="27:27">
      <c r="AA208440" s="613"/>
    </row>
    <row r="208441" spans="27:27">
      <c r="AA208441" s="613"/>
    </row>
    <row r="208586" spans="27:27">
      <c r="AA208586" s="613"/>
    </row>
    <row r="208587" spans="27:27">
      <c r="AA208587" s="613"/>
    </row>
    <row r="208732" spans="27:27">
      <c r="AA208732" s="613"/>
    </row>
    <row r="208733" spans="27:27">
      <c r="AA208733" s="613"/>
    </row>
    <row r="208878" spans="27:27">
      <c r="AA208878" s="613"/>
    </row>
    <row r="208879" spans="27:27">
      <c r="AA208879" s="613"/>
    </row>
    <row r="209024" spans="27:27">
      <c r="AA209024" s="613"/>
    </row>
    <row r="209025" spans="27:27">
      <c r="AA209025" s="613"/>
    </row>
    <row r="209170" spans="27:27">
      <c r="AA209170" s="613"/>
    </row>
    <row r="209171" spans="27:27">
      <c r="AA209171" s="613"/>
    </row>
    <row r="209316" spans="27:27">
      <c r="AA209316" s="613"/>
    </row>
    <row r="209317" spans="27:27">
      <c r="AA209317" s="613"/>
    </row>
    <row r="209462" spans="27:27">
      <c r="AA209462" s="613"/>
    </row>
    <row r="209463" spans="27:27">
      <c r="AA209463" s="613"/>
    </row>
    <row r="209608" spans="27:27">
      <c r="AA209608" s="613"/>
    </row>
    <row r="209609" spans="27:27">
      <c r="AA209609" s="613"/>
    </row>
    <row r="209754" spans="27:27">
      <c r="AA209754" s="613"/>
    </row>
    <row r="209755" spans="27:27">
      <c r="AA209755" s="613"/>
    </row>
    <row r="209900" spans="27:27">
      <c r="AA209900" s="613"/>
    </row>
    <row r="209901" spans="27:27">
      <c r="AA209901" s="613"/>
    </row>
    <row r="210046" spans="27:27">
      <c r="AA210046" s="613"/>
    </row>
    <row r="210047" spans="27:27">
      <c r="AA210047" s="613"/>
    </row>
    <row r="210192" spans="27:27">
      <c r="AA210192" s="613"/>
    </row>
    <row r="210193" spans="27:27">
      <c r="AA210193" s="613"/>
    </row>
    <row r="210338" spans="27:27">
      <c r="AA210338" s="613"/>
    </row>
    <row r="210339" spans="27:27">
      <c r="AA210339" s="613"/>
    </row>
    <row r="210484" spans="27:27">
      <c r="AA210484" s="613"/>
    </row>
    <row r="210485" spans="27:27">
      <c r="AA210485" s="613"/>
    </row>
    <row r="210630" spans="27:27">
      <c r="AA210630" s="613"/>
    </row>
    <row r="210631" spans="27:27">
      <c r="AA210631" s="613"/>
    </row>
    <row r="210776" spans="27:27">
      <c r="AA210776" s="613"/>
    </row>
    <row r="210777" spans="27:27">
      <c r="AA210777" s="613"/>
    </row>
    <row r="210922" spans="27:27">
      <c r="AA210922" s="613"/>
    </row>
    <row r="210923" spans="27:27">
      <c r="AA210923" s="613"/>
    </row>
    <row r="211068" spans="27:27">
      <c r="AA211068" s="613"/>
    </row>
    <row r="211069" spans="27:27">
      <c r="AA211069" s="613"/>
    </row>
    <row r="211214" spans="27:27">
      <c r="AA211214" s="613"/>
    </row>
    <row r="211215" spans="27:27">
      <c r="AA211215" s="613"/>
    </row>
    <row r="211360" spans="27:27">
      <c r="AA211360" s="613"/>
    </row>
    <row r="211361" spans="27:27">
      <c r="AA211361" s="613"/>
    </row>
    <row r="211506" spans="27:27">
      <c r="AA211506" s="613"/>
    </row>
    <row r="211507" spans="27:27">
      <c r="AA211507" s="613"/>
    </row>
    <row r="211652" spans="27:27">
      <c r="AA211652" s="613"/>
    </row>
    <row r="211653" spans="27:27">
      <c r="AA211653" s="613"/>
    </row>
    <row r="211798" spans="27:27">
      <c r="AA211798" s="613"/>
    </row>
    <row r="211799" spans="27:27">
      <c r="AA211799" s="613"/>
    </row>
    <row r="211944" spans="27:27">
      <c r="AA211944" s="613"/>
    </row>
    <row r="211945" spans="27:27">
      <c r="AA211945" s="613"/>
    </row>
    <row r="212090" spans="27:27">
      <c r="AA212090" s="613"/>
    </row>
    <row r="212091" spans="27:27">
      <c r="AA212091" s="613"/>
    </row>
    <row r="212236" spans="27:27">
      <c r="AA212236" s="613"/>
    </row>
    <row r="212237" spans="27:27">
      <c r="AA212237" s="613"/>
    </row>
    <row r="212382" spans="27:27">
      <c r="AA212382" s="613"/>
    </row>
    <row r="212383" spans="27:27">
      <c r="AA212383" s="613"/>
    </row>
    <row r="212528" spans="27:27">
      <c r="AA212528" s="613"/>
    </row>
    <row r="212529" spans="27:27">
      <c r="AA212529" s="613"/>
    </row>
    <row r="212674" spans="27:27">
      <c r="AA212674" s="613"/>
    </row>
    <row r="212675" spans="27:27">
      <c r="AA212675" s="613"/>
    </row>
    <row r="212820" spans="27:27">
      <c r="AA212820" s="613"/>
    </row>
    <row r="212821" spans="27:27">
      <c r="AA212821" s="613"/>
    </row>
    <row r="212966" spans="27:27">
      <c r="AA212966" s="613"/>
    </row>
    <row r="212967" spans="27:27">
      <c r="AA212967" s="613"/>
    </row>
    <row r="213112" spans="27:27">
      <c r="AA213112" s="613"/>
    </row>
    <row r="213113" spans="27:27">
      <c r="AA213113" s="613"/>
    </row>
    <row r="213258" spans="27:27">
      <c r="AA213258" s="613"/>
    </row>
    <row r="213259" spans="27:27">
      <c r="AA213259" s="613"/>
    </row>
    <row r="213404" spans="27:27">
      <c r="AA213404" s="613"/>
    </row>
    <row r="213405" spans="27:27">
      <c r="AA213405" s="613"/>
    </row>
    <row r="213550" spans="27:27">
      <c r="AA213550" s="613"/>
    </row>
    <row r="213551" spans="27:27">
      <c r="AA213551" s="613"/>
    </row>
    <row r="213696" spans="27:27">
      <c r="AA213696" s="613"/>
    </row>
    <row r="213697" spans="27:27">
      <c r="AA213697" s="613"/>
    </row>
    <row r="213842" spans="27:27">
      <c r="AA213842" s="613"/>
    </row>
    <row r="213843" spans="27:27">
      <c r="AA213843" s="613"/>
    </row>
    <row r="213988" spans="27:27">
      <c r="AA213988" s="613"/>
    </row>
    <row r="213989" spans="27:27">
      <c r="AA213989" s="613"/>
    </row>
    <row r="214134" spans="27:27">
      <c r="AA214134" s="613"/>
    </row>
    <row r="214135" spans="27:27">
      <c r="AA214135" s="613"/>
    </row>
    <row r="214280" spans="27:27">
      <c r="AA214280" s="613"/>
    </row>
    <row r="214281" spans="27:27">
      <c r="AA214281" s="613"/>
    </row>
    <row r="214426" spans="27:27">
      <c r="AA214426" s="613"/>
    </row>
    <row r="214427" spans="27:27">
      <c r="AA214427" s="613"/>
    </row>
    <row r="214572" spans="27:27">
      <c r="AA214572" s="613"/>
    </row>
    <row r="214573" spans="27:27">
      <c r="AA214573" s="613"/>
    </row>
    <row r="214718" spans="27:27">
      <c r="AA214718" s="613"/>
    </row>
    <row r="214719" spans="27:27">
      <c r="AA214719" s="613"/>
    </row>
    <row r="214864" spans="27:27">
      <c r="AA214864" s="613"/>
    </row>
    <row r="214865" spans="27:27">
      <c r="AA214865" s="613"/>
    </row>
    <row r="215010" spans="27:27">
      <c r="AA215010" s="613"/>
    </row>
    <row r="215011" spans="27:27">
      <c r="AA215011" s="613"/>
    </row>
    <row r="215156" spans="27:27">
      <c r="AA215156" s="613"/>
    </row>
    <row r="215157" spans="27:27">
      <c r="AA215157" s="613"/>
    </row>
    <row r="215302" spans="27:27">
      <c r="AA215302" s="613"/>
    </row>
    <row r="215303" spans="27:27">
      <c r="AA215303" s="613"/>
    </row>
    <row r="215448" spans="27:27">
      <c r="AA215448" s="613"/>
    </row>
    <row r="215449" spans="27:27">
      <c r="AA215449" s="613"/>
    </row>
    <row r="215594" spans="27:27">
      <c r="AA215594" s="613"/>
    </row>
    <row r="215595" spans="27:27">
      <c r="AA215595" s="613"/>
    </row>
    <row r="215740" spans="27:27">
      <c r="AA215740" s="613"/>
    </row>
    <row r="215741" spans="27:27">
      <c r="AA215741" s="613"/>
    </row>
    <row r="215886" spans="27:27">
      <c r="AA215886" s="613"/>
    </row>
    <row r="215887" spans="27:27">
      <c r="AA215887" s="613"/>
    </row>
    <row r="216032" spans="27:27">
      <c r="AA216032" s="613"/>
    </row>
    <row r="216033" spans="27:27">
      <c r="AA216033" s="613"/>
    </row>
    <row r="216178" spans="27:27">
      <c r="AA216178" s="613"/>
    </row>
    <row r="216179" spans="27:27">
      <c r="AA216179" s="613"/>
    </row>
    <row r="216324" spans="27:27">
      <c r="AA216324" s="613"/>
    </row>
    <row r="216325" spans="27:27">
      <c r="AA216325" s="613"/>
    </row>
    <row r="216470" spans="27:27">
      <c r="AA216470" s="613"/>
    </row>
    <row r="216471" spans="27:27">
      <c r="AA216471" s="613"/>
    </row>
    <row r="216616" spans="27:27">
      <c r="AA216616" s="613"/>
    </row>
    <row r="216617" spans="27:27">
      <c r="AA216617" s="613"/>
    </row>
    <row r="216762" spans="27:27">
      <c r="AA216762" s="613"/>
    </row>
    <row r="216763" spans="27:27">
      <c r="AA216763" s="613"/>
    </row>
    <row r="216908" spans="27:27">
      <c r="AA216908" s="613"/>
    </row>
    <row r="216909" spans="27:27">
      <c r="AA216909" s="613"/>
    </row>
    <row r="217054" spans="27:27">
      <c r="AA217054" s="613"/>
    </row>
    <row r="217055" spans="27:27">
      <c r="AA217055" s="613"/>
    </row>
    <row r="217200" spans="27:27">
      <c r="AA217200" s="613"/>
    </row>
    <row r="217201" spans="27:27">
      <c r="AA217201" s="613"/>
    </row>
    <row r="217346" spans="27:27">
      <c r="AA217346" s="613"/>
    </row>
    <row r="217347" spans="27:27">
      <c r="AA217347" s="613"/>
    </row>
    <row r="217492" spans="27:27">
      <c r="AA217492" s="613"/>
    </row>
    <row r="217493" spans="27:27">
      <c r="AA217493" s="613"/>
    </row>
    <row r="217638" spans="27:27">
      <c r="AA217638" s="613"/>
    </row>
    <row r="217639" spans="27:27">
      <c r="AA217639" s="613"/>
    </row>
    <row r="217784" spans="27:27">
      <c r="AA217784" s="613"/>
    </row>
    <row r="217785" spans="27:27">
      <c r="AA217785" s="613"/>
    </row>
    <row r="217930" spans="27:27">
      <c r="AA217930" s="613"/>
    </row>
    <row r="217931" spans="27:27">
      <c r="AA217931" s="613"/>
    </row>
    <row r="218076" spans="27:27">
      <c r="AA218076" s="613"/>
    </row>
    <row r="218077" spans="27:27">
      <c r="AA218077" s="613"/>
    </row>
    <row r="218222" spans="27:27">
      <c r="AA218222" s="613"/>
    </row>
    <row r="218223" spans="27:27">
      <c r="AA218223" s="613"/>
    </row>
    <row r="218368" spans="27:27">
      <c r="AA218368" s="613"/>
    </row>
    <row r="218369" spans="27:27">
      <c r="AA218369" s="613"/>
    </row>
    <row r="218514" spans="27:27">
      <c r="AA218514" s="613"/>
    </row>
    <row r="218515" spans="27:27">
      <c r="AA218515" s="613"/>
    </row>
    <row r="218660" spans="27:27">
      <c r="AA218660" s="613"/>
    </row>
    <row r="218661" spans="27:27">
      <c r="AA218661" s="613"/>
    </row>
    <row r="218806" spans="27:27">
      <c r="AA218806" s="613"/>
    </row>
    <row r="218807" spans="27:27">
      <c r="AA218807" s="613"/>
    </row>
    <row r="218952" spans="27:27">
      <c r="AA218952" s="613"/>
    </row>
    <row r="218953" spans="27:27">
      <c r="AA218953" s="613"/>
    </row>
    <row r="219098" spans="27:27">
      <c r="AA219098" s="613"/>
    </row>
    <row r="219099" spans="27:27">
      <c r="AA219099" s="613"/>
    </row>
    <row r="219244" spans="27:27">
      <c r="AA219244" s="613"/>
    </row>
    <row r="219245" spans="27:27">
      <c r="AA219245" s="613"/>
    </row>
    <row r="219390" spans="27:27">
      <c r="AA219390" s="613"/>
    </row>
    <row r="219391" spans="27:27">
      <c r="AA219391" s="613"/>
    </row>
    <row r="219536" spans="27:27">
      <c r="AA219536" s="613"/>
    </row>
    <row r="219537" spans="27:27">
      <c r="AA219537" s="613"/>
    </row>
    <row r="219682" spans="27:27">
      <c r="AA219682" s="613"/>
    </row>
    <row r="219683" spans="27:27">
      <c r="AA219683" s="613"/>
    </row>
    <row r="219828" spans="27:27">
      <c r="AA219828" s="613"/>
    </row>
    <row r="219829" spans="27:27">
      <c r="AA219829" s="613"/>
    </row>
    <row r="219974" spans="27:27">
      <c r="AA219974" s="613"/>
    </row>
    <row r="219975" spans="27:27">
      <c r="AA219975" s="613"/>
    </row>
    <row r="220120" spans="27:27">
      <c r="AA220120" s="613"/>
    </row>
    <row r="220121" spans="27:27">
      <c r="AA220121" s="613"/>
    </row>
    <row r="220266" spans="27:27">
      <c r="AA220266" s="613"/>
    </row>
    <row r="220267" spans="27:27">
      <c r="AA220267" s="613"/>
    </row>
    <row r="220412" spans="27:27">
      <c r="AA220412" s="613"/>
    </row>
    <row r="220413" spans="27:27">
      <c r="AA220413" s="613"/>
    </row>
    <row r="220558" spans="27:27">
      <c r="AA220558" s="613"/>
    </row>
    <row r="220559" spans="27:27">
      <c r="AA220559" s="613"/>
    </row>
    <row r="220704" spans="27:27">
      <c r="AA220704" s="613"/>
    </row>
    <row r="220705" spans="27:27">
      <c r="AA220705" s="613"/>
    </row>
    <row r="220850" spans="27:27">
      <c r="AA220850" s="613"/>
    </row>
    <row r="220851" spans="27:27">
      <c r="AA220851" s="613"/>
    </row>
    <row r="220996" spans="27:27">
      <c r="AA220996" s="613"/>
    </row>
    <row r="220997" spans="27:27">
      <c r="AA220997" s="613"/>
    </row>
    <row r="221142" spans="27:27">
      <c r="AA221142" s="613"/>
    </row>
    <row r="221143" spans="27:27">
      <c r="AA221143" s="613"/>
    </row>
    <row r="221288" spans="27:27">
      <c r="AA221288" s="613"/>
    </row>
    <row r="221289" spans="27:27">
      <c r="AA221289" s="613"/>
    </row>
    <row r="221434" spans="27:27">
      <c r="AA221434" s="613"/>
    </row>
    <row r="221435" spans="27:27">
      <c r="AA221435" s="613"/>
    </row>
    <row r="221580" spans="27:27">
      <c r="AA221580" s="613"/>
    </row>
    <row r="221581" spans="27:27">
      <c r="AA221581" s="613"/>
    </row>
    <row r="221726" spans="27:27">
      <c r="AA221726" s="613"/>
    </row>
    <row r="221727" spans="27:27">
      <c r="AA221727" s="613"/>
    </row>
    <row r="221872" spans="27:27">
      <c r="AA221872" s="613"/>
    </row>
    <row r="221873" spans="27:27">
      <c r="AA221873" s="613"/>
    </row>
    <row r="222018" spans="27:27">
      <c r="AA222018" s="613"/>
    </row>
    <row r="222019" spans="27:27">
      <c r="AA222019" s="613"/>
    </row>
    <row r="222164" spans="27:27">
      <c r="AA222164" s="613"/>
    </row>
    <row r="222165" spans="27:27">
      <c r="AA222165" s="613"/>
    </row>
    <row r="222310" spans="27:27">
      <c r="AA222310" s="613"/>
    </row>
    <row r="222311" spans="27:27">
      <c r="AA222311" s="613"/>
    </row>
    <row r="222456" spans="27:27">
      <c r="AA222456" s="613"/>
    </row>
    <row r="222457" spans="27:27">
      <c r="AA222457" s="613"/>
    </row>
    <row r="222602" spans="27:27">
      <c r="AA222602" s="613"/>
    </row>
    <row r="222603" spans="27:27">
      <c r="AA222603" s="613"/>
    </row>
    <row r="222748" spans="27:27">
      <c r="AA222748" s="613"/>
    </row>
    <row r="222749" spans="27:27">
      <c r="AA222749" s="613"/>
    </row>
    <row r="222894" spans="27:27">
      <c r="AA222894" s="613"/>
    </row>
    <row r="222895" spans="27:27">
      <c r="AA222895" s="613"/>
    </row>
    <row r="223040" spans="27:27">
      <c r="AA223040" s="613"/>
    </row>
    <row r="223041" spans="27:27">
      <c r="AA223041" s="613"/>
    </row>
    <row r="223186" spans="27:27">
      <c r="AA223186" s="613"/>
    </row>
    <row r="223187" spans="27:27">
      <c r="AA223187" s="613"/>
    </row>
    <row r="223332" spans="27:27">
      <c r="AA223332" s="613"/>
    </row>
    <row r="223333" spans="27:27">
      <c r="AA223333" s="613"/>
    </row>
    <row r="223478" spans="27:27">
      <c r="AA223478" s="613"/>
    </row>
    <row r="223479" spans="27:27">
      <c r="AA223479" s="613"/>
    </row>
    <row r="223624" spans="27:27">
      <c r="AA223624" s="613"/>
    </row>
    <row r="223625" spans="27:27">
      <c r="AA223625" s="613"/>
    </row>
    <row r="223770" spans="27:27">
      <c r="AA223770" s="613"/>
    </row>
    <row r="223771" spans="27:27">
      <c r="AA223771" s="613"/>
    </row>
    <row r="223916" spans="27:27">
      <c r="AA223916" s="613"/>
    </row>
    <row r="223917" spans="27:27">
      <c r="AA223917" s="613"/>
    </row>
    <row r="224062" spans="27:27">
      <c r="AA224062" s="613"/>
    </row>
    <row r="224063" spans="27:27">
      <c r="AA224063" s="613"/>
    </row>
    <row r="224208" spans="27:27">
      <c r="AA224208" s="613"/>
    </row>
    <row r="224209" spans="27:27">
      <c r="AA224209" s="613"/>
    </row>
    <row r="224354" spans="27:27">
      <c r="AA224354" s="613"/>
    </row>
    <row r="224355" spans="27:27">
      <c r="AA224355" s="613"/>
    </row>
    <row r="224500" spans="27:27">
      <c r="AA224500" s="613"/>
    </row>
    <row r="224501" spans="27:27">
      <c r="AA224501" s="613"/>
    </row>
    <row r="224646" spans="27:27">
      <c r="AA224646" s="613"/>
    </row>
    <row r="224647" spans="27:27">
      <c r="AA224647" s="613"/>
    </row>
    <row r="224792" spans="27:27">
      <c r="AA224792" s="613"/>
    </row>
    <row r="224793" spans="27:27">
      <c r="AA224793" s="613"/>
    </row>
    <row r="224938" spans="27:27">
      <c r="AA224938" s="613"/>
    </row>
    <row r="224939" spans="27:27">
      <c r="AA224939" s="613"/>
    </row>
    <row r="225084" spans="27:27">
      <c r="AA225084" s="613"/>
    </row>
    <row r="225085" spans="27:27">
      <c r="AA225085" s="613"/>
    </row>
    <row r="225230" spans="27:27">
      <c r="AA225230" s="613"/>
    </row>
    <row r="225231" spans="27:27">
      <c r="AA225231" s="613"/>
    </row>
    <row r="225376" spans="27:27">
      <c r="AA225376" s="613"/>
    </row>
    <row r="225377" spans="27:27">
      <c r="AA225377" s="613"/>
    </row>
    <row r="225522" spans="27:27">
      <c r="AA225522" s="613"/>
    </row>
    <row r="225523" spans="27:27">
      <c r="AA225523" s="613"/>
    </row>
    <row r="225668" spans="27:27">
      <c r="AA225668" s="613"/>
    </row>
    <row r="225669" spans="27:27">
      <c r="AA225669" s="613"/>
    </row>
    <row r="225814" spans="27:27">
      <c r="AA225814" s="613"/>
    </row>
    <row r="225815" spans="27:27">
      <c r="AA225815" s="613"/>
    </row>
    <row r="225960" spans="27:27">
      <c r="AA225960" s="613"/>
    </row>
    <row r="225961" spans="27:27">
      <c r="AA225961" s="613"/>
    </row>
    <row r="226106" spans="27:27">
      <c r="AA226106" s="613"/>
    </row>
    <row r="226107" spans="27:27">
      <c r="AA226107" s="613"/>
    </row>
    <row r="226252" spans="27:27">
      <c r="AA226252" s="613"/>
    </row>
    <row r="226253" spans="27:27">
      <c r="AA226253" s="613"/>
    </row>
    <row r="226398" spans="27:27">
      <c r="AA226398" s="613"/>
    </row>
    <row r="226399" spans="27:27">
      <c r="AA226399" s="613"/>
    </row>
    <row r="226544" spans="27:27">
      <c r="AA226544" s="613"/>
    </row>
    <row r="226545" spans="27:27">
      <c r="AA226545" s="613"/>
    </row>
    <row r="226690" spans="27:27">
      <c r="AA226690" s="613"/>
    </row>
    <row r="226691" spans="27:27">
      <c r="AA226691" s="613"/>
    </row>
    <row r="226836" spans="27:27">
      <c r="AA226836" s="613"/>
    </row>
    <row r="226837" spans="27:27">
      <c r="AA226837" s="613"/>
    </row>
    <row r="226982" spans="27:27">
      <c r="AA226982" s="613"/>
    </row>
    <row r="226983" spans="27:27">
      <c r="AA226983" s="613"/>
    </row>
    <row r="227128" spans="27:27">
      <c r="AA227128" s="613"/>
    </row>
    <row r="227129" spans="27:27">
      <c r="AA227129" s="613"/>
    </row>
    <row r="227274" spans="27:27">
      <c r="AA227274" s="613"/>
    </row>
    <row r="227275" spans="27:27">
      <c r="AA227275" s="613"/>
    </row>
    <row r="227420" spans="27:27">
      <c r="AA227420" s="613"/>
    </row>
    <row r="227421" spans="27:27">
      <c r="AA227421" s="613"/>
    </row>
    <row r="227566" spans="27:27">
      <c r="AA227566" s="613"/>
    </row>
    <row r="227567" spans="27:27">
      <c r="AA227567" s="613"/>
    </row>
    <row r="227712" spans="27:27">
      <c r="AA227712" s="613"/>
    </row>
    <row r="227713" spans="27:27">
      <c r="AA227713" s="613"/>
    </row>
    <row r="227858" spans="27:27">
      <c r="AA227858" s="613"/>
    </row>
    <row r="227859" spans="27:27">
      <c r="AA227859" s="613"/>
    </row>
    <row r="228004" spans="27:27">
      <c r="AA228004" s="613"/>
    </row>
    <row r="228005" spans="27:27">
      <c r="AA228005" s="613"/>
    </row>
    <row r="228150" spans="27:27">
      <c r="AA228150" s="613"/>
    </row>
    <row r="228151" spans="27:27">
      <c r="AA228151" s="613"/>
    </row>
    <row r="228296" spans="27:27">
      <c r="AA228296" s="613"/>
    </row>
    <row r="228297" spans="27:27">
      <c r="AA228297" s="613"/>
    </row>
    <row r="228442" spans="27:27">
      <c r="AA228442" s="613"/>
    </row>
    <row r="228443" spans="27:27">
      <c r="AA228443" s="613"/>
    </row>
    <row r="228588" spans="27:27">
      <c r="AA228588" s="613"/>
    </row>
    <row r="228589" spans="27:27">
      <c r="AA228589" s="613"/>
    </row>
    <row r="228734" spans="27:27">
      <c r="AA228734" s="613"/>
    </row>
    <row r="228735" spans="27:27">
      <c r="AA228735" s="613"/>
    </row>
    <row r="228880" spans="27:27">
      <c r="AA228880" s="613"/>
    </row>
    <row r="228881" spans="27:27">
      <c r="AA228881" s="613"/>
    </row>
    <row r="229026" spans="27:27">
      <c r="AA229026" s="613"/>
    </row>
    <row r="229027" spans="27:27">
      <c r="AA229027" s="613"/>
    </row>
    <row r="229172" spans="27:27">
      <c r="AA229172" s="613"/>
    </row>
    <row r="229173" spans="27:27">
      <c r="AA229173" s="613"/>
    </row>
    <row r="229318" spans="27:27">
      <c r="AA229318" s="613"/>
    </row>
    <row r="229319" spans="27:27">
      <c r="AA229319" s="613"/>
    </row>
    <row r="229464" spans="27:27">
      <c r="AA229464" s="613"/>
    </row>
    <row r="229465" spans="27:27">
      <c r="AA229465" s="613"/>
    </row>
    <row r="229610" spans="27:27">
      <c r="AA229610" s="613"/>
    </row>
    <row r="229611" spans="27:27">
      <c r="AA229611" s="613"/>
    </row>
    <row r="229756" spans="27:27">
      <c r="AA229756" s="613"/>
    </row>
    <row r="229757" spans="27:27">
      <c r="AA229757" s="613"/>
    </row>
    <row r="229902" spans="27:27">
      <c r="AA229902" s="613"/>
    </row>
    <row r="229903" spans="27:27">
      <c r="AA229903" s="613"/>
    </row>
    <row r="230048" spans="27:27">
      <c r="AA230048" s="613"/>
    </row>
    <row r="230049" spans="27:27">
      <c r="AA230049" s="613"/>
    </row>
    <row r="230194" spans="27:27">
      <c r="AA230194" s="613"/>
    </row>
    <row r="230195" spans="27:27">
      <c r="AA230195" s="613"/>
    </row>
    <row r="230340" spans="27:27">
      <c r="AA230340" s="613"/>
    </row>
    <row r="230341" spans="27:27">
      <c r="AA230341" s="613"/>
    </row>
    <row r="230486" spans="27:27">
      <c r="AA230486" s="613"/>
    </row>
    <row r="230487" spans="27:27">
      <c r="AA230487" s="613"/>
    </row>
    <row r="230632" spans="27:27">
      <c r="AA230632" s="613"/>
    </row>
    <row r="230633" spans="27:27">
      <c r="AA230633" s="613"/>
    </row>
    <row r="230778" spans="27:27">
      <c r="AA230778" s="613"/>
    </row>
    <row r="230779" spans="27:27">
      <c r="AA230779" s="613"/>
    </row>
    <row r="230924" spans="27:27">
      <c r="AA230924" s="613"/>
    </row>
    <row r="230925" spans="27:27">
      <c r="AA230925" s="613"/>
    </row>
    <row r="231070" spans="27:27">
      <c r="AA231070" s="613"/>
    </row>
    <row r="231071" spans="27:27">
      <c r="AA231071" s="613"/>
    </row>
    <row r="231216" spans="27:27">
      <c r="AA231216" s="613"/>
    </row>
    <row r="231217" spans="27:27">
      <c r="AA231217" s="613"/>
    </row>
    <row r="231362" spans="27:27">
      <c r="AA231362" s="613"/>
    </row>
    <row r="231363" spans="27:27">
      <c r="AA231363" s="613"/>
    </row>
    <row r="231508" spans="27:27">
      <c r="AA231508" s="613"/>
    </row>
    <row r="231509" spans="27:27">
      <c r="AA231509" s="613"/>
    </row>
    <row r="231654" spans="27:27">
      <c r="AA231654" s="613"/>
    </row>
    <row r="231655" spans="27:27">
      <c r="AA231655" s="613"/>
    </row>
    <row r="231800" spans="27:27">
      <c r="AA231800" s="613"/>
    </row>
    <row r="231801" spans="27:27">
      <c r="AA231801" s="613"/>
    </row>
    <row r="231946" spans="27:27">
      <c r="AA231946" s="613"/>
    </row>
    <row r="231947" spans="27:27">
      <c r="AA231947" s="613"/>
    </row>
    <row r="232092" spans="27:27">
      <c r="AA232092" s="613"/>
    </row>
    <row r="232093" spans="27:27">
      <c r="AA232093" s="613"/>
    </row>
    <row r="232238" spans="27:27">
      <c r="AA232238" s="613"/>
    </row>
    <row r="232239" spans="27:27">
      <c r="AA232239" s="613"/>
    </row>
    <row r="232384" spans="27:27">
      <c r="AA232384" s="613"/>
    </row>
    <row r="232385" spans="27:27">
      <c r="AA232385" s="613"/>
    </row>
    <row r="232530" spans="27:27">
      <c r="AA232530" s="613"/>
    </row>
    <row r="232531" spans="27:27">
      <c r="AA232531" s="613"/>
    </row>
    <row r="232676" spans="27:27">
      <c r="AA232676" s="613"/>
    </row>
    <row r="232677" spans="27:27">
      <c r="AA232677" s="613"/>
    </row>
    <row r="232822" spans="27:27">
      <c r="AA232822" s="613"/>
    </row>
    <row r="232823" spans="27:27">
      <c r="AA232823" s="613"/>
    </row>
    <row r="232968" spans="27:27">
      <c r="AA232968" s="613"/>
    </row>
    <row r="232969" spans="27:27">
      <c r="AA232969" s="613"/>
    </row>
    <row r="233114" spans="27:27">
      <c r="AA233114" s="613"/>
    </row>
    <row r="233115" spans="27:27">
      <c r="AA233115" s="613"/>
    </row>
    <row r="233260" spans="27:27">
      <c r="AA233260" s="613"/>
    </row>
    <row r="233261" spans="27:27">
      <c r="AA233261" s="613"/>
    </row>
    <row r="233406" spans="27:27">
      <c r="AA233406" s="613"/>
    </row>
    <row r="233407" spans="27:27">
      <c r="AA233407" s="613"/>
    </row>
    <row r="233552" spans="27:27">
      <c r="AA233552" s="613"/>
    </row>
    <row r="233553" spans="27:27">
      <c r="AA233553" s="613"/>
    </row>
    <row r="233698" spans="27:27">
      <c r="AA233698" s="613"/>
    </row>
    <row r="233699" spans="27:27">
      <c r="AA233699" s="613"/>
    </row>
    <row r="233844" spans="27:27">
      <c r="AA233844" s="613"/>
    </row>
    <row r="233845" spans="27:27">
      <c r="AA233845" s="613"/>
    </row>
    <row r="233990" spans="27:27">
      <c r="AA233990" s="613"/>
    </row>
    <row r="233991" spans="27:27">
      <c r="AA233991" s="613"/>
    </row>
    <row r="234136" spans="27:27">
      <c r="AA234136" s="613"/>
    </row>
    <row r="234137" spans="27:27">
      <c r="AA234137" s="613"/>
    </row>
    <row r="234282" spans="27:27">
      <c r="AA234282" s="613"/>
    </row>
    <row r="234283" spans="27:27">
      <c r="AA234283" s="613"/>
    </row>
    <row r="234428" spans="27:27">
      <c r="AA234428" s="613"/>
    </row>
    <row r="234429" spans="27:27">
      <c r="AA234429" s="613"/>
    </row>
    <row r="234574" spans="27:27">
      <c r="AA234574" s="613"/>
    </row>
    <row r="234575" spans="27:27">
      <c r="AA234575" s="613"/>
    </row>
    <row r="234720" spans="27:27">
      <c r="AA234720" s="613"/>
    </row>
    <row r="234721" spans="27:27">
      <c r="AA234721" s="613"/>
    </row>
    <row r="234866" spans="27:27">
      <c r="AA234866" s="613"/>
    </row>
    <row r="234867" spans="27:27">
      <c r="AA234867" s="613"/>
    </row>
    <row r="235012" spans="27:27">
      <c r="AA235012" s="613"/>
    </row>
    <row r="235013" spans="27:27">
      <c r="AA235013" s="613"/>
    </row>
    <row r="235158" spans="27:27">
      <c r="AA235158" s="613"/>
    </row>
    <row r="235159" spans="27:27">
      <c r="AA235159" s="613"/>
    </row>
    <row r="235304" spans="27:27">
      <c r="AA235304" s="613"/>
    </row>
    <row r="235305" spans="27:27">
      <c r="AA235305" s="613"/>
    </row>
    <row r="235450" spans="27:27">
      <c r="AA235450" s="613"/>
    </row>
    <row r="235451" spans="27:27">
      <c r="AA235451" s="613"/>
    </row>
    <row r="235596" spans="27:27">
      <c r="AA235596" s="613"/>
    </row>
    <row r="235597" spans="27:27">
      <c r="AA235597" s="613"/>
    </row>
    <row r="235742" spans="27:27">
      <c r="AA235742" s="613"/>
    </row>
    <row r="235743" spans="27:27">
      <c r="AA235743" s="613"/>
    </row>
    <row r="235888" spans="27:27">
      <c r="AA235888" s="613"/>
    </row>
    <row r="235889" spans="27:27">
      <c r="AA235889" s="613"/>
    </row>
    <row r="236034" spans="27:27">
      <c r="AA236034" s="613"/>
    </row>
    <row r="236035" spans="27:27">
      <c r="AA236035" s="613"/>
    </row>
    <row r="236180" spans="27:27">
      <c r="AA236180" s="613"/>
    </row>
    <row r="236181" spans="27:27">
      <c r="AA236181" s="613"/>
    </row>
    <row r="236326" spans="27:27">
      <c r="AA236326" s="613"/>
    </row>
    <row r="236327" spans="27:27">
      <c r="AA236327" s="613"/>
    </row>
    <row r="236472" spans="27:27">
      <c r="AA236472" s="613"/>
    </row>
    <row r="236473" spans="27:27">
      <c r="AA236473" s="613"/>
    </row>
    <row r="236618" spans="27:27">
      <c r="AA236618" s="613"/>
    </row>
    <row r="236619" spans="27:27">
      <c r="AA236619" s="613"/>
    </row>
    <row r="236764" spans="27:27">
      <c r="AA236764" s="613"/>
    </row>
    <row r="236765" spans="27:27">
      <c r="AA236765" s="613"/>
    </row>
    <row r="236910" spans="27:27">
      <c r="AA236910" s="613"/>
    </row>
    <row r="236911" spans="27:27">
      <c r="AA236911" s="613"/>
    </row>
    <row r="237056" spans="27:27">
      <c r="AA237056" s="613"/>
    </row>
    <row r="237057" spans="27:27">
      <c r="AA237057" s="613"/>
    </row>
    <row r="237202" spans="27:27">
      <c r="AA237202" s="613"/>
    </row>
    <row r="237203" spans="27:27">
      <c r="AA237203" s="613"/>
    </row>
    <row r="237348" spans="27:27">
      <c r="AA237348" s="613"/>
    </row>
    <row r="237349" spans="27:27">
      <c r="AA237349" s="613"/>
    </row>
    <row r="237494" spans="27:27">
      <c r="AA237494" s="613"/>
    </row>
    <row r="237495" spans="27:27">
      <c r="AA237495" s="613"/>
    </row>
    <row r="237640" spans="27:27">
      <c r="AA237640" s="613"/>
    </row>
    <row r="237641" spans="27:27">
      <c r="AA237641" s="613"/>
    </row>
    <row r="237786" spans="27:27">
      <c r="AA237786" s="613"/>
    </row>
    <row r="237787" spans="27:27">
      <c r="AA237787" s="613"/>
    </row>
    <row r="237932" spans="27:27">
      <c r="AA237932" s="613"/>
    </row>
    <row r="237933" spans="27:27">
      <c r="AA237933" s="613"/>
    </row>
    <row r="238078" spans="27:27">
      <c r="AA238078" s="613"/>
    </row>
    <row r="238079" spans="27:27">
      <c r="AA238079" s="613"/>
    </row>
    <row r="238224" spans="27:27">
      <c r="AA238224" s="613"/>
    </row>
    <row r="238225" spans="27:27">
      <c r="AA238225" s="613"/>
    </row>
    <row r="238370" spans="27:27">
      <c r="AA238370" s="613"/>
    </row>
    <row r="238371" spans="27:27">
      <c r="AA238371" s="613"/>
    </row>
    <row r="238516" spans="27:27">
      <c r="AA238516" s="613"/>
    </row>
    <row r="238517" spans="27:27">
      <c r="AA238517" s="613"/>
    </row>
    <row r="238662" spans="27:27">
      <c r="AA238662" s="613"/>
    </row>
    <row r="238663" spans="27:27">
      <c r="AA238663" s="613"/>
    </row>
    <row r="238808" spans="27:27">
      <c r="AA238808" s="613"/>
    </row>
    <row r="238809" spans="27:27">
      <c r="AA238809" s="613"/>
    </row>
    <row r="238954" spans="27:27">
      <c r="AA238954" s="613"/>
    </row>
    <row r="238955" spans="27:27">
      <c r="AA238955" s="613"/>
    </row>
    <row r="239100" spans="27:27">
      <c r="AA239100" s="613"/>
    </row>
    <row r="239101" spans="27:27">
      <c r="AA239101" s="613"/>
    </row>
    <row r="239246" spans="27:27">
      <c r="AA239246" s="613"/>
    </row>
    <row r="239247" spans="27:27">
      <c r="AA239247" s="613"/>
    </row>
    <row r="239392" spans="27:27">
      <c r="AA239392" s="613"/>
    </row>
    <row r="239393" spans="27:27">
      <c r="AA239393" s="613"/>
    </row>
    <row r="239538" spans="27:27">
      <c r="AA239538" s="613"/>
    </row>
    <row r="239539" spans="27:27">
      <c r="AA239539" s="613"/>
    </row>
    <row r="239684" spans="27:27">
      <c r="AA239684" s="613"/>
    </row>
    <row r="239685" spans="27:27">
      <c r="AA239685" s="613"/>
    </row>
    <row r="239830" spans="27:27">
      <c r="AA239830" s="613"/>
    </row>
    <row r="239831" spans="27:27">
      <c r="AA239831" s="613"/>
    </row>
    <row r="239976" spans="27:27">
      <c r="AA239976" s="613"/>
    </row>
    <row r="239977" spans="27:27">
      <c r="AA239977" s="613"/>
    </row>
    <row r="240122" spans="27:27">
      <c r="AA240122" s="613"/>
    </row>
    <row r="240123" spans="27:27">
      <c r="AA240123" s="613"/>
    </row>
    <row r="240268" spans="27:27">
      <c r="AA240268" s="613"/>
    </row>
    <row r="240269" spans="27:27">
      <c r="AA240269" s="613"/>
    </row>
    <row r="240414" spans="27:27">
      <c r="AA240414" s="613"/>
    </row>
    <row r="240415" spans="27:27">
      <c r="AA240415" s="613"/>
    </row>
    <row r="240560" spans="27:27">
      <c r="AA240560" s="613"/>
    </row>
    <row r="240561" spans="27:27">
      <c r="AA240561" s="613"/>
    </row>
    <row r="240706" spans="27:27">
      <c r="AA240706" s="613"/>
    </row>
    <row r="240707" spans="27:27">
      <c r="AA240707" s="613"/>
    </row>
    <row r="240852" spans="27:27">
      <c r="AA240852" s="613"/>
    </row>
    <row r="240853" spans="27:27">
      <c r="AA240853" s="613"/>
    </row>
    <row r="240998" spans="27:27">
      <c r="AA240998" s="613"/>
    </row>
    <row r="240999" spans="27:27">
      <c r="AA240999" s="613"/>
    </row>
    <row r="241144" spans="27:27">
      <c r="AA241144" s="613"/>
    </row>
    <row r="241145" spans="27:27">
      <c r="AA241145" s="613"/>
    </row>
    <row r="241290" spans="27:27">
      <c r="AA241290" s="613"/>
    </row>
    <row r="241291" spans="27:27">
      <c r="AA241291" s="613"/>
    </row>
    <row r="241436" spans="27:27">
      <c r="AA241436" s="613"/>
    </row>
    <row r="241437" spans="27:27">
      <c r="AA241437" s="613"/>
    </row>
    <row r="241582" spans="27:27">
      <c r="AA241582" s="613"/>
    </row>
    <row r="241583" spans="27:27">
      <c r="AA241583" s="613"/>
    </row>
    <row r="241728" spans="27:27">
      <c r="AA241728" s="613"/>
    </row>
    <row r="241729" spans="27:27">
      <c r="AA241729" s="613"/>
    </row>
    <row r="241874" spans="27:27">
      <c r="AA241874" s="613"/>
    </row>
    <row r="241875" spans="27:27">
      <c r="AA241875" s="613"/>
    </row>
    <row r="242020" spans="27:27">
      <c r="AA242020" s="613"/>
    </row>
    <row r="242021" spans="27:27">
      <c r="AA242021" s="613"/>
    </row>
    <row r="242166" spans="27:27">
      <c r="AA242166" s="613"/>
    </row>
    <row r="242167" spans="27:27">
      <c r="AA242167" s="613"/>
    </row>
    <row r="242312" spans="27:27">
      <c r="AA242312" s="613"/>
    </row>
    <row r="242313" spans="27:27">
      <c r="AA242313" s="613"/>
    </row>
    <row r="242458" spans="27:27">
      <c r="AA242458" s="613"/>
    </row>
    <row r="242459" spans="27:27">
      <c r="AA242459" s="613"/>
    </row>
    <row r="242604" spans="27:27">
      <c r="AA242604" s="613"/>
    </row>
    <row r="242605" spans="27:27">
      <c r="AA242605" s="613"/>
    </row>
    <row r="242750" spans="27:27">
      <c r="AA242750" s="613"/>
    </row>
    <row r="242751" spans="27:27">
      <c r="AA242751" s="613"/>
    </row>
    <row r="242896" spans="27:27">
      <c r="AA242896" s="613"/>
    </row>
    <row r="242897" spans="27:27">
      <c r="AA242897" s="613"/>
    </row>
    <row r="243042" spans="27:27">
      <c r="AA243042" s="613"/>
    </row>
    <row r="243043" spans="27:27">
      <c r="AA243043" s="613"/>
    </row>
    <row r="243188" spans="27:27">
      <c r="AA243188" s="613"/>
    </row>
    <row r="243189" spans="27:27">
      <c r="AA243189" s="613"/>
    </row>
    <row r="243334" spans="27:27">
      <c r="AA243334" s="613"/>
    </row>
    <row r="243335" spans="27:27">
      <c r="AA243335" s="613"/>
    </row>
    <row r="243480" spans="27:27">
      <c r="AA243480" s="613"/>
    </row>
    <row r="243481" spans="27:27">
      <c r="AA243481" s="613"/>
    </row>
    <row r="243626" spans="27:27">
      <c r="AA243626" s="613"/>
    </row>
    <row r="243627" spans="27:27">
      <c r="AA243627" s="613"/>
    </row>
    <row r="243772" spans="27:27">
      <c r="AA243772" s="613"/>
    </row>
    <row r="243773" spans="27:27">
      <c r="AA243773" s="613"/>
    </row>
    <row r="243918" spans="27:27">
      <c r="AA243918" s="613"/>
    </row>
    <row r="243919" spans="27:27">
      <c r="AA243919" s="613"/>
    </row>
    <row r="244064" spans="27:27">
      <c r="AA244064" s="613"/>
    </row>
    <row r="244065" spans="27:27">
      <c r="AA244065" s="613"/>
    </row>
    <row r="244210" spans="27:27">
      <c r="AA244210" s="613"/>
    </row>
    <row r="244211" spans="27:27">
      <c r="AA244211" s="613"/>
    </row>
    <row r="244356" spans="27:27">
      <c r="AA244356" s="613"/>
    </row>
    <row r="244357" spans="27:27">
      <c r="AA244357" s="613"/>
    </row>
    <row r="244502" spans="27:27">
      <c r="AA244502" s="613"/>
    </row>
    <row r="244503" spans="27:27">
      <c r="AA244503" s="613"/>
    </row>
    <row r="244648" spans="27:27">
      <c r="AA244648" s="613"/>
    </row>
    <row r="244649" spans="27:27">
      <c r="AA244649" s="613"/>
    </row>
    <row r="244794" spans="27:27">
      <c r="AA244794" s="613"/>
    </row>
    <row r="244795" spans="27:27">
      <c r="AA244795" s="613"/>
    </row>
    <row r="244940" spans="27:27">
      <c r="AA244940" s="613"/>
    </row>
    <row r="244941" spans="27:27">
      <c r="AA244941" s="613"/>
    </row>
    <row r="245086" spans="27:27">
      <c r="AA245086" s="613"/>
    </row>
    <row r="245087" spans="27:27">
      <c r="AA245087" s="613"/>
    </row>
    <row r="245232" spans="27:27">
      <c r="AA245232" s="613"/>
    </row>
    <row r="245233" spans="27:27">
      <c r="AA245233" s="613"/>
    </row>
    <row r="245378" spans="27:27">
      <c r="AA245378" s="613"/>
    </row>
    <row r="245379" spans="27:27">
      <c r="AA245379" s="613"/>
    </row>
    <row r="245524" spans="27:27">
      <c r="AA245524" s="613"/>
    </row>
    <row r="245525" spans="27:27">
      <c r="AA245525" s="613"/>
    </row>
    <row r="245670" spans="27:27">
      <c r="AA245670" s="613"/>
    </row>
    <row r="245671" spans="27:27">
      <c r="AA245671" s="613"/>
    </row>
    <row r="245816" spans="27:27">
      <c r="AA245816" s="613"/>
    </row>
    <row r="245817" spans="27:27">
      <c r="AA245817" s="613"/>
    </row>
    <row r="245962" spans="27:27">
      <c r="AA245962" s="613"/>
    </row>
    <row r="245963" spans="27:27">
      <c r="AA245963" s="613"/>
    </row>
    <row r="246108" spans="27:27">
      <c r="AA246108" s="613"/>
    </row>
    <row r="246109" spans="27:27">
      <c r="AA246109" s="613"/>
    </row>
    <row r="246254" spans="27:27">
      <c r="AA246254" s="613"/>
    </row>
    <row r="246255" spans="27:27">
      <c r="AA246255" s="613"/>
    </row>
    <row r="246400" spans="27:27">
      <c r="AA246400" s="613"/>
    </row>
    <row r="246401" spans="27:27">
      <c r="AA246401" s="613"/>
    </row>
    <row r="246546" spans="27:27">
      <c r="AA246546" s="613"/>
    </row>
    <row r="246547" spans="27:27">
      <c r="AA246547" s="613"/>
    </row>
    <row r="246692" spans="27:27">
      <c r="AA246692" s="613"/>
    </row>
    <row r="246693" spans="27:27">
      <c r="AA246693" s="613"/>
    </row>
    <row r="246838" spans="27:27">
      <c r="AA246838" s="613"/>
    </row>
    <row r="246839" spans="27:27">
      <c r="AA246839" s="613"/>
    </row>
    <row r="246984" spans="27:27">
      <c r="AA246984" s="613"/>
    </row>
    <row r="246985" spans="27:27">
      <c r="AA246985" s="613"/>
    </row>
    <row r="247130" spans="27:27">
      <c r="AA247130" s="613"/>
    </row>
    <row r="247131" spans="27:27">
      <c r="AA247131" s="613"/>
    </row>
    <row r="247276" spans="27:27">
      <c r="AA247276" s="613"/>
    </row>
    <row r="247277" spans="27:27">
      <c r="AA247277" s="613"/>
    </row>
    <row r="247422" spans="27:27">
      <c r="AA247422" s="613"/>
    </row>
    <row r="247423" spans="27:27">
      <c r="AA247423" s="613"/>
    </row>
    <row r="247568" spans="27:27">
      <c r="AA247568" s="613"/>
    </row>
    <row r="247569" spans="27:27">
      <c r="AA247569" s="613"/>
    </row>
    <row r="247714" spans="27:27">
      <c r="AA247714" s="613"/>
    </row>
    <row r="247715" spans="27:27">
      <c r="AA247715" s="613"/>
    </row>
    <row r="247860" spans="27:27">
      <c r="AA247860" s="613"/>
    </row>
    <row r="247861" spans="27:27">
      <c r="AA247861" s="613"/>
    </row>
    <row r="248006" spans="27:27">
      <c r="AA248006" s="613"/>
    </row>
    <row r="248007" spans="27:27">
      <c r="AA248007" s="613"/>
    </row>
    <row r="248152" spans="27:27">
      <c r="AA248152" s="613"/>
    </row>
    <row r="248153" spans="27:27">
      <c r="AA248153" s="613"/>
    </row>
    <row r="248298" spans="27:27">
      <c r="AA248298" s="613"/>
    </row>
    <row r="248299" spans="27:27">
      <c r="AA248299" s="613"/>
    </row>
    <row r="248444" spans="27:27">
      <c r="AA248444" s="613"/>
    </row>
    <row r="248445" spans="27:27">
      <c r="AA248445" s="613"/>
    </row>
    <row r="248590" spans="27:27">
      <c r="AA248590" s="613"/>
    </row>
    <row r="248591" spans="27:27">
      <c r="AA248591" s="613"/>
    </row>
    <row r="248736" spans="27:27">
      <c r="AA248736" s="613"/>
    </row>
    <row r="248737" spans="27:27">
      <c r="AA248737" s="613"/>
    </row>
    <row r="248882" spans="27:27">
      <c r="AA248882" s="613"/>
    </row>
    <row r="248883" spans="27:27">
      <c r="AA248883" s="613"/>
    </row>
    <row r="249028" spans="27:27">
      <c r="AA249028" s="613"/>
    </row>
    <row r="249029" spans="27:27">
      <c r="AA249029" s="613"/>
    </row>
    <row r="249174" spans="27:27">
      <c r="AA249174" s="613"/>
    </row>
    <row r="249175" spans="27:27">
      <c r="AA249175" s="613"/>
    </row>
    <row r="249320" spans="27:27">
      <c r="AA249320" s="613"/>
    </row>
    <row r="249321" spans="27:27">
      <c r="AA249321" s="613"/>
    </row>
    <row r="249466" spans="27:27">
      <c r="AA249466" s="613"/>
    </row>
    <row r="249467" spans="27:27">
      <c r="AA249467" s="613"/>
    </row>
    <row r="249612" spans="27:27">
      <c r="AA249612" s="613"/>
    </row>
    <row r="249613" spans="27:27">
      <c r="AA249613" s="613"/>
    </row>
    <row r="249758" spans="27:27">
      <c r="AA249758" s="613"/>
    </row>
    <row r="249759" spans="27:27">
      <c r="AA249759" s="613"/>
    </row>
    <row r="249904" spans="27:27">
      <c r="AA249904" s="613"/>
    </row>
    <row r="249905" spans="27:27">
      <c r="AA249905" s="613"/>
    </row>
    <row r="250050" spans="27:27">
      <c r="AA250050" s="613"/>
    </row>
    <row r="250051" spans="27:27">
      <c r="AA250051" s="613"/>
    </row>
    <row r="250196" spans="27:27">
      <c r="AA250196" s="613"/>
    </row>
    <row r="250197" spans="27:27">
      <c r="AA250197" s="613"/>
    </row>
    <row r="250342" spans="27:27">
      <c r="AA250342" s="613"/>
    </row>
    <row r="250343" spans="27:27">
      <c r="AA250343" s="613"/>
    </row>
    <row r="250488" spans="27:27">
      <c r="AA250488" s="613"/>
    </row>
    <row r="250489" spans="27:27">
      <c r="AA250489" s="613"/>
    </row>
    <row r="250634" spans="27:27">
      <c r="AA250634" s="613"/>
    </row>
    <row r="250635" spans="27:27">
      <c r="AA250635" s="613"/>
    </row>
    <row r="250780" spans="27:27">
      <c r="AA250780" s="613"/>
    </row>
    <row r="250781" spans="27:27">
      <c r="AA250781" s="613"/>
    </row>
    <row r="250926" spans="27:27">
      <c r="AA250926" s="613"/>
    </row>
    <row r="250927" spans="27:27">
      <c r="AA250927" s="613"/>
    </row>
    <row r="251072" spans="27:27">
      <c r="AA251072" s="613"/>
    </row>
    <row r="251073" spans="27:27">
      <c r="AA251073" s="613"/>
    </row>
    <row r="251218" spans="27:27">
      <c r="AA251218" s="613"/>
    </row>
    <row r="251219" spans="27:27">
      <c r="AA251219" s="613"/>
    </row>
    <row r="251364" spans="27:27">
      <c r="AA251364" s="613"/>
    </row>
    <row r="251365" spans="27:27">
      <c r="AA251365" s="613"/>
    </row>
    <row r="251510" spans="27:27">
      <c r="AA251510" s="613"/>
    </row>
    <row r="251511" spans="27:27">
      <c r="AA251511" s="613"/>
    </row>
    <row r="251656" spans="27:27">
      <c r="AA251656" s="613"/>
    </row>
    <row r="251657" spans="27:27">
      <c r="AA251657" s="613"/>
    </row>
    <row r="251802" spans="27:27">
      <c r="AA251802" s="613"/>
    </row>
    <row r="251803" spans="27:27">
      <c r="AA251803" s="613"/>
    </row>
    <row r="251948" spans="27:27">
      <c r="AA251948" s="613"/>
    </row>
    <row r="251949" spans="27:27">
      <c r="AA251949" s="613"/>
    </row>
    <row r="252094" spans="27:27">
      <c r="AA252094" s="613"/>
    </row>
    <row r="252095" spans="27:27">
      <c r="AA252095" s="613"/>
    </row>
    <row r="252240" spans="27:27">
      <c r="AA252240" s="613"/>
    </row>
    <row r="252241" spans="27:27">
      <c r="AA252241" s="613"/>
    </row>
    <row r="252386" spans="27:27">
      <c r="AA252386" s="613"/>
    </row>
    <row r="252387" spans="27:27">
      <c r="AA252387" s="613"/>
    </row>
    <row r="252532" spans="27:27">
      <c r="AA252532" s="613"/>
    </row>
    <row r="252533" spans="27:27">
      <c r="AA252533" s="613"/>
    </row>
    <row r="252678" spans="27:27">
      <c r="AA252678" s="613"/>
    </row>
    <row r="252679" spans="27:27">
      <c r="AA252679" s="613"/>
    </row>
    <row r="252824" spans="27:27">
      <c r="AA252824" s="613"/>
    </row>
    <row r="252825" spans="27:27">
      <c r="AA252825" s="613"/>
    </row>
    <row r="252970" spans="27:27">
      <c r="AA252970" s="613"/>
    </row>
    <row r="252971" spans="27:27">
      <c r="AA252971" s="613"/>
    </row>
    <row r="253116" spans="27:27">
      <c r="AA253116" s="613"/>
    </row>
    <row r="253117" spans="27:27">
      <c r="AA253117" s="613"/>
    </row>
    <row r="253262" spans="27:27">
      <c r="AA253262" s="613"/>
    </row>
    <row r="253263" spans="27:27">
      <c r="AA253263" s="613"/>
    </row>
    <row r="253408" spans="27:27">
      <c r="AA253408" s="613"/>
    </row>
    <row r="253409" spans="27:27">
      <c r="AA253409" s="613"/>
    </row>
    <row r="253554" spans="27:27">
      <c r="AA253554" s="613"/>
    </row>
    <row r="253555" spans="27:27">
      <c r="AA253555" s="613"/>
    </row>
    <row r="253700" spans="27:27">
      <c r="AA253700" s="613"/>
    </row>
    <row r="253701" spans="27:27">
      <c r="AA253701" s="613"/>
    </row>
    <row r="253846" spans="27:27">
      <c r="AA253846" s="613"/>
    </row>
    <row r="253847" spans="27:27">
      <c r="AA253847" s="613"/>
    </row>
    <row r="253992" spans="27:27">
      <c r="AA253992" s="613"/>
    </row>
    <row r="253993" spans="27:27">
      <c r="AA253993" s="613"/>
    </row>
    <row r="254138" spans="27:27">
      <c r="AA254138" s="613"/>
    </row>
    <row r="254139" spans="27:27">
      <c r="AA254139" s="613"/>
    </row>
    <row r="254284" spans="27:27">
      <c r="AA254284" s="613"/>
    </row>
    <row r="254285" spans="27:27">
      <c r="AA254285" s="613"/>
    </row>
    <row r="254430" spans="27:27">
      <c r="AA254430" s="613"/>
    </row>
    <row r="254431" spans="27:27">
      <c r="AA254431" s="613"/>
    </row>
    <row r="254576" spans="27:27">
      <c r="AA254576" s="613"/>
    </row>
    <row r="254577" spans="27:27">
      <c r="AA254577" s="613"/>
    </row>
    <row r="254722" spans="27:27">
      <c r="AA254722" s="613"/>
    </row>
    <row r="254723" spans="27:27">
      <c r="AA254723" s="613"/>
    </row>
    <row r="254868" spans="27:27">
      <c r="AA254868" s="613"/>
    </row>
    <row r="254869" spans="27:27">
      <c r="AA254869" s="613"/>
    </row>
    <row r="255014" spans="27:27">
      <c r="AA255014" s="613"/>
    </row>
    <row r="255015" spans="27:27">
      <c r="AA255015" s="613"/>
    </row>
    <row r="255160" spans="27:27">
      <c r="AA255160" s="613"/>
    </row>
    <row r="255161" spans="27:27">
      <c r="AA255161" s="613"/>
    </row>
    <row r="255306" spans="27:27">
      <c r="AA255306" s="613"/>
    </row>
    <row r="255307" spans="27:27">
      <c r="AA255307" s="613"/>
    </row>
    <row r="255452" spans="27:27">
      <c r="AA255452" s="613"/>
    </row>
    <row r="255453" spans="27:27">
      <c r="AA255453" s="613"/>
    </row>
    <row r="255598" spans="27:27">
      <c r="AA255598" s="613"/>
    </row>
    <row r="255599" spans="27:27">
      <c r="AA255599" s="613"/>
    </row>
    <row r="255744" spans="27:27">
      <c r="AA255744" s="613"/>
    </row>
    <row r="255745" spans="27:27">
      <c r="AA255745" s="613"/>
    </row>
    <row r="255890" spans="27:27">
      <c r="AA255890" s="613"/>
    </row>
    <row r="255891" spans="27:27">
      <c r="AA255891" s="613"/>
    </row>
    <row r="256036" spans="27:27">
      <c r="AA256036" s="613"/>
    </row>
    <row r="256037" spans="27:27">
      <c r="AA256037" s="613"/>
    </row>
    <row r="256182" spans="27:27">
      <c r="AA256182" s="613"/>
    </row>
    <row r="256183" spans="27:27">
      <c r="AA256183" s="613"/>
    </row>
    <row r="256328" spans="27:27">
      <c r="AA256328" s="613"/>
    </row>
    <row r="256329" spans="27:27">
      <c r="AA256329" s="613"/>
    </row>
    <row r="256474" spans="27:27">
      <c r="AA256474" s="613"/>
    </row>
    <row r="256475" spans="27:27">
      <c r="AA256475" s="613"/>
    </row>
    <row r="256620" spans="27:27">
      <c r="AA256620" s="613"/>
    </row>
    <row r="256621" spans="27:27">
      <c r="AA256621" s="613"/>
    </row>
    <row r="256766" spans="27:27">
      <c r="AA256766" s="613"/>
    </row>
    <row r="256767" spans="27:27">
      <c r="AA256767" s="613"/>
    </row>
    <row r="256912" spans="27:27">
      <c r="AA256912" s="613"/>
    </row>
    <row r="256913" spans="27:27">
      <c r="AA256913" s="613"/>
    </row>
    <row r="257058" spans="27:27">
      <c r="AA257058" s="613"/>
    </row>
    <row r="257059" spans="27:27">
      <c r="AA257059" s="613"/>
    </row>
    <row r="257204" spans="27:27">
      <c r="AA257204" s="613"/>
    </row>
    <row r="257205" spans="27:27">
      <c r="AA257205" s="613"/>
    </row>
    <row r="257350" spans="27:27">
      <c r="AA257350" s="613"/>
    </row>
    <row r="257351" spans="27:27">
      <c r="AA257351" s="613"/>
    </row>
    <row r="257496" spans="27:27">
      <c r="AA257496" s="613"/>
    </row>
    <row r="257497" spans="27:27">
      <c r="AA257497" s="613"/>
    </row>
    <row r="257642" spans="27:27">
      <c r="AA257642" s="613"/>
    </row>
    <row r="257643" spans="27:27">
      <c r="AA257643" s="613"/>
    </row>
    <row r="257788" spans="27:27">
      <c r="AA257788" s="613"/>
    </row>
    <row r="257789" spans="27:27">
      <c r="AA257789" s="613"/>
    </row>
    <row r="257934" spans="27:27">
      <c r="AA257934" s="613"/>
    </row>
    <row r="257935" spans="27:27">
      <c r="AA257935" s="613"/>
    </row>
    <row r="258080" spans="27:27">
      <c r="AA258080" s="613"/>
    </row>
    <row r="258081" spans="27:27">
      <c r="AA258081" s="613"/>
    </row>
    <row r="258226" spans="27:27">
      <c r="AA258226" s="613"/>
    </row>
    <row r="258227" spans="27:27">
      <c r="AA258227" s="613"/>
    </row>
    <row r="258372" spans="27:27">
      <c r="AA258372" s="613"/>
    </row>
    <row r="258373" spans="27:27">
      <c r="AA258373" s="613"/>
    </row>
    <row r="258518" spans="27:27">
      <c r="AA258518" s="613"/>
    </row>
    <row r="258519" spans="27:27">
      <c r="AA258519" s="613"/>
    </row>
    <row r="258664" spans="27:27">
      <c r="AA258664" s="613"/>
    </row>
    <row r="258665" spans="27:27">
      <c r="AA258665" s="613"/>
    </row>
    <row r="258810" spans="27:27">
      <c r="AA258810" s="613"/>
    </row>
    <row r="258811" spans="27:27">
      <c r="AA258811" s="613"/>
    </row>
    <row r="258956" spans="27:27">
      <c r="AA258956" s="613"/>
    </row>
    <row r="258957" spans="27:27">
      <c r="AA258957" s="613"/>
    </row>
    <row r="259102" spans="27:27">
      <c r="AA259102" s="613"/>
    </row>
    <row r="259103" spans="27:27">
      <c r="AA259103" s="613"/>
    </row>
    <row r="259248" spans="27:27">
      <c r="AA259248" s="613"/>
    </row>
    <row r="259249" spans="27:27">
      <c r="AA259249" s="613"/>
    </row>
    <row r="259394" spans="27:27">
      <c r="AA259394" s="613"/>
    </row>
    <row r="259395" spans="27:27">
      <c r="AA259395" s="613"/>
    </row>
    <row r="259540" spans="27:27">
      <c r="AA259540" s="613"/>
    </row>
    <row r="259541" spans="27:27">
      <c r="AA259541" s="613"/>
    </row>
    <row r="259686" spans="27:27">
      <c r="AA259686" s="613"/>
    </row>
    <row r="259687" spans="27:27">
      <c r="AA259687" s="613"/>
    </row>
    <row r="259832" spans="27:27">
      <c r="AA259832" s="613"/>
    </row>
    <row r="259833" spans="27:27">
      <c r="AA259833" s="613"/>
    </row>
    <row r="259978" spans="27:27">
      <c r="AA259978" s="613"/>
    </row>
    <row r="259979" spans="27:27">
      <c r="AA259979" s="613"/>
    </row>
    <row r="260124" spans="27:27">
      <c r="AA260124" s="613"/>
    </row>
    <row r="260125" spans="27:27">
      <c r="AA260125" s="613"/>
    </row>
    <row r="260270" spans="27:27">
      <c r="AA260270" s="613"/>
    </row>
    <row r="260271" spans="27:27">
      <c r="AA260271" s="613"/>
    </row>
    <row r="260416" spans="27:27">
      <c r="AA260416" s="613"/>
    </row>
    <row r="260417" spans="27:27">
      <c r="AA260417" s="613"/>
    </row>
    <row r="260562" spans="27:27">
      <c r="AA260562" s="613"/>
    </row>
    <row r="260563" spans="27:27">
      <c r="AA260563" s="613"/>
    </row>
    <row r="260708" spans="27:27">
      <c r="AA260708" s="613"/>
    </row>
    <row r="260709" spans="27:27">
      <c r="AA260709" s="613"/>
    </row>
    <row r="260854" spans="27:27">
      <c r="AA260854" s="613"/>
    </row>
    <row r="260855" spans="27:27">
      <c r="AA260855" s="613"/>
    </row>
    <row r="261000" spans="27:27">
      <c r="AA261000" s="613"/>
    </row>
    <row r="261001" spans="27:27">
      <c r="AA261001" s="613"/>
    </row>
    <row r="261146" spans="27:27">
      <c r="AA261146" s="613"/>
    </row>
    <row r="261147" spans="27:27">
      <c r="AA261147" s="613"/>
    </row>
    <row r="261292" spans="27:27">
      <c r="AA261292" s="613"/>
    </row>
    <row r="261293" spans="27:27">
      <c r="AA261293" s="613"/>
    </row>
    <row r="261438" spans="27:27">
      <c r="AA261438" s="613"/>
    </row>
    <row r="261439" spans="27:27">
      <c r="AA261439" s="613"/>
    </row>
    <row r="261584" spans="27:27">
      <c r="AA261584" s="613"/>
    </row>
    <row r="261585" spans="27:27">
      <c r="AA261585" s="613"/>
    </row>
    <row r="261730" spans="27:27">
      <c r="AA261730" s="613"/>
    </row>
    <row r="261731" spans="27:27">
      <c r="AA261731" s="613"/>
    </row>
    <row r="261876" spans="27:27">
      <c r="AA261876" s="613"/>
    </row>
    <row r="261877" spans="27:27">
      <c r="AA261877" s="613"/>
    </row>
    <row r="262022" spans="27:27">
      <c r="AA262022" s="613"/>
    </row>
    <row r="262023" spans="27:27">
      <c r="AA262023" s="613"/>
    </row>
    <row r="262168" spans="27:27">
      <c r="AA262168" s="613"/>
    </row>
    <row r="262169" spans="27:27">
      <c r="AA262169" s="613"/>
    </row>
    <row r="262314" spans="27:27">
      <c r="AA262314" s="613"/>
    </row>
    <row r="262315" spans="27:27">
      <c r="AA262315" s="613"/>
    </row>
    <row r="262460" spans="27:27">
      <c r="AA262460" s="613"/>
    </row>
    <row r="262461" spans="27:27">
      <c r="AA262461" s="613"/>
    </row>
    <row r="262606" spans="27:27">
      <c r="AA262606" s="613"/>
    </row>
    <row r="262607" spans="27:27">
      <c r="AA262607" s="613"/>
    </row>
    <row r="262752" spans="27:27">
      <c r="AA262752" s="613"/>
    </row>
    <row r="262753" spans="27:27">
      <c r="AA262753" s="613"/>
    </row>
    <row r="262898" spans="27:27">
      <c r="AA262898" s="613"/>
    </row>
    <row r="262899" spans="27:27">
      <c r="AA262899" s="613"/>
    </row>
    <row r="263044" spans="27:27">
      <c r="AA263044" s="613"/>
    </row>
    <row r="263045" spans="27:27">
      <c r="AA263045" s="613"/>
    </row>
    <row r="263190" spans="27:27">
      <c r="AA263190" s="613"/>
    </row>
    <row r="263191" spans="27:27">
      <c r="AA263191" s="613"/>
    </row>
    <row r="263336" spans="27:27">
      <c r="AA263336" s="613"/>
    </row>
    <row r="263337" spans="27:27">
      <c r="AA263337" s="613"/>
    </row>
    <row r="263482" spans="27:27">
      <c r="AA263482" s="613"/>
    </row>
    <row r="263483" spans="27:27">
      <c r="AA263483" s="613"/>
    </row>
    <row r="263628" spans="27:27">
      <c r="AA263628" s="613"/>
    </row>
    <row r="263629" spans="27:27">
      <c r="AA263629" s="613"/>
    </row>
    <row r="263774" spans="27:27">
      <c r="AA263774" s="613"/>
    </row>
    <row r="263775" spans="27:27">
      <c r="AA263775" s="613"/>
    </row>
    <row r="263920" spans="27:27">
      <c r="AA263920" s="613"/>
    </row>
    <row r="263921" spans="27:27">
      <c r="AA263921" s="613"/>
    </row>
    <row r="264066" spans="27:27">
      <c r="AA264066" s="613"/>
    </row>
    <row r="264067" spans="27:27">
      <c r="AA264067" s="613"/>
    </row>
    <row r="264212" spans="27:27">
      <c r="AA264212" s="613"/>
    </row>
    <row r="264213" spans="27:27">
      <c r="AA264213" s="613"/>
    </row>
    <row r="264358" spans="27:27">
      <c r="AA264358" s="613"/>
    </row>
    <row r="264359" spans="27:27">
      <c r="AA264359" s="613"/>
    </row>
    <row r="264504" spans="27:27">
      <c r="AA264504" s="613"/>
    </row>
    <row r="264505" spans="27:27">
      <c r="AA264505" s="613"/>
    </row>
    <row r="264650" spans="27:27">
      <c r="AA264650" s="613"/>
    </row>
    <row r="264651" spans="27:27">
      <c r="AA264651" s="613"/>
    </row>
    <row r="264796" spans="27:27">
      <c r="AA264796" s="613"/>
    </row>
    <row r="264797" spans="27:27">
      <c r="AA264797" s="613"/>
    </row>
    <row r="264942" spans="27:27">
      <c r="AA264942" s="613"/>
    </row>
    <row r="264943" spans="27:27">
      <c r="AA264943" s="613"/>
    </row>
    <row r="265088" spans="27:27">
      <c r="AA265088" s="613"/>
    </row>
    <row r="265089" spans="27:27">
      <c r="AA265089" s="613"/>
    </row>
    <row r="265234" spans="27:27">
      <c r="AA265234" s="613"/>
    </row>
    <row r="265235" spans="27:27">
      <c r="AA265235" s="613"/>
    </row>
    <row r="265380" spans="27:27">
      <c r="AA265380" s="613"/>
    </row>
    <row r="265381" spans="27:27">
      <c r="AA265381" s="613"/>
    </row>
    <row r="265526" spans="27:27">
      <c r="AA265526" s="613"/>
    </row>
    <row r="265527" spans="27:27">
      <c r="AA265527" s="613"/>
    </row>
    <row r="265672" spans="27:27">
      <c r="AA265672" s="613"/>
    </row>
    <row r="265673" spans="27:27">
      <c r="AA265673" s="613"/>
    </row>
    <row r="265818" spans="27:27">
      <c r="AA265818" s="613"/>
    </row>
    <row r="265819" spans="27:27">
      <c r="AA265819" s="613"/>
    </row>
    <row r="265964" spans="27:27">
      <c r="AA265964" s="613"/>
    </row>
    <row r="265965" spans="27:27">
      <c r="AA265965" s="613"/>
    </row>
    <row r="266110" spans="27:27">
      <c r="AA266110" s="613"/>
    </row>
    <row r="266111" spans="27:27">
      <c r="AA266111" s="613"/>
    </row>
    <row r="266256" spans="27:27">
      <c r="AA266256" s="613"/>
    </row>
    <row r="266257" spans="27:27">
      <c r="AA266257" s="613"/>
    </row>
    <row r="266402" spans="27:27">
      <c r="AA266402" s="613"/>
    </row>
    <row r="266403" spans="27:27">
      <c r="AA266403" s="613"/>
    </row>
    <row r="266548" spans="27:27">
      <c r="AA266548" s="613"/>
    </row>
    <row r="266549" spans="27:27">
      <c r="AA266549" s="613"/>
    </row>
    <row r="266694" spans="27:27">
      <c r="AA266694" s="613"/>
    </row>
    <row r="266695" spans="27:27">
      <c r="AA266695" s="613"/>
    </row>
    <row r="266840" spans="27:27">
      <c r="AA266840" s="613"/>
    </row>
    <row r="266841" spans="27:27">
      <c r="AA266841" s="613"/>
    </row>
    <row r="266986" spans="27:27">
      <c r="AA266986" s="613"/>
    </row>
    <row r="266987" spans="27:27">
      <c r="AA266987" s="613"/>
    </row>
    <row r="267132" spans="27:27">
      <c r="AA267132" s="613"/>
    </row>
    <row r="267133" spans="27:27">
      <c r="AA267133" s="613"/>
    </row>
    <row r="267278" spans="27:27">
      <c r="AA267278" s="613"/>
    </row>
    <row r="267279" spans="27:27">
      <c r="AA267279" s="613"/>
    </row>
    <row r="267424" spans="27:27">
      <c r="AA267424" s="613"/>
    </row>
    <row r="267425" spans="27:27">
      <c r="AA267425" s="613"/>
    </row>
    <row r="267570" spans="27:27">
      <c r="AA267570" s="613"/>
    </row>
    <row r="267571" spans="27:27">
      <c r="AA267571" s="613"/>
    </row>
    <row r="267716" spans="27:27">
      <c r="AA267716" s="613"/>
    </row>
    <row r="267717" spans="27:27">
      <c r="AA267717" s="613"/>
    </row>
    <row r="267862" spans="27:27">
      <c r="AA267862" s="613"/>
    </row>
    <row r="267863" spans="27:27">
      <c r="AA267863" s="613"/>
    </row>
    <row r="268008" spans="27:27">
      <c r="AA268008" s="613"/>
    </row>
    <row r="268009" spans="27:27">
      <c r="AA268009" s="613"/>
    </row>
    <row r="268154" spans="27:27">
      <c r="AA268154" s="613"/>
    </row>
    <row r="268155" spans="27:27">
      <c r="AA268155" s="613"/>
    </row>
    <row r="268300" spans="27:27">
      <c r="AA268300" s="613"/>
    </row>
    <row r="268301" spans="27:27">
      <c r="AA268301" s="613"/>
    </row>
    <row r="268446" spans="27:27">
      <c r="AA268446" s="613"/>
    </row>
    <row r="268447" spans="27:27">
      <c r="AA268447" s="613"/>
    </row>
    <row r="268592" spans="27:27">
      <c r="AA268592" s="613"/>
    </row>
    <row r="268593" spans="27:27">
      <c r="AA268593" s="613"/>
    </row>
    <row r="268738" spans="27:27">
      <c r="AA268738" s="613"/>
    </row>
    <row r="268739" spans="27:27">
      <c r="AA268739" s="613"/>
    </row>
    <row r="268884" spans="27:27">
      <c r="AA268884" s="613"/>
    </row>
    <row r="268885" spans="27:27">
      <c r="AA268885" s="613"/>
    </row>
    <row r="269030" spans="27:27">
      <c r="AA269030" s="613"/>
    </row>
    <row r="269031" spans="27:27">
      <c r="AA269031" s="613"/>
    </row>
    <row r="269176" spans="27:27">
      <c r="AA269176" s="613"/>
    </row>
    <row r="269177" spans="27:27">
      <c r="AA269177" s="613"/>
    </row>
    <row r="269322" spans="27:27">
      <c r="AA269322" s="613"/>
    </row>
    <row r="269323" spans="27:27">
      <c r="AA269323" s="613"/>
    </row>
    <row r="269468" spans="27:27">
      <c r="AA269468" s="613"/>
    </row>
    <row r="269469" spans="27:27">
      <c r="AA269469" s="613"/>
    </row>
    <row r="269614" spans="27:27">
      <c r="AA269614" s="613"/>
    </row>
    <row r="269615" spans="27:27">
      <c r="AA269615" s="613"/>
    </row>
    <row r="269760" spans="27:27">
      <c r="AA269760" s="613"/>
    </row>
    <row r="269761" spans="27:27">
      <c r="AA269761" s="613"/>
    </row>
    <row r="269906" spans="27:27">
      <c r="AA269906" s="613"/>
    </row>
    <row r="269907" spans="27:27">
      <c r="AA269907" s="613"/>
    </row>
    <row r="270052" spans="27:27">
      <c r="AA270052" s="613"/>
    </row>
    <row r="270053" spans="27:27">
      <c r="AA270053" s="613"/>
    </row>
    <row r="270198" spans="27:27">
      <c r="AA270198" s="613"/>
    </row>
    <row r="270199" spans="27:27">
      <c r="AA270199" s="613"/>
    </row>
    <row r="270344" spans="27:27">
      <c r="AA270344" s="613"/>
    </row>
    <row r="270345" spans="27:27">
      <c r="AA270345" s="613"/>
    </row>
    <row r="270490" spans="27:27">
      <c r="AA270490" s="613"/>
    </row>
    <row r="270491" spans="27:27">
      <c r="AA270491" s="613"/>
    </row>
    <row r="270636" spans="27:27">
      <c r="AA270636" s="613"/>
    </row>
    <row r="270637" spans="27:27">
      <c r="AA270637" s="613"/>
    </row>
    <row r="270782" spans="27:27">
      <c r="AA270782" s="613"/>
    </row>
    <row r="270783" spans="27:27">
      <c r="AA270783" s="613"/>
    </row>
    <row r="270928" spans="27:27">
      <c r="AA270928" s="613"/>
    </row>
    <row r="270929" spans="27:27">
      <c r="AA270929" s="613"/>
    </row>
    <row r="271074" spans="27:27">
      <c r="AA271074" s="613"/>
    </row>
    <row r="271075" spans="27:27">
      <c r="AA271075" s="613"/>
    </row>
    <row r="271220" spans="27:27">
      <c r="AA271220" s="613"/>
    </row>
    <row r="271221" spans="27:27">
      <c r="AA271221" s="613"/>
    </row>
    <row r="271366" spans="27:27">
      <c r="AA271366" s="613"/>
    </row>
    <row r="271367" spans="27:27">
      <c r="AA271367" s="613"/>
    </row>
    <row r="271512" spans="27:27">
      <c r="AA271512" s="613"/>
    </row>
    <row r="271513" spans="27:27">
      <c r="AA271513" s="613"/>
    </row>
    <row r="271658" spans="27:27">
      <c r="AA271658" s="613"/>
    </row>
    <row r="271659" spans="27:27">
      <c r="AA271659" s="613"/>
    </row>
    <row r="271804" spans="27:27">
      <c r="AA271804" s="613"/>
    </row>
    <row r="271805" spans="27:27">
      <c r="AA271805" s="613"/>
    </row>
    <row r="271950" spans="27:27">
      <c r="AA271950" s="613"/>
    </row>
    <row r="271951" spans="27:27">
      <c r="AA271951" s="613"/>
    </row>
    <row r="272096" spans="27:27">
      <c r="AA272096" s="613"/>
    </row>
    <row r="272097" spans="27:27">
      <c r="AA272097" s="613"/>
    </row>
    <row r="272242" spans="27:27">
      <c r="AA272242" s="613"/>
    </row>
    <row r="272243" spans="27:27">
      <c r="AA272243" s="613"/>
    </row>
    <row r="272388" spans="27:27">
      <c r="AA272388" s="613"/>
    </row>
    <row r="272389" spans="27:27">
      <c r="AA272389" s="613"/>
    </row>
    <row r="272534" spans="27:27">
      <c r="AA272534" s="613"/>
    </row>
    <row r="272535" spans="27:27">
      <c r="AA272535" s="613"/>
    </row>
    <row r="272680" spans="27:27">
      <c r="AA272680" s="613"/>
    </row>
    <row r="272681" spans="27:27">
      <c r="AA272681" s="613"/>
    </row>
    <row r="272826" spans="27:27">
      <c r="AA272826" s="613"/>
    </row>
    <row r="272827" spans="27:27">
      <c r="AA272827" s="613"/>
    </row>
    <row r="272972" spans="27:27">
      <c r="AA272972" s="613"/>
    </row>
    <row r="272973" spans="27:27">
      <c r="AA272973" s="613"/>
    </row>
    <row r="273118" spans="27:27">
      <c r="AA273118" s="613"/>
    </row>
    <row r="273119" spans="27:27">
      <c r="AA273119" s="613"/>
    </row>
    <row r="273264" spans="27:27">
      <c r="AA273264" s="613"/>
    </row>
    <row r="273265" spans="27:27">
      <c r="AA273265" s="613"/>
    </row>
    <row r="273410" spans="27:27">
      <c r="AA273410" s="613"/>
    </row>
    <row r="273411" spans="27:27">
      <c r="AA273411" s="613"/>
    </row>
    <row r="273556" spans="27:27">
      <c r="AA273556" s="613"/>
    </row>
    <row r="273557" spans="27:27">
      <c r="AA273557" s="613"/>
    </row>
    <row r="273702" spans="27:27">
      <c r="AA273702" s="613"/>
    </row>
    <row r="273703" spans="27:27">
      <c r="AA273703" s="613"/>
    </row>
    <row r="273848" spans="27:27">
      <c r="AA273848" s="613"/>
    </row>
    <row r="273849" spans="27:27">
      <c r="AA273849" s="613"/>
    </row>
    <row r="273994" spans="27:27">
      <c r="AA273994" s="613"/>
    </row>
    <row r="273995" spans="27:27">
      <c r="AA273995" s="613"/>
    </row>
    <row r="274140" spans="27:27">
      <c r="AA274140" s="613"/>
    </row>
    <row r="274141" spans="27:27">
      <c r="AA274141" s="613"/>
    </row>
    <row r="274286" spans="27:27">
      <c r="AA274286" s="613"/>
    </row>
    <row r="274287" spans="27:27">
      <c r="AA274287" s="613"/>
    </row>
    <row r="274432" spans="27:27">
      <c r="AA274432" s="613"/>
    </row>
    <row r="274433" spans="27:27">
      <c r="AA274433" s="613"/>
    </row>
    <row r="274578" spans="27:27">
      <c r="AA274578" s="613"/>
    </row>
    <row r="274579" spans="27:27">
      <c r="AA274579" s="613"/>
    </row>
    <row r="274724" spans="27:27">
      <c r="AA274724" s="613"/>
    </row>
    <row r="274725" spans="27:27">
      <c r="AA274725" s="613"/>
    </row>
    <row r="274870" spans="27:27">
      <c r="AA274870" s="613"/>
    </row>
    <row r="274871" spans="27:27">
      <c r="AA274871" s="613"/>
    </row>
    <row r="275016" spans="27:27">
      <c r="AA275016" s="613"/>
    </row>
    <row r="275017" spans="27:27">
      <c r="AA275017" s="613"/>
    </row>
    <row r="275162" spans="27:27">
      <c r="AA275162" s="613"/>
    </row>
    <row r="275163" spans="27:27">
      <c r="AA275163" s="613"/>
    </row>
    <row r="275308" spans="27:27">
      <c r="AA275308" s="613"/>
    </row>
    <row r="275309" spans="27:27">
      <c r="AA275309" s="613"/>
    </row>
    <row r="275454" spans="27:27">
      <c r="AA275454" s="613"/>
    </row>
    <row r="275455" spans="27:27">
      <c r="AA275455" s="613"/>
    </row>
    <row r="275600" spans="27:27">
      <c r="AA275600" s="613"/>
    </row>
    <row r="275601" spans="27:27">
      <c r="AA275601" s="613"/>
    </row>
    <row r="275746" spans="27:27">
      <c r="AA275746" s="613"/>
    </row>
    <row r="275747" spans="27:27">
      <c r="AA275747" s="613"/>
    </row>
    <row r="275892" spans="27:27">
      <c r="AA275892" s="613"/>
    </row>
    <row r="275893" spans="27:27">
      <c r="AA275893" s="613"/>
    </row>
    <row r="276038" spans="27:27">
      <c r="AA276038" s="613"/>
    </row>
    <row r="276039" spans="27:27">
      <c r="AA276039" s="613"/>
    </row>
    <row r="276184" spans="27:27">
      <c r="AA276184" s="613"/>
    </row>
    <row r="276185" spans="27:27">
      <c r="AA276185" s="613"/>
    </row>
    <row r="276330" spans="27:27">
      <c r="AA276330" s="613"/>
    </row>
    <row r="276331" spans="27:27">
      <c r="AA276331" s="613"/>
    </row>
    <row r="276476" spans="27:27">
      <c r="AA276476" s="613"/>
    </row>
    <row r="276477" spans="27:27">
      <c r="AA276477" s="613"/>
    </row>
    <row r="276622" spans="27:27">
      <c r="AA276622" s="613"/>
    </row>
    <row r="276623" spans="27:27">
      <c r="AA276623" s="613"/>
    </row>
    <row r="276768" spans="27:27">
      <c r="AA276768" s="613"/>
    </row>
    <row r="276769" spans="27:27">
      <c r="AA276769" s="613"/>
    </row>
    <row r="276914" spans="27:27">
      <c r="AA276914" s="613"/>
    </row>
    <row r="276915" spans="27:27">
      <c r="AA276915" s="613"/>
    </row>
    <row r="277060" spans="27:27">
      <c r="AA277060" s="613"/>
    </row>
    <row r="277061" spans="27:27">
      <c r="AA277061" s="613"/>
    </row>
    <row r="277206" spans="27:27">
      <c r="AA277206" s="613"/>
    </row>
    <row r="277207" spans="27:27">
      <c r="AA277207" s="613"/>
    </row>
    <row r="277352" spans="27:27">
      <c r="AA277352" s="613"/>
    </row>
    <row r="277353" spans="27:27">
      <c r="AA277353" s="613"/>
    </row>
    <row r="277498" spans="27:27">
      <c r="AA277498" s="613"/>
    </row>
    <row r="277499" spans="27:27">
      <c r="AA277499" s="613"/>
    </row>
    <row r="277644" spans="27:27">
      <c r="AA277644" s="613"/>
    </row>
    <row r="277645" spans="27:27">
      <c r="AA277645" s="613"/>
    </row>
    <row r="277790" spans="27:27">
      <c r="AA277790" s="613"/>
    </row>
    <row r="277791" spans="27:27">
      <c r="AA277791" s="613"/>
    </row>
    <row r="277936" spans="27:27">
      <c r="AA277936" s="613"/>
    </row>
    <row r="277937" spans="27:27">
      <c r="AA277937" s="613"/>
    </row>
    <row r="278082" spans="27:27">
      <c r="AA278082" s="613"/>
    </row>
    <row r="278083" spans="27:27">
      <c r="AA278083" s="613"/>
    </row>
    <row r="278228" spans="27:27">
      <c r="AA278228" s="613"/>
    </row>
    <row r="278229" spans="27:27">
      <c r="AA278229" s="613"/>
    </row>
    <row r="278374" spans="27:27">
      <c r="AA278374" s="613"/>
    </row>
    <row r="278375" spans="27:27">
      <c r="AA278375" s="613"/>
    </row>
    <row r="278520" spans="27:27">
      <c r="AA278520" s="613"/>
    </row>
    <row r="278521" spans="27:27">
      <c r="AA278521" s="613"/>
    </row>
    <row r="278666" spans="27:27">
      <c r="AA278666" s="613"/>
    </row>
    <row r="278667" spans="27:27">
      <c r="AA278667" s="613"/>
    </row>
    <row r="278812" spans="27:27">
      <c r="AA278812" s="613"/>
    </row>
    <row r="278813" spans="27:27">
      <c r="AA278813" s="613"/>
    </row>
    <row r="278958" spans="27:27">
      <c r="AA278958" s="613"/>
    </row>
    <row r="278959" spans="27:27">
      <c r="AA278959" s="613"/>
    </row>
    <row r="279104" spans="27:27">
      <c r="AA279104" s="613"/>
    </row>
    <row r="279105" spans="27:27">
      <c r="AA279105" s="613"/>
    </row>
    <row r="279250" spans="27:27">
      <c r="AA279250" s="613"/>
    </row>
    <row r="279251" spans="27:27">
      <c r="AA279251" s="613"/>
    </row>
    <row r="279396" spans="27:27">
      <c r="AA279396" s="613"/>
    </row>
    <row r="279397" spans="27:27">
      <c r="AA279397" s="613"/>
    </row>
    <row r="279542" spans="27:27">
      <c r="AA279542" s="613"/>
    </row>
    <row r="279543" spans="27:27">
      <c r="AA279543" s="613"/>
    </row>
    <row r="279688" spans="27:27">
      <c r="AA279688" s="613"/>
    </row>
    <row r="279689" spans="27:27">
      <c r="AA279689" s="613"/>
    </row>
    <row r="279834" spans="27:27">
      <c r="AA279834" s="613"/>
    </row>
    <row r="279835" spans="27:27">
      <c r="AA279835" s="613"/>
    </row>
    <row r="279980" spans="27:27">
      <c r="AA279980" s="613"/>
    </row>
    <row r="279981" spans="27:27">
      <c r="AA279981" s="613"/>
    </row>
    <row r="280126" spans="27:27">
      <c r="AA280126" s="613"/>
    </row>
    <row r="280127" spans="27:27">
      <c r="AA280127" s="613"/>
    </row>
    <row r="280272" spans="27:27">
      <c r="AA280272" s="613"/>
    </row>
    <row r="280273" spans="27:27">
      <c r="AA280273" s="613"/>
    </row>
    <row r="280418" spans="27:27">
      <c r="AA280418" s="613"/>
    </row>
    <row r="280419" spans="27:27">
      <c r="AA280419" s="613"/>
    </row>
    <row r="280564" spans="27:27">
      <c r="AA280564" s="613"/>
    </row>
    <row r="280565" spans="27:27">
      <c r="AA280565" s="613"/>
    </row>
    <row r="280710" spans="27:27">
      <c r="AA280710" s="613"/>
    </row>
    <row r="280711" spans="27:27">
      <c r="AA280711" s="613"/>
    </row>
    <row r="280856" spans="27:27">
      <c r="AA280856" s="613"/>
    </row>
    <row r="280857" spans="27:27">
      <c r="AA280857" s="613"/>
    </row>
    <row r="281002" spans="27:27">
      <c r="AA281002" s="613"/>
    </row>
    <row r="281003" spans="27:27">
      <c r="AA281003" s="613"/>
    </row>
    <row r="281148" spans="27:27">
      <c r="AA281148" s="613"/>
    </row>
    <row r="281149" spans="27:27">
      <c r="AA281149" s="613"/>
    </row>
    <row r="281294" spans="27:27">
      <c r="AA281294" s="613"/>
    </row>
    <row r="281295" spans="27:27">
      <c r="AA281295" s="613"/>
    </row>
    <row r="281440" spans="27:27">
      <c r="AA281440" s="613"/>
    </row>
    <row r="281441" spans="27:27">
      <c r="AA281441" s="613"/>
    </row>
    <row r="281586" spans="27:27">
      <c r="AA281586" s="613"/>
    </row>
    <row r="281587" spans="27:27">
      <c r="AA281587" s="613"/>
    </row>
    <row r="281732" spans="27:27">
      <c r="AA281732" s="613"/>
    </row>
    <row r="281733" spans="27:27">
      <c r="AA281733" s="613"/>
    </row>
    <row r="281878" spans="27:27">
      <c r="AA281878" s="613"/>
    </row>
    <row r="281879" spans="27:27">
      <c r="AA281879" s="613"/>
    </row>
    <row r="282024" spans="27:27">
      <c r="AA282024" s="613"/>
    </row>
    <row r="282025" spans="27:27">
      <c r="AA282025" s="613"/>
    </row>
    <row r="282170" spans="27:27">
      <c r="AA282170" s="613"/>
    </row>
    <row r="282171" spans="27:27">
      <c r="AA282171" s="613"/>
    </row>
    <row r="282316" spans="27:27">
      <c r="AA282316" s="613"/>
    </row>
    <row r="282317" spans="27:27">
      <c r="AA282317" s="613"/>
    </row>
    <row r="282462" spans="27:27">
      <c r="AA282462" s="613"/>
    </row>
    <row r="282463" spans="27:27">
      <c r="AA282463" s="613"/>
    </row>
    <row r="282608" spans="27:27">
      <c r="AA282608" s="613"/>
    </row>
    <row r="282609" spans="27:27">
      <c r="AA282609" s="613"/>
    </row>
    <row r="282754" spans="27:27">
      <c r="AA282754" s="613"/>
    </row>
    <row r="282755" spans="27:27">
      <c r="AA282755" s="613"/>
    </row>
    <row r="282900" spans="27:27">
      <c r="AA282900" s="613"/>
    </row>
    <row r="282901" spans="27:27">
      <c r="AA282901" s="613"/>
    </row>
    <row r="283046" spans="27:27">
      <c r="AA283046" s="613"/>
    </row>
    <row r="283047" spans="27:27">
      <c r="AA283047" s="613"/>
    </row>
    <row r="283192" spans="27:27">
      <c r="AA283192" s="613"/>
    </row>
    <row r="283193" spans="27:27">
      <c r="AA283193" s="613"/>
    </row>
    <row r="283338" spans="27:27">
      <c r="AA283338" s="613"/>
    </row>
    <row r="283339" spans="27:27">
      <c r="AA283339" s="613"/>
    </row>
    <row r="283484" spans="27:27">
      <c r="AA283484" s="613"/>
    </row>
    <row r="283485" spans="27:27">
      <c r="AA283485" s="613"/>
    </row>
    <row r="283630" spans="27:27">
      <c r="AA283630" s="613"/>
    </row>
    <row r="283631" spans="27:27">
      <c r="AA283631" s="613"/>
    </row>
    <row r="283776" spans="27:27">
      <c r="AA283776" s="613"/>
    </row>
    <row r="283777" spans="27:27">
      <c r="AA283777" s="613"/>
    </row>
    <row r="283922" spans="27:27">
      <c r="AA283922" s="613"/>
    </row>
    <row r="283923" spans="27:27">
      <c r="AA283923" s="613"/>
    </row>
    <row r="284068" spans="27:27">
      <c r="AA284068" s="613"/>
    </row>
    <row r="284069" spans="27:27">
      <c r="AA284069" s="613"/>
    </row>
    <row r="284214" spans="27:27">
      <c r="AA284214" s="613"/>
    </row>
    <row r="284215" spans="27:27">
      <c r="AA284215" s="613"/>
    </row>
    <row r="284360" spans="27:27">
      <c r="AA284360" s="613"/>
    </row>
    <row r="284361" spans="27:27">
      <c r="AA284361" s="613"/>
    </row>
    <row r="284506" spans="27:27">
      <c r="AA284506" s="613"/>
    </row>
    <row r="284507" spans="27:27">
      <c r="AA284507" s="613"/>
    </row>
    <row r="284652" spans="27:27">
      <c r="AA284652" s="613"/>
    </row>
    <row r="284653" spans="27:27">
      <c r="AA284653" s="613"/>
    </row>
    <row r="284798" spans="27:27">
      <c r="AA284798" s="613"/>
    </row>
    <row r="284799" spans="27:27">
      <c r="AA284799" s="613"/>
    </row>
    <row r="284944" spans="27:27">
      <c r="AA284944" s="613"/>
    </row>
    <row r="284945" spans="27:27">
      <c r="AA284945" s="613"/>
    </row>
    <row r="285090" spans="27:27">
      <c r="AA285090" s="613"/>
    </row>
    <row r="285091" spans="27:27">
      <c r="AA285091" s="613"/>
    </row>
    <row r="285236" spans="27:27">
      <c r="AA285236" s="613"/>
    </row>
    <row r="285237" spans="27:27">
      <c r="AA285237" s="613"/>
    </row>
    <row r="285382" spans="27:27">
      <c r="AA285382" s="613"/>
    </row>
    <row r="285383" spans="27:27">
      <c r="AA285383" s="613"/>
    </row>
    <row r="285528" spans="27:27">
      <c r="AA285528" s="613"/>
    </row>
    <row r="285529" spans="27:27">
      <c r="AA285529" s="613"/>
    </row>
    <row r="285674" spans="27:27">
      <c r="AA285674" s="613"/>
    </row>
    <row r="285675" spans="27:27">
      <c r="AA285675" s="613"/>
    </row>
    <row r="285820" spans="27:27">
      <c r="AA285820" s="613"/>
    </row>
    <row r="285821" spans="27:27">
      <c r="AA285821" s="613"/>
    </row>
    <row r="285966" spans="27:27">
      <c r="AA285966" s="613"/>
    </row>
    <row r="285967" spans="27:27">
      <c r="AA285967" s="613"/>
    </row>
    <row r="286112" spans="27:27">
      <c r="AA286112" s="613"/>
    </row>
    <row r="286113" spans="27:27">
      <c r="AA286113" s="613"/>
    </row>
    <row r="286258" spans="27:27">
      <c r="AA286258" s="613"/>
    </row>
    <row r="286259" spans="27:27">
      <c r="AA286259" s="613"/>
    </row>
    <row r="286404" spans="27:27">
      <c r="AA286404" s="613"/>
    </row>
    <row r="286405" spans="27:27">
      <c r="AA286405" s="613"/>
    </row>
    <row r="286550" spans="27:27">
      <c r="AA286550" s="613"/>
    </row>
    <row r="286551" spans="27:27">
      <c r="AA286551" s="613"/>
    </row>
    <row r="286696" spans="27:27">
      <c r="AA286696" s="613"/>
    </row>
    <row r="286697" spans="27:27">
      <c r="AA286697" s="613"/>
    </row>
    <row r="286842" spans="27:27">
      <c r="AA286842" s="613"/>
    </row>
    <row r="286843" spans="27:27">
      <c r="AA286843" s="613"/>
    </row>
    <row r="286988" spans="27:27">
      <c r="AA286988" s="613"/>
    </row>
    <row r="286989" spans="27:27">
      <c r="AA286989" s="613"/>
    </row>
    <row r="287134" spans="27:27">
      <c r="AA287134" s="613"/>
    </row>
    <row r="287135" spans="27:27">
      <c r="AA287135" s="613"/>
    </row>
    <row r="287280" spans="27:27">
      <c r="AA287280" s="613"/>
    </row>
    <row r="287281" spans="27:27">
      <c r="AA287281" s="613"/>
    </row>
    <row r="287426" spans="27:27">
      <c r="AA287426" s="613"/>
    </row>
    <row r="287427" spans="27:27">
      <c r="AA287427" s="613"/>
    </row>
    <row r="287572" spans="27:27">
      <c r="AA287572" s="613"/>
    </row>
    <row r="287573" spans="27:27">
      <c r="AA287573" s="613"/>
    </row>
    <row r="287718" spans="27:27">
      <c r="AA287718" s="613"/>
    </row>
    <row r="287719" spans="27:27">
      <c r="AA287719" s="613"/>
    </row>
    <row r="287864" spans="27:27">
      <c r="AA287864" s="613"/>
    </row>
    <row r="287865" spans="27:27">
      <c r="AA287865" s="613"/>
    </row>
    <row r="288010" spans="27:27">
      <c r="AA288010" s="613"/>
    </row>
    <row r="288011" spans="27:27">
      <c r="AA288011" s="613"/>
    </row>
    <row r="288156" spans="27:27">
      <c r="AA288156" s="613"/>
    </row>
    <row r="288157" spans="27:27">
      <c r="AA288157" s="613"/>
    </row>
    <row r="288302" spans="27:27">
      <c r="AA288302" s="613"/>
    </row>
    <row r="288303" spans="27:27">
      <c r="AA288303" s="613"/>
    </row>
    <row r="288448" spans="27:27">
      <c r="AA288448" s="613"/>
    </row>
    <row r="288449" spans="27:27">
      <c r="AA288449" s="613"/>
    </row>
    <row r="288594" spans="27:27">
      <c r="AA288594" s="613"/>
    </row>
    <row r="288595" spans="27:27">
      <c r="AA288595" s="613"/>
    </row>
    <row r="288740" spans="27:27">
      <c r="AA288740" s="613"/>
    </row>
    <row r="288741" spans="27:27">
      <c r="AA288741" s="613"/>
    </row>
    <row r="288886" spans="27:27">
      <c r="AA288886" s="613"/>
    </row>
    <row r="288887" spans="27:27">
      <c r="AA288887" s="613"/>
    </row>
    <row r="289032" spans="27:27">
      <c r="AA289032" s="613"/>
    </row>
    <row r="289033" spans="27:27">
      <c r="AA289033" s="613"/>
    </row>
    <row r="289178" spans="27:27">
      <c r="AA289178" s="613"/>
    </row>
    <row r="289179" spans="27:27">
      <c r="AA289179" s="613"/>
    </row>
    <row r="289324" spans="27:27">
      <c r="AA289324" s="613"/>
    </row>
    <row r="289325" spans="27:27">
      <c r="AA289325" s="613"/>
    </row>
    <row r="289470" spans="27:27">
      <c r="AA289470" s="613"/>
    </row>
    <row r="289471" spans="27:27">
      <c r="AA289471" s="613"/>
    </row>
    <row r="289616" spans="27:27">
      <c r="AA289616" s="613"/>
    </row>
    <row r="289617" spans="27:27">
      <c r="AA289617" s="613"/>
    </row>
    <row r="289762" spans="27:27">
      <c r="AA289762" s="613"/>
    </row>
    <row r="289763" spans="27:27">
      <c r="AA289763" s="613"/>
    </row>
    <row r="289908" spans="27:27">
      <c r="AA289908" s="613"/>
    </row>
    <row r="289909" spans="27:27">
      <c r="AA289909" s="613"/>
    </row>
    <row r="290054" spans="27:27">
      <c r="AA290054" s="613"/>
    </row>
    <row r="290055" spans="27:27">
      <c r="AA290055" s="613"/>
    </row>
    <row r="290200" spans="27:27">
      <c r="AA290200" s="613"/>
    </row>
    <row r="290201" spans="27:27">
      <c r="AA290201" s="613"/>
    </row>
    <row r="290346" spans="27:27">
      <c r="AA290346" s="613"/>
    </row>
    <row r="290347" spans="27:27">
      <c r="AA290347" s="613"/>
    </row>
    <row r="290492" spans="27:27">
      <c r="AA290492" s="613"/>
    </row>
    <row r="290493" spans="27:27">
      <c r="AA290493" s="613"/>
    </row>
    <row r="290638" spans="27:27">
      <c r="AA290638" s="613"/>
    </row>
    <row r="290639" spans="27:27">
      <c r="AA290639" s="613"/>
    </row>
    <row r="290784" spans="27:27">
      <c r="AA290784" s="613"/>
    </row>
    <row r="290785" spans="27:27">
      <c r="AA290785" s="613"/>
    </row>
    <row r="290930" spans="27:27">
      <c r="AA290930" s="613"/>
    </row>
    <row r="290931" spans="27:27">
      <c r="AA290931" s="613"/>
    </row>
    <row r="291076" spans="27:27">
      <c r="AA291076" s="613"/>
    </row>
    <row r="291077" spans="27:27">
      <c r="AA291077" s="613"/>
    </row>
    <row r="291222" spans="27:27">
      <c r="AA291222" s="613"/>
    </row>
    <row r="291223" spans="27:27">
      <c r="AA291223" s="613"/>
    </row>
    <row r="291368" spans="27:27">
      <c r="AA291368" s="613"/>
    </row>
    <row r="291369" spans="27:27">
      <c r="AA291369" s="613"/>
    </row>
    <row r="291514" spans="27:27">
      <c r="AA291514" s="613"/>
    </row>
    <row r="291515" spans="27:27">
      <c r="AA291515" s="613"/>
    </row>
    <row r="291660" spans="27:27">
      <c r="AA291660" s="613"/>
    </row>
    <row r="291661" spans="27:27">
      <c r="AA291661" s="613"/>
    </row>
    <row r="291806" spans="27:27">
      <c r="AA291806" s="613"/>
    </row>
    <row r="291807" spans="27:27">
      <c r="AA291807" s="613"/>
    </row>
    <row r="291952" spans="27:27">
      <c r="AA291952" s="613"/>
    </row>
    <row r="291953" spans="27:27">
      <c r="AA291953" s="613"/>
    </row>
    <row r="292098" spans="27:27">
      <c r="AA292098" s="613"/>
    </row>
    <row r="292099" spans="27:27">
      <c r="AA292099" s="613"/>
    </row>
    <row r="292244" spans="27:27">
      <c r="AA292244" s="613"/>
    </row>
    <row r="292245" spans="27:27">
      <c r="AA292245" s="613"/>
    </row>
    <row r="292390" spans="27:27">
      <c r="AA292390" s="613"/>
    </row>
    <row r="292391" spans="27:27">
      <c r="AA292391" s="613"/>
    </row>
    <row r="292536" spans="27:27">
      <c r="AA292536" s="613"/>
    </row>
    <row r="292537" spans="27:27">
      <c r="AA292537" s="613"/>
    </row>
    <row r="292682" spans="27:27">
      <c r="AA292682" s="613"/>
    </row>
    <row r="292683" spans="27:27">
      <c r="AA292683" s="613"/>
    </row>
    <row r="292828" spans="27:27">
      <c r="AA292828" s="613"/>
    </row>
    <row r="292829" spans="27:27">
      <c r="AA292829" s="613"/>
    </row>
    <row r="292974" spans="27:27">
      <c r="AA292974" s="613"/>
    </row>
    <row r="292975" spans="27:27">
      <c r="AA292975" s="613"/>
    </row>
    <row r="293120" spans="27:27">
      <c r="AA293120" s="613"/>
    </row>
    <row r="293121" spans="27:27">
      <c r="AA293121" s="613"/>
    </row>
    <row r="293266" spans="27:27">
      <c r="AA293266" s="613"/>
    </row>
    <row r="293267" spans="27:27">
      <c r="AA293267" s="613"/>
    </row>
    <row r="293412" spans="27:27">
      <c r="AA293412" s="613"/>
    </row>
    <row r="293413" spans="27:27">
      <c r="AA293413" s="613"/>
    </row>
    <row r="293558" spans="27:27">
      <c r="AA293558" s="613"/>
    </row>
    <row r="293559" spans="27:27">
      <c r="AA293559" s="613"/>
    </row>
    <row r="293704" spans="27:27">
      <c r="AA293704" s="613"/>
    </row>
    <row r="293705" spans="27:27">
      <c r="AA293705" s="613"/>
    </row>
    <row r="293850" spans="27:27">
      <c r="AA293850" s="613"/>
    </row>
    <row r="293851" spans="27:27">
      <c r="AA293851" s="613"/>
    </row>
    <row r="293996" spans="27:27">
      <c r="AA293996" s="613"/>
    </row>
    <row r="293997" spans="27:27">
      <c r="AA293997" s="613"/>
    </row>
    <row r="294142" spans="27:27">
      <c r="AA294142" s="613"/>
    </row>
    <row r="294143" spans="27:27">
      <c r="AA294143" s="613"/>
    </row>
    <row r="294288" spans="27:27">
      <c r="AA294288" s="613"/>
    </row>
    <row r="294289" spans="27:27">
      <c r="AA294289" s="613"/>
    </row>
    <row r="294434" spans="27:27">
      <c r="AA294434" s="613"/>
    </row>
    <row r="294435" spans="27:27">
      <c r="AA294435" s="613"/>
    </row>
    <row r="294580" spans="27:27">
      <c r="AA294580" s="613"/>
    </row>
    <row r="294581" spans="27:27">
      <c r="AA294581" s="613"/>
    </row>
    <row r="294726" spans="27:27">
      <c r="AA294726" s="613"/>
    </row>
    <row r="294727" spans="27:27">
      <c r="AA294727" s="613"/>
    </row>
    <row r="294872" spans="27:27">
      <c r="AA294872" s="613"/>
    </row>
    <row r="294873" spans="27:27">
      <c r="AA294873" s="613"/>
    </row>
    <row r="295018" spans="27:27">
      <c r="AA295018" s="613"/>
    </row>
    <row r="295019" spans="27:27">
      <c r="AA295019" s="613"/>
    </row>
    <row r="295164" spans="27:27">
      <c r="AA295164" s="613"/>
    </row>
    <row r="295165" spans="27:27">
      <c r="AA295165" s="613"/>
    </row>
    <row r="295310" spans="27:27">
      <c r="AA295310" s="613"/>
    </row>
    <row r="295311" spans="27:27">
      <c r="AA295311" s="613"/>
    </row>
    <row r="295456" spans="27:27">
      <c r="AA295456" s="613"/>
    </row>
    <row r="295457" spans="27:27">
      <c r="AA295457" s="613"/>
    </row>
    <row r="295602" spans="27:27">
      <c r="AA295602" s="613"/>
    </row>
    <row r="295603" spans="27:27">
      <c r="AA295603" s="613"/>
    </row>
    <row r="295748" spans="27:27">
      <c r="AA295748" s="613"/>
    </row>
    <row r="295749" spans="27:27">
      <c r="AA295749" s="613"/>
    </row>
    <row r="295894" spans="27:27">
      <c r="AA295894" s="613"/>
    </row>
    <row r="295895" spans="27:27">
      <c r="AA295895" s="613"/>
    </row>
    <row r="296040" spans="27:27">
      <c r="AA296040" s="613"/>
    </row>
    <row r="296041" spans="27:27">
      <c r="AA296041" s="613"/>
    </row>
    <row r="296186" spans="27:27">
      <c r="AA296186" s="613"/>
    </row>
    <row r="296187" spans="27:27">
      <c r="AA296187" s="613"/>
    </row>
    <row r="296332" spans="27:27">
      <c r="AA296332" s="613"/>
    </row>
    <row r="296333" spans="27:27">
      <c r="AA296333" s="613"/>
    </row>
    <row r="296478" spans="27:27">
      <c r="AA296478" s="613"/>
    </row>
    <row r="296479" spans="27:27">
      <c r="AA296479" s="613"/>
    </row>
    <row r="296624" spans="27:27">
      <c r="AA296624" s="613"/>
    </row>
    <row r="296625" spans="27:27">
      <c r="AA296625" s="613"/>
    </row>
    <row r="296770" spans="27:27">
      <c r="AA296770" s="613"/>
    </row>
    <row r="296771" spans="27:27">
      <c r="AA296771" s="613"/>
    </row>
    <row r="296916" spans="27:27">
      <c r="AA296916" s="613"/>
    </row>
    <row r="296917" spans="27:27">
      <c r="AA296917" s="613"/>
    </row>
    <row r="297062" spans="27:27">
      <c r="AA297062" s="613"/>
    </row>
    <row r="297063" spans="27:27">
      <c r="AA297063" s="613"/>
    </row>
    <row r="297208" spans="27:27">
      <c r="AA297208" s="613"/>
    </row>
    <row r="297209" spans="27:27">
      <c r="AA297209" s="613"/>
    </row>
    <row r="297354" spans="27:27">
      <c r="AA297354" s="613"/>
    </row>
    <row r="297355" spans="27:27">
      <c r="AA297355" s="613"/>
    </row>
    <row r="297500" spans="27:27">
      <c r="AA297500" s="613"/>
    </row>
    <row r="297501" spans="27:27">
      <c r="AA297501" s="613"/>
    </row>
    <row r="297646" spans="27:27">
      <c r="AA297646" s="613"/>
    </row>
    <row r="297647" spans="27:27">
      <c r="AA297647" s="613"/>
    </row>
    <row r="297792" spans="27:27">
      <c r="AA297792" s="613"/>
    </row>
    <row r="297793" spans="27:27">
      <c r="AA297793" s="613"/>
    </row>
    <row r="297938" spans="27:27">
      <c r="AA297938" s="613"/>
    </row>
    <row r="297939" spans="27:27">
      <c r="AA297939" s="613"/>
    </row>
    <row r="298084" spans="27:27">
      <c r="AA298084" s="613"/>
    </row>
    <row r="298085" spans="27:27">
      <c r="AA298085" s="613"/>
    </row>
    <row r="298230" spans="27:27">
      <c r="AA298230" s="613"/>
    </row>
    <row r="298231" spans="27:27">
      <c r="AA298231" s="613"/>
    </row>
    <row r="298376" spans="27:27">
      <c r="AA298376" s="613"/>
    </row>
    <row r="298377" spans="27:27">
      <c r="AA298377" s="613"/>
    </row>
    <row r="298522" spans="27:27">
      <c r="AA298522" s="613"/>
    </row>
    <row r="298523" spans="27:27">
      <c r="AA298523" s="613"/>
    </row>
    <row r="298668" spans="27:27">
      <c r="AA298668" s="613"/>
    </row>
    <row r="298669" spans="27:27">
      <c r="AA298669" s="613"/>
    </row>
    <row r="298814" spans="27:27">
      <c r="AA298814" s="613"/>
    </row>
    <row r="298815" spans="27:27">
      <c r="AA298815" s="613"/>
    </row>
    <row r="298960" spans="27:27">
      <c r="AA298960" s="613"/>
    </row>
    <row r="298961" spans="27:27">
      <c r="AA298961" s="613"/>
    </row>
    <row r="299106" spans="27:27">
      <c r="AA299106" s="613"/>
    </row>
    <row r="299107" spans="27:27">
      <c r="AA299107" s="613"/>
    </row>
    <row r="299252" spans="27:27">
      <c r="AA299252" s="613"/>
    </row>
    <row r="299253" spans="27:27">
      <c r="AA299253" s="613"/>
    </row>
    <row r="299398" spans="27:27">
      <c r="AA299398" s="613"/>
    </row>
    <row r="299399" spans="27:27">
      <c r="AA299399" s="613"/>
    </row>
    <row r="299544" spans="27:27">
      <c r="AA299544" s="613"/>
    </row>
    <row r="299545" spans="27:27">
      <c r="AA299545" s="613"/>
    </row>
    <row r="299690" spans="27:27">
      <c r="AA299690" s="613"/>
    </row>
    <row r="299691" spans="27:27">
      <c r="AA299691" s="613"/>
    </row>
    <row r="299836" spans="27:27">
      <c r="AA299836" s="613"/>
    </row>
    <row r="299837" spans="27:27">
      <c r="AA299837" s="613"/>
    </row>
    <row r="299982" spans="27:27">
      <c r="AA299982" s="613"/>
    </row>
    <row r="299983" spans="27:27">
      <c r="AA299983" s="613"/>
    </row>
    <row r="300128" spans="27:27">
      <c r="AA300128" s="613"/>
    </row>
    <row r="300129" spans="27:27">
      <c r="AA300129" s="613"/>
    </row>
    <row r="300274" spans="27:27">
      <c r="AA300274" s="613"/>
    </row>
    <row r="300275" spans="27:27">
      <c r="AA300275" s="613"/>
    </row>
    <row r="300420" spans="27:27">
      <c r="AA300420" s="613"/>
    </row>
    <row r="300421" spans="27:27">
      <c r="AA300421" s="613"/>
    </row>
    <row r="300566" spans="27:27">
      <c r="AA300566" s="613"/>
    </row>
    <row r="300567" spans="27:27">
      <c r="AA300567" s="613"/>
    </row>
    <row r="300712" spans="27:27">
      <c r="AA300712" s="613"/>
    </row>
    <row r="300713" spans="27:27">
      <c r="AA300713" s="613"/>
    </row>
    <row r="300858" spans="27:27">
      <c r="AA300858" s="613"/>
    </row>
    <row r="300859" spans="27:27">
      <c r="AA300859" s="613"/>
    </row>
    <row r="301004" spans="27:27">
      <c r="AA301004" s="613"/>
    </row>
    <row r="301005" spans="27:27">
      <c r="AA301005" s="613"/>
    </row>
    <row r="301150" spans="27:27">
      <c r="AA301150" s="613"/>
    </row>
    <row r="301151" spans="27:27">
      <c r="AA301151" s="613"/>
    </row>
    <row r="301296" spans="27:27">
      <c r="AA301296" s="613"/>
    </row>
    <row r="301297" spans="27:27">
      <c r="AA301297" s="613"/>
    </row>
    <row r="301442" spans="27:27">
      <c r="AA301442" s="613"/>
    </row>
    <row r="301443" spans="27:27">
      <c r="AA301443" s="613"/>
    </row>
    <row r="301588" spans="27:27">
      <c r="AA301588" s="613"/>
    </row>
    <row r="301589" spans="27:27">
      <c r="AA301589" s="613"/>
    </row>
    <row r="301734" spans="27:27">
      <c r="AA301734" s="613"/>
    </row>
    <row r="301735" spans="27:27">
      <c r="AA301735" s="613"/>
    </row>
    <row r="301880" spans="27:27">
      <c r="AA301880" s="613"/>
    </row>
    <row r="301881" spans="27:27">
      <c r="AA301881" s="613"/>
    </row>
    <row r="302026" spans="27:27">
      <c r="AA302026" s="613"/>
    </row>
    <row r="302027" spans="27:27">
      <c r="AA302027" s="613"/>
    </row>
    <row r="302172" spans="27:27">
      <c r="AA302172" s="613"/>
    </row>
    <row r="302173" spans="27:27">
      <c r="AA302173" s="613"/>
    </row>
    <row r="302318" spans="27:27">
      <c r="AA302318" s="613"/>
    </row>
    <row r="302319" spans="27:27">
      <c r="AA302319" s="613"/>
    </row>
    <row r="302464" spans="27:27">
      <c r="AA302464" s="613"/>
    </row>
    <row r="302465" spans="27:27">
      <c r="AA302465" s="613"/>
    </row>
    <row r="302610" spans="27:27">
      <c r="AA302610" s="613"/>
    </row>
    <row r="302611" spans="27:27">
      <c r="AA302611" s="613"/>
    </row>
    <row r="302756" spans="27:27">
      <c r="AA302756" s="613"/>
    </row>
    <row r="302757" spans="27:27">
      <c r="AA302757" s="613"/>
    </row>
    <row r="302902" spans="27:27">
      <c r="AA302902" s="613"/>
    </row>
    <row r="302903" spans="27:27">
      <c r="AA302903" s="613"/>
    </row>
    <row r="303048" spans="27:27">
      <c r="AA303048" s="613"/>
    </row>
    <row r="303049" spans="27:27">
      <c r="AA303049" s="613"/>
    </row>
    <row r="303194" spans="27:27">
      <c r="AA303194" s="613"/>
    </row>
    <row r="303195" spans="27:27">
      <c r="AA303195" s="613"/>
    </row>
    <row r="303340" spans="27:27">
      <c r="AA303340" s="613"/>
    </row>
    <row r="303341" spans="27:27">
      <c r="AA303341" s="613"/>
    </row>
    <row r="303486" spans="27:27">
      <c r="AA303486" s="613"/>
    </row>
    <row r="303487" spans="27:27">
      <c r="AA303487" s="613"/>
    </row>
    <row r="303632" spans="27:27">
      <c r="AA303632" s="613"/>
    </row>
    <row r="303633" spans="27:27">
      <c r="AA303633" s="613"/>
    </row>
    <row r="303778" spans="27:27">
      <c r="AA303778" s="613"/>
    </row>
    <row r="303779" spans="27:27">
      <c r="AA303779" s="613"/>
    </row>
    <row r="303924" spans="27:27">
      <c r="AA303924" s="613"/>
    </row>
    <row r="303925" spans="27:27">
      <c r="AA303925" s="613"/>
    </row>
    <row r="304070" spans="27:27">
      <c r="AA304070" s="613"/>
    </row>
    <row r="304071" spans="27:27">
      <c r="AA304071" s="613"/>
    </row>
    <row r="304216" spans="27:27">
      <c r="AA304216" s="613"/>
    </row>
    <row r="304217" spans="27:27">
      <c r="AA304217" s="613"/>
    </row>
    <row r="304362" spans="27:27">
      <c r="AA304362" s="613"/>
    </row>
    <row r="304363" spans="27:27">
      <c r="AA304363" s="613"/>
    </row>
    <row r="304508" spans="27:27">
      <c r="AA304508" s="613"/>
    </row>
    <row r="304509" spans="27:27">
      <c r="AA304509" s="613"/>
    </row>
    <row r="304654" spans="27:27">
      <c r="AA304654" s="613"/>
    </row>
    <row r="304655" spans="27:27">
      <c r="AA304655" s="613"/>
    </row>
    <row r="304800" spans="27:27">
      <c r="AA304800" s="613"/>
    </row>
    <row r="304801" spans="27:27">
      <c r="AA304801" s="613"/>
    </row>
    <row r="304946" spans="27:27">
      <c r="AA304946" s="613"/>
    </row>
    <row r="304947" spans="27:27">
      <c r="AA304947" s="613"/>
    </row>
    <row r="305092" spans="27:27">
      <c r="AA305092" s="613"/>
    </row>
    <row r="305093" spans="27:27">
      <c r="AA305093" s="613"/>
    </row>
    <row r="305238" spans="27:27">
      <c r="AA305238" s="613"/>
    </row>
    <row r="305239" spans="27:27">
      <c r="AA305239" s="613"/>
    </row>
    <row r="305384" spans="27:27">
      <c r="AA305384" s="613"/>
    </row>
    <row r="305385" spans="27:27">
      <c r="AA305385" s="613"/>
    </row>
    <row r="305530" spans="27:27">
      <c r="AA305530" s="613"/>
    </row>
    <row r="305531" spans="27:27">
      <c r="AA305531" s="613"/>
    </row>
    <row r="305676" spans="27:27">
      <c r="AA305676" s="613"/>
    </row>
    <row r="305677" spans="27:27">
      <c r="AA305677" s="613"/>
    </row>
    <row r="305822" spans="27:27">
      <c r="AA305822" s="613"/>
    </row>
    <row r="305823" spans="27:27">
      <c r="AA305823" s="613"/>
    </row>
    <row r="305968" spans="27:27">
      <c r="AA305968" s="613"/>
    </row>
    <row r="305969" spans="27:27">
      <c r="AA305969" s="613"/>
    </row>
    <row r="306114" spans="27:27">
      <c r="AA306114" s="613"/>
    </row>
    <row r="306115" spans="27:27">
      <c r="AA306115" s="613"/>
    </row>
    <row r="306260" spans="27:27">
      <c r="AA306260" s="613"/>
    </row>
    <row r="306261" spans="27:27">
      <c r="AA306261" s="613"/>
    </row>
    <row r="306406" spans="27:27">
      <c r="AA306406" s="613"/>
    </row>
    <row r="306407" spans="27:27">
      <c r="AA306407" s="613"/>
    </row>
    <row r="306552" spans="27:27">
      <c r="AA306552" s="613"/>
    </row>
    <row r="306553" spans="27:27">
      <c r="AA306553" s="613"/>
    </row>
    <row r="306698" spans="27:27">
      <c r="AA306698" s="613"/>
    </row>
    <row r="306699" spans="27:27">
      <c r="AA306699" s="613"/>
    </row>
    <row r="306844" spans="27:27">
      <c r="AA306844" s="613"/>
    </row>
    <row r="306845" spans="27:27">
      <c r="AA306845" s="613"/>
    </row>
    <row r="306990" spans="27:27">
      <c r="AA306990" s="613"/>
    </row>
    <row r="306991" spans="27:27">
      <c r="AA306991" s="613"/>
    </row>
    <row r="307136" spans="27:27">
      <c r="AA307136" s="613"/>
    </row>
    <row r="307137" spans="27:27">
      <c r="AA307137" s="613"/>
    </row>
    <row r="307282" spans="27:27">
      <c r="AA307282" s="613"/>
    </row>
    <row r="307283" spans="27:27">
      <c r="AA307283" s="613"/>
    </row>
    <row r="307428" spans="27:27">
      <c r="AA307428" s="613"/>
    </row>
    <row r="307429" spans="27:27">
      <c r="AA307429" s="613"/>
    </row>
    <row r="307574" spans="27:27">
      <c r="AA307574" s="613"/>
    </row>
    <row r="307575" spans="27:27">
      <c r="AA307575" s="613"/>
    </row>
    <row r="307720" spans="27:27">
      <c r="AA307720" s="613"/>
    </row>
    <row r="307721" spans="27:27">
      <c r="AA307721" s="613"/>
    </row>
    <row r="307866" spans="27:27">
      <c r="AA307866" s="613"/>
    </row>
    <row r="307867" spans="27:27">
      <c r="AA307867" s="613"/>
    </row>
    <row r="308012" spans="27:27">
      <c r="AA308012" s="613"/>
    </row>
    <row r="308013" spans="27:27">
      <c r="AA308013" s="613"/>
    </row>
    <row r="308158" spans="27:27">
      <c r="AA308158" s="613"/>
    </row>
    <row r="308159" spans="27:27">
      <c r="AA308159" s="613"/>
    </row>
    <row r="308304" spans="27:27">
      <c r="AA308304" s="613"/>
    </row>
    <row r="308305" spans="27:27">
      <c r="AA308305" s="613"/>
    </row>
    <row r="308450" spans="27:27">
      <c r="AA308450" s="613"/>
    </row>
    <row r="308451" spans="27:27">
      <c r="AA308451" s="613"/>
    </row>
    <row r="308596" spans="27:27">
      <c r="AA308596" s="613"/>
    </row>
    <row r="308597" spans="27:27">
      <c r="AA308597" s="613"/>
    </row>
    <row r="308742" spans="27:27">
      <c r="AA308742" s="613"/>
    </row>
    <row r="308743" spans="27:27">
      <c r="AA308743" s="613"/>
    </row>
    <row r="308888" spans="27:27">
      <c r="AA308888" s="613"/>
    </row>
    <row r="308889" spans="27:27">
      <c r="AA308889" s="613"/>
    </row>
    <row r="309034" spans="27:27">
      <c r="AA309034" s="613"/>
    </row>
    <row r="309035" spans="27:27">
      <c r="AA309035" s="613"/>
    </row>
    <row r="309180" spans="27:27">
      <c r="AA309180" s="613"/>
    </row>
    <row r="309181" spans="27:27">
      <c r="AA309181" s="613"/>
    </row>
    <row r="309326" spans="27:27">
      <c r="AA309326" s="613"/>
    </row>
    <row r="309327" spans="27:27">
      <c r="AA309327" s="613"/>
    </row>
    <row r="309472" spans="27:27">
      <c r="AA309472" s="613"/>
    </row>
    <row r="309473" spans="27:27">
      <c r="AA309473" s="613"/>
    </row>
    <row r="309618" spans="27:27">
      <c r="AA309618" s="613"/>
    </row>
    <row r="309619" spans="27:27">
      <c r="AA309619" s="613"/>
    </row>
    <row r="309764" spans="27:27">
      <c r="AA309764" s="613"/>
    </row>
    <row r="309765" spans="27:27">
      <c r="AA309765" s="613"/>
    </row>
    <row r="309910" spans="27:27">
      <c r="AA309910" s="613"/>
    </row>
    <row r="309911" spans="27:27">
      <c r="AA309911" s="613"/>
    </row>
    <row r="310056" spans="27:27">
      <c r="AA310056" s="613"/>
    </row>
    <row r="310057" spans="27:27">
      <c r="AA310057" s="613"/>
    </row>
    <row r="310202" spans="27:27">
      <c r="AA310202" s="613"/>
    </row>
    <row r="310203" spans="27:27">
      <c r="AA310203" s="613"/>
    </row>
    <row r="310348" spans="27:27">
      <c r="AA310348" s="613"/>
    </row>
    <row r="310349" spans="27:27">
      <c r="AA310349" s="613"/>
    </row>
    <row r="310494" spans="27:27">
      <c r="AA310494" s="613"/>
    </row>
    <row r="310495" spans="27:27">
      <c r="AA310495" s="613"/>
    </row>
    <row r="310640" spans="27:27">
      <c r="AA310640" s="613"/>
    </row>
    <row r="310641" spans="27:27">
      <c r="AA310641" s="613"/>
    </row>
    <row r="310786" spans="27:27">
      <c r="AA310786" s="613"/>
    </row>
    <row r="310787" spans="27:27">
      <c r="AA310787" s="613"/>
    </row>
    <row r="310932" spans="27:27">
      <c r="AA310932" s="613"/>
    </row>
    <row r="310933" spans="27:27">
      <c r="AA310933" s="613"/>
    </row>
    <row r="311078" spans="27:27">
      <c r="AA311078" s="613"/>
    </row>
    <row r="311079" spans="27:27">
      <c r="AA311079" s="613"/>
    </row>
    <row r="311224" spans="27:27">
      <c r="AA311224" s="613"/>
    </row>
    <row r="311225" spans="27:27">
      <c r="AA311225" s="613"/>
    </row>
    <row r="311370" spans="27:27">
      <c r="AA311370" s="613"/>
    </row>
    <row r="311371" spans="27:27">
      <c r="AA311371" s="613"/>
    </row>
    <row r="311516" spans="27:27">
      <c r="AA311516" s="613"/>
    </row>
    <row r="311517" spans="27:27">
      <c r="AA311517" s="613"/>
    </row>
    <row r="311662" spans="27:27">
      <c r="AA311662" s="613"/>
    </row>
    <row r="311663" spans="27:27">
      <c r="AA311663" s="613"/>
    </row>
    <row r="311808" spans="27:27">
      <c r="AA311808" s="613"/>
    </row>
    <row r="311809" spans="27:27">
      <c r="AA311809" s="613"/>
    </row>
    <row r="311954" spans="27:27">
      <c r="AA311954" s="613"/>
    </row>
    <row r="311955" spans="27:27">
      <c r="AA311955" s="613"/>
    </row>
    <row r="312100" spans="27:27">
      <c r="AA312100" s="613"/>
    </row>
    <row r="312101" spans="27:27">
      <c r="AA312101" s="613"/>
    </row>
    <row r="312246" spans="27:27">
      <c r="AA312246" s="613"/>
    </row>
    <row r="312247" spans="27:27">
      <c r="AA312247" s="613"/>
    </row>
    <row r="312392" spans="27:27">
      <c r="AA312392" s="613"/>
    </row>
    <row r="312393" spans="27:27">
      <c r="AA312393" s="613"/>
    </row>
    <row r="312538" spans="27:27">
      <c r="AA312538" s="613"/>
    </row>
    <row r="312539" spans="27:27">
      <c r="AA312539" s="613"/>
    </row>
    <row r="312684" spans="27:27">
      <c r="AA312684" s="613"/>
    </row>
    <row r="312685" spans="27:27">
      <c r="AA312685" s="613"/>
    </row>
    <row r="312830" spans="27:27">
      <c r="AA312830" s="613"/>
    </row>
    <row r="312831" spans="27:27">
      <c r="AA312831" s="613"/>
    </row>
    <row r="312976" spans="27:27">
      <c r="AA312976" s="613"/>
    </row>
    <row r="312977" spans="27:27">
      <c r="AA312977" s="613"/>
    </row>
    <row r="313122" spans="27:27">
      <c r="AA313122" s="613"/>
    </row>
    <row r="313123" spans="27:27">
      <c r="AA313123" s="613"/>
    </row>
    <row r="313268" spans="27:27">
      <c r="AA313268" s="613"/>
    </row>
    <row r="313269" spans="27:27">
      <c r="AA313269" s="613"/>
    </row>
    <row r="313414" spans="27:27">
      <c r="AA313414" s="613"/>
    </row>
    <row r="313415" spans="27:27">
      <c r="AA313415" s="613"/>
    </row>
    <row r="313560" spans="27:27">
      <c r="AA313560" s="613"/>
    </row>
    <row r="313561" spans="27:27">
      <c r="AA313561" s="613"/>
    </row>
    <row r="313706" spans="27:27">
      <c r="AA313706" s="613"/>
    </row>
    <row r="313707" spans="27:27">
      <c r="AA313707" s="613"/>
    </row>
    <row r="313852" spans="27:27">
      <c r="AA313852" s="613"/>
    </row>
    <row r="313853" spans="27:27">
      <c r="AA313853" s="613"/>
    </row>
    <row r="313998" spans="27:27">
      <c r="AA313998" s="613"/>
    </row>
    <row r="313999" spans="27:27">
      <c r="AA313999" s="613"/>
    </row>
    <row r="314144" spans="27:27">
      <c r="AA314144" s="613"/>
    </row>
    <row r="314145" spans="27:27">
      <c r="AA314145" s="613"/>
    </row>
    <row r="314290" spans="27:27">
      <c r="AA314290" s="613"/>
    </row>
    <row r="314291" spans="27:27">
      <c r="AA314291" s="613"/>
    </row>
    <row r="314436" spans="27:27">
      <c r="AA314436" s="613"/>
    </row>
    <row r="314437" spans="27:27">
      <c r="AA314437" s="613"/>
    </row>
    <row r="314582" spans="27:27">
      <c r="AA314582" s="613"/>
    </row>
    <row r="314583" spans="27:27">
      <c r="AA314583" s="613"/>
    </row>
    <row r="314728" spans="27:27">
      <c r="AA314728" s="613"/>
    </row>
    <row r="314729" spans="27:27">
      <c r="AA314729" s="613"/>
    </row>
    <row r="314874" spans="27:27">
      <c r="AA314874" s="613"/>
    </row>
    <row r="314875" spans="27:27">
      <c r="AA314875" s="613"/>
    </row>
    <row r="315020" spans="27:27">
      <c r="AA315020" s="613"/>
    </row>
    <row r="315021" spans="27:27">
      <c r="AA315021" s="613"/>
    </row>
    <row r="315166" spans="27:27">
      <c r="AA315166" s="613"/>
    </row>
    <row r="315167" spans="27:27">
      <c r="AA315167" s="613"/>
    </row>
    <row r="315312" spans="27:27">
      <c r="AA315312" s="613"/>
    </row>
    <row r="315313" spans="27:27">
      <c r="AA315313" s="613"/>
    </row>
    <row r="315458" spans="27:27">
      <c r="AA315458" s="613"/>
    </row>
    <row r="315459" spans="27:27">
      <c r="AA315459" s="613"/>
    </row>
    <row r="315604" spans="27:27">
      <c r="AA315604" s="613"/>
    </row>
    <row r="315605" spans="27:27">
      <c r="AA315605" s="613"/>
    </row>
    <row r="315750" spans="27:27">
      <c r="AA315750" s="613"/>
    </row>
    <row r="315751" spans="27:27">
      <c r="AA315751" s="613"/>
    </row>
    <row r="315896" spans="27:27">
      <c r="AA315896" s="613"/>
    </row>
    <row r="315897" spans="27:27">
      <c r="AA315897" s="613"/>
    </row>
    <row r="316042" spans="27:27">
      <c r="AA316042" s="613"/>
    </row>
    <row r="316043" spans="27:27">
      <c r="AA316043" s="613"/>
    </row>
    <row r="316188" spans="27:27">
      <c r="AA316188" s="613"/>
    </row>
    <row r="316189" spans="27:27">
      <c r="AA316189" s="613"/>
    </row>
    <row r="316334" spans="27:27">
      <c r="AA316334" s="613"/>
    </row>
    <row r="316335" spans="27:27">
      <c r="AA316335" s="613"/>
    </row>
    <row r="316480" spans="27:27">
      <c r="AA316480" s="613"/>
    </row>
    <row r="316481" spans="27:27">
      <c r="AA316481" s="613"/>
    </row>
    <row r="316626" spans="27:27">
      <c r="AA316626" s="613"/>
    </row>
    <row r="316627" spans="27:27">
      <c r="AA316627" s="613"/>
    </row>
    <row r="316772" spans="27:27">
      <c r="AA316772" s="613"/>
    </row>
    <row r="316773" spans="27:27">
      <c r="AA316773" s="613"/>
    </row>
    <row r="316918" spans="27:27">
      <c r="AA316918" s="613"/>
    </row>
    <row r="316919" spans="27:27">
      <c r="AA316919" s="613"/>
    </row>
    <row r="317064" spans="27:27">
      <c r="AA317064" s="613"/>
    </row>
    <row r="317065" spans="27:27">
      <c r="AA317065" s="613"/>
    </row>
    <row r="317210" spans="27:27">
      <c r="AA317210" s="613"/>
    </row>
    <row r="317211" spans="27:27">
      <c r="AA317211" s="613"/>
    </row>
    <row r="317356" spans="27:27">
      <c r="AA317356" s="613"/>
    </row>
    <row r="317357" spans="27:27">
      <c r="AA317357" s="613"/>
    </row>
    <row r="317502" spans="27:27">
      <c r="AA317502" s="613"/>
    </row>
    <row r="317503" spans="27:27">
      <c r="AA317503" s="613"/>
    </row>
    <row r="317648" spans="27:27">
      <c r="AA317648" s="613"/>
    </row>
    <row r="317649" spans="27:27">
      <c r="AA317649" s="613"/>
    </row>
    <row r="317794" spans="27:27">
      <c r="AA317794" s="613"/>
    </row>
    <row r="317795" spans="27:27">
      <c r="AA317795" s="613"/>
    </row>
    <row r="317940" spans="27:27">
      <c r="AA317940" s="613"/>
    </row>
    <row r="317941" spans="27:27">
      <c r="AA317941" s="613"/>
    </row>
    <row r="318086" spans="27:27">
      <c r="AA318086" s="613"/>
    </row>
    <row r="318087" spans="27:27">
      <c r="AA318087" s="613"/>
    </row>
    <row r="318232" spans="27:27">
      <c r="AA318232" s="613"/>
    </row>
    <row r="318233" spans="27:27">
      <c r="AA318233" s="613"/>
    </row>
    <row r="318378" spans="27:27">
      <c r="AA318378" s="613"/>
    </row>
    <row r="318379" spans="27:27">
      <c r="AA318379" s="613"/>
    </row>
    <row r="318524" spans="27:27">
      <c r="AA318524" s="613"/>
    </row>
    <row r="318525" spans="27:27">
      <c r="AA318525" s="613"/>
    </row>
    <row r="318670" spans="27:27">
      <c r="AA318670" s="613"/>
    </row>
    <row r="318671" spans="27:27">
      <c r="AA318671" s="613"/>
    </row>
    <row r="318816" spans="27:27">
      <c r="AA318816" s="613"/>
    </row>
    <row r="318817" spans="27:27">
      <c r="AA318817" s="613"/>
    </row>
    <row r="318962" spans="27:27">
      <c r="AA318962" s="613"/>
    </row>
    <row r="318963" spans="27:27">
      <c r="AA318963" s="613"/>
    </row>
    <row r="319108" spans="27:27">
      <c r="AA319108" s="613"/>
    </row>
    <row r="319109" spans="27:27">
      <c r="AA319109" s="613"/>
    </row>
    <row r="319254" spans="27:27">
      <c r="AA319254" s="613"/>
    </row>
    <row r="319255" spans="27:27">
      <c r="AA319255" s="613"/>
    </row>
    <row r="319400" spans="27:27">
      <c r="AA319400" s="613"/>
    </row>
    <row r="319401" spans="27:27">
      <c r="AA319401" s="613"/>
    </row>
    <row r="319546" spans="27:27">
      <c r="AA319546" s="613"/>
    </row>
    <row r="319547" spans="27:27">
      <c r="AA319547" s="613"/>
    </row>
    <row r="319692" spans="27:27">
      <c r="AA319692" s="613"/>
    </row>
    <row r="319693" spans="27:27">
      <c r="AA319693" s="613"/>
    </row>
    <row r="319838" spans="27:27">
      <c r="AA319838" s="613"/>
    </row>
    <row r="319839" spans="27:27">
      <c r="AA319839" s="613"/>
    </row>
    <row r="319984" spans="27:27">
      <c r="AA319984" s="613"/>
    </row>
    <row r="319985" spans="27:27">
      <c r="AA319985" s="613"/>
    </row>
    <row r="320130" spans="27:27">
      <c r="AA320130" s="613"/>
    </row>
    <row r="320131" spans="27:27">
      <c r="AA320131" s="613"/>
    </row>
    <row r="320276" spans="27:27">
      <c r="AA320276" s="613"/>
    </row>
    <row r="320277" spans="27:27">
      <c r="AA320277" s="613"/>
    </row>
    <row r="320422" spans="27:27">
      <c r="AA320422" s="613"/>
    </row>
    <row r="320423" spans="27:27">
      <c r="AA320423" s="613"/>
    </row>
    <row r="320568" spans="27:27">
      <c r="AA320568" s="613"/>
    </row>
    <row r="320569" spans="27:27">
      <c r="AA320569" s="613"/>
    </row>
    <row r="320714" spans="27:27">
      <c r="AA320714" s="613"/>
    </row>
    <row r="320715" spans="27:27">
      <c r="AA320715" s="613"/>
    </row>
    <row r="320860" spans="27:27">
      <c r="AA320860" s="613"/>
    </row>
    <row r="320861" spans="27:27">
      <c r="AA320861" s="613"/>
    </row>
    <row r="321006" spans="27:27">
      <c r="AA321006" s="613"/>
    </row>
    <row r="321007" spans="27:27">
      <c r="AA321007" s="613"/>
    </row>
    <row r="321152" spans="27:27">
      <c r="AA321152" s="613"/>
    </row>
    <row r="321153" spans="27:27">
      <c r="AA321153" s="613"/>
    </row>
    <row r="321298" spans="27:27">
      <c r="AA321298" s="613"/>
    </row>
    <row r="321299" spans="27:27">
      <c r="AA321299" s="613"/>
    </row>
    <row r="321444" spans="27:27">
      <c r="AA321444" s="613"/>
    </row>
    <row r="321445" spans="27:27">
      <c r="AA321445" s="613"/>
    </row>
    <row r="321590" spans="27:27">
      <c r="AA321590" s="613"/>
    </row>
    <row r="321591" spans="27:27">
      <c r="AA321591" s="613"/>
    </row>
    <row r="321736" spans="27:27">
      <c r="AA321736" s="613"/>
    </row>
    <row r="321737" spans="27:27">
      <c r="AA321737" s="613"/>
    </row>
    <row r="321882" spans="27:27">
      <c r="AA321882" s="613"/>
    </row>
    <row r="321883" spans="27:27">
      <c r="AA321883" s="613"/>
    </row>
    <row r="322028" spans="27:27">
      <c r="AA322028" s="613"/>
    </row>
    <row r="322029" spans="27:27">
      <c r="AA322029" s="613"/>
    </row>
    <row r="322174" spans="27:27">
      <c r="AA322174" s="613"/>
    </row>
    <row r="322175" spans="27:27">
      <c r="AA322175" s="613"/>
    </row>
    <row r="322320" spans="27:27">
      <c r="AA322320" s="613"/>
    </row>
    <row r="322321" spans="27:27">
      <c r="AA322321" s="613"/>
    </row>
    <row r="322466" spans="27:27">
      <c r="AA322466" s="613"/>
    </row>
    <row r="322467" spans="27:27">
      <c r="AA322467" s="613"/>
    </row>
    <row r="322612" spans="27:27">
      <c r="AA322612" s="613"/>
    </row>
    <row r="322613" spans="27:27">
      <c r="AA322613" s="613"/>
    </row>
    <row r="322758" spans="27:27">
      <c r="AA322758" s="613"/>
    </row>
    <row r="322759" spans="27:27">
      <c r="AA322759" s="613"/>
    </row>
    <row r="322904" spans="27:27">
      <c r="AA322904" s="613"/>
    </row>
    <row r="322905" spans="27:27">
      <c r="AA322905" s="613"/>
    </row>
    <row r="323050" spans="27:27">
      <c r="AA323050" s="613"/>
    </row>
    <row r="323051" spans="27:27">
      <c r="AA323051" s="613"/>
    </row>
    <row r="323196" spans="27:27">
      <c r="AA323196" s="613"/>
    </row>
    <row r="323197" spans="27:27">
      <c r="AA323197" s="613"/>
    </row>
    <row r="323342" spans="27:27">
      <c r="AA323342" s="613"/>
    </row>
    <row r="323343" spans="27:27">
      <c r="AA323343" s="613"/>
    </row>
    <row r="323488" spans="27:27">
      <c r="AA323488" s="613"/>
    </row>
    <row r="323489" spans="27:27">
      <c r="AA323489" s="613"/>
    </row>
    <row r="323634" spans="27:27">
      <c r="AA323634" s="613"/>
    </row>
    <row r="323635" spans="27:27">
      <c r="AA323635" s="613"/>
    </row>
    <row r="323780" spans="27:27">
      <c r="AA323780" s="613"/>
    </row>
    <row r="323781" spans="27:27">
      <c r="AA323781" s="613"/>
    </row>
    <row r="323926" spans="27:27">
      <c r="AA323926" s="613"/>
    </row>
    <row r="323927" spans="27:27">
      <c r="AA323927" s="613"/>
    </row>
    <row r="324072" spans="27:27">
      <c r="AA324072" s="613"/>
    </row>
    <row r="324073" spans="27:27">
      <c r="AA324073" s="613"/>
    </row>
    <row r="324218" spans="27:27">
      <c r="AA324218" s="613"/>
    </row>
    <row r="324219" spans="27:27">
      <c r="AA324219" s="613"/>
    </row>
    <row r="324364" spans="27:27">
      <c r="AA324364" s="613"/>
    </row>
    <row r="324365" spans="27:27">
      <c r="AA324365" s="613"/>
    </row>
    <row r="324510" spans="27:27">
      <c r="AA324510" s="613"/>
    </row>
    <row r="324511" spans="27:27">
      <c r="AA324511" s="613"/>
    </row>
    <row r="324656" spans="27:27">
      <c r="AA324656" s="613"/>
    </row>
    <row r="324657" spans="27:27">
      <c r="AA324657" s="613"/>
    </row>
    <row r="324802" spans="27:27">
      <c r="AA324802" s="613"/>
    </row>
    <row r="324803" spans="27:27">
      <c r="AA324803" s="613"/>
    </row>
    <row r="324948" spans="27:27">
      <c r="AA324948" s="613"/>
    </row>
    <row r="324949" spans="27:27">
      <c r="AA324949" s="613"/>
    </row>
    <row r="325094" spans="27:27">
      <c r="AA325094" s="613"/>
    </row>
    <row r="325095" spans="27:27">
      <c r="AA325095" s="613"/>
    </row>
    <row r="325240" spans="27:27">
      <c r="AA325240" s="613"/>
    </row>
    <row r="325241" spans="27:27">
      <c r="AA325241" s="613"/>
    </row>
    <row r="325386" spans="27:27">
      <c r="AA325386" s="613"/>
    </row>
    <row r="325387" spans="27:27">
      <c r="AA325387" s="613"/>
    </row>
    <row r="325532" spans="27:27">
      <c r="AA325532" s="613"/>
    </row>
    <row r="325533" spans="27:27">
      <c r="AA325533" s="613"/>
    </row>
    <row r="325678" spans="27:27">
      <c r="AA325678" s="613"/>
    </row>
    <row r="325679" spans="27:27">
      <c r="AA325679" s="613"/>
    </row>
    <row r="325824" spans="27:27">
      <c r="AA325824" s="613"/>
    </row>
    <row r="325825" spans="27:27">
      <c r="AA325825" s="613"/>
    </row>
    <row r="325970" spans="27:27">
      <c r="AA325970" s="613"/>
    </row>
    <row r="325971" spans="27:27">
      <c r="AA325971" s="613"/>
    </row>
    <row r="326116" spans="27:27">
      <c r="AA326116" s="613"/>
    </row>
    <row r="326117" spans="27:27">
      <c r="AA326117" s="613"/>
    </row>
    <row r="326262" spans="27:27">
      <c r="AA326262" s="613"/>
    </row>
    <row r="326263" spans="27:27">
      <c r="AA326263" s="613"/>
    </row>
    <row r="326408" spans="27:27">
      <c r="AA326408" s="613"/>
    </row>
    <row r="326409" spans="27:27">
      <c r="AA326409" s="613"/>
    </row>
    <row r="326554" spans="27:27">
      <c r="AA326554" s="613"/>
    </row>
    <row r="326555" spans="27:27">
      <c r="AA326555" s="613"/>
    </row>
    <row r="326700" spans="27:27">
      <c r="AA326700" s="613"/>
    </row>
    <row r="326701" spans="27:27">
      <c r="AA326701" s="613"/>
    </row>
    <row r="326846" spans="27:27">
      <c r="AA326846" s="613"/>
    </row>
    <row r="326847" spans="27:27">
      <c r="AA326847" s="613"/>
    </row>
    <row r="326992" spans="27:27">
      <c r="AA326992" s="613"/>
    </row>
    <row r="326993" spans="27:27">
      <c r="AA326993" s="613"/>
    </row>
    <row r="327138" spans="27:27">
      <c r="AA327138" s="613"/>
    </row>
    <row r="327139" spans="27:27">
      <c r="AA327139" s="613"/>
    </row>
    <row r="327284" spans="27:27">
      <c r="AA327284" s="613"/>
    </row>
    <row r="327285" spans="27:27">
      <c r="AA327285" s="613"/>
    </row>
    <row r="327430" spans="27:27">
      <c r="AA327430" s="613"/>
    </row>
    <row r="327431" spans="27:27">
      <c r="AA327431" s="613"/>
    </row>
    <row r="327576" spans="27:27">
      <c r="AA327576" s="613"/>
    </row>
    <row r="327577" spans="27:27">
      <c r="AA327577" s="613"/>
    </row>
    <row r="327722" spans="27:27">
      <c r="AA327722" s="613"/>
    </row>
    <row r="327723" spans="27:27">
      <c r="AA327723" s="613"/>
    </row>
    <row r="327868" spans="27:27">
      <c r="AA327868" s="613"/>
    </row>
    <row r="327869" spans="27:27">
      <c r="AA327869" s="613"/>
    </row>
    <row r="328014" spans="27:27">
      <c r="AA328014" s="613"/>
    </row>
    <row r="328015" spans="27:27">
      <c r="AA328015" s="613"/>
    </row>
    <row r="328160" spans="27:27">
      <c r="AA328160" s="613"/>
    </row>
    <row r="328161" spans="27:27">
      <c r="AA328161" s="613"/>
    </row>
    <row r="328306" spans="27:27">
      <c r="AA328306" s="613"/>
    </row>
    <row r="328307" spans="27:27">
      <c r="AA328307" s="613"/>
    </row>
    <row r="328452" spans="27:27">
      <c r="AA328452" s="613"/>
    </row>
    <row r="328453" spans="27:27">
      <c r="AA328453" s="613"/>
    </row>
    <row r="328598" spans="27:27">
      <c r="AA328598" s="613"/>
    </row>
    <row r="328599" spans="27:27">
      <c r="AA328599" s="613"/>
    </row>
    <row r="328744" spans="27:27">
      <c r="AA328744" s="613"/>
    </row>
    <row r="328745" spans="27:27">
      <c r="AA328745" s="613"/>
    </row>
    <row r="328890" spans="27:27">
      <c r="AA328890" s="613"/>
    </row>
    <row r="328891" spans="27:27">
      <c r="AA328891" s="613"/>
    </row>
    <row r="329036" spans="27:27">
      <c r="AA329036" s="613"/>
    </row>
    <row r="329037" spans="27:27">
      <c r="AA329037" s="613"/>
    </row>
    <row r="329182" spans="27:27">
      <c r="AA329182" s="613"/>
    </row>
    <row r="329183" spans="27:27">
      <c r="AA329183" s="613"/>
    </row>
    <row r="329328" spans="27:27">
      <c r="AA329328" s="613"/>
    </row>
    <row r="329329" spans="27:27">
      <c r="AA329329" s="613"/>
    </row>
    <row r="329474" spans="27:27">
      <c r="AA329474" s="613"/>
    </row>
    <row r="329475" spans="27:27">
      <c r="AA329475" s="613"/>
    </row>
    <row r="329620" spans="27:27">
      <c r="AA329620" s="613"/>
    </row>
    <row r="329621" spans="27:27">
      <c r="AA329621" s="613"/>
    </row>
    <row r="329766" spans="27:27">
      <c r="AA329766" s="613"/>
    </row>
    <row r="329767" spans="27:27">
      <c r="AA329767" s="613"/>
    </row>
    <row r="329912" spans="27:27">
      <c r="AA329912" s="613"/>
    </row>
    <row r="329913" spans="27:27">
      <c r="AA329913" s="613"/>
    </row>
    <row r="330058" spans="27:27">
      <c r="AA330058" s="613"/>
    </row>
    <row r="330059" spans="27:27">
      <c r="AA330059" s="613"/>
    </row>
    <row r="330204" spans="27:27">
      <c r="AA330204" s="613"/>
    </row>
    <row r="330205" spans="27:27">
      <c r="AA330205" s="613"/>
    </row>
    <row r="330350" spans="27:27">
      <c r="AA330350" s="613"/>
    </row>
    <row r="330351" spans="27:27">
      <c r="AA330351" s="613"/>
    </row>
    <row r="330496" spans="27:27">
      <c r="AA330496" s="613"/>
    </row>
    <row r="330497" spans="27:27">
      <c r="AA330497" s="613"/>
    </row>
    <row r="330642" spans="27:27">
      <c r="AA330642" s="613"/>
    </row>
    <row r="330643" spans="27:27">
      <c r="AA330643" s="613"/>
    </row>
    <row r="330788" spans="27:27">
      <c r="AA330788" s="613"/>
    </row>
    <row r="330789" spans="27:27">
      <c r="AA330789" s="613"/>
    </row>
    <row r="330934" spans="27:27">
      <c r="AA330934" s="613"/>
    </row>
    <row r="330935" spans="27:27">
      <c r="AA330935" s="613"/>
    </row>
    <row r="331080" spans="27:27">
      <c r="AA331080" s="613"/>
    </row>
    <row r="331081" spans="27:27">
      <c r="AA331081" s="613"/>
    </row>
    <row r="331226" spans="27:27">
      <c r="AA331226" s="613"/>
    </row>
    <row r="331227" spans="27:27">
      <c r="AA331227" s="613"/>
    </row>
    <row r="331372" spans="27:27">
      <c r="AA331372" s="613"/>
    </row>
    <row r="331373" spans="27:27">
      <c r="AA331373" s="613"/>
    </row>
    <row r="331518" spans="27:27">
      <c r="AA331518" s="613"/>
    </row>
    <row r="331519" spans="27:27">
      <c r="AA331519" s="613"/>
    </row>
    <row r="331664" spans="27:27">
      <c r="AA331664" s="613"/>
    </row>
    <row r="331665" spans="27:27">
      <c r="AA331665" s="613"/>
    </row>
    <row r="331810" spans="27:27">
      <c r="AA331810" s="613"/>
    </row>
    <row r="331811" spans="27:27">
      <c r="AA331811" s="613"/>
    </row>
    <row r="331956" spans="27:27">
      <c r="AA331956" s="613"/>
    </row>
    <row r="331957" spans="27:27">
      <c r="AA331957" s="613"/>
    </row>
    <row r="332102" spans="27:27">
      <c r="AA332102" s="613"/>
    </row>
    <row r="332103" spans="27:27">
      <c r="AA332103" s="613"/>
    </row>
    <row r="332248" spans="27:27">
      <c r="AA332248" s="613"/>
    </row>
    <row r="332249" spans="27:27">
      <c r="AA332249" s="613"/>
    </row>
    <row r="332394" spans="27:27">
      <c r="AA332394" s="613"/>
    </row>
    <row r="332395" spans="27:27">
      <c r="AA332395" s="613"/>
    </row>
    <row r="332540" spans="27:27">
      <c r="AA332540" s="613"/>
    </row>
    <row r="332541" spans="27:27">
      <c r="AA332541" s="613"/>
    </row>
    <row r="332686" spans="27:27">
      <c r="AA332686" s="613"/>
    </row>
    <row r="332687" spans="27:27">
      <c r="AA332687" s="613"/>
    </row>
    <row r="332832" spans="27:27">
      <c r="AA332832" s="613"/>
    </row>
    <row r="332833" spans="27:27">
      <c r="AA332833" s="613"/>
    </row>
    <row r="332978" spans="27:27">
      <c r="AA332978" s="613"/>
    </row>
    <row r="332979" spans="27:27">
      <c r="AA332979" s="613"/>
    </row>
    <row r="333124" spans="27:27">
      <c r="AA333124" s="613"/>
    </row>
    <row r="333125" spans="27:27">
      <c r="AA333125" s="613"/>
    </row>
    <row r="333270" spans="27:27">
      <c r="AA333270" s="613"/>
    </row>
    <row r="333271" spans="27:27">
      <c r="AA333271" s="613"/>
    </row>
    <row r="333416" spans="27:27">
      <c r="AA333416" s="613"/>
    </row>
    <row r="333417" spans="27:27">
      <c r="AA333417" s="613"/>
    </row>
    <row r="333562" spans="27:27">
      <c r="AA333562" s="613"/>
    </row>
    <row r="333563" spans="27:27">
      <c r="AA333563" s="613"/>
    </row>
    <row r="333708" spans="27:27">
      <c r="AA333708" s="613"/>
    </row>
    <row r="333709" spans="27:27">
      <c r="AA333709" s="613"/>
    </row>
    <row r="333854" spans="27:27">
      <c r="AA333854" s="613"/>
    </row>
    <row r="333855" spans="27:27">
      <c r="AA333855" s="613"/>
    </row>
    <row r="334000" spans="27:27">
      <c r="AA334000" s="613"/>
    </row>
    <row r="334001" spans="27:27">
      <c r="AA334001" s="613"/>
    </row>
    <row r="334146" spans="27:27">
      <c r="AA334146" s="613"/>
    </row>
    <row r="334147" spans="27:27">
      <c r="AA334147" s="613"/>
    </row>
    <row r="334292" spans="27:27">
      <c r="AA334292" s="613"/>
    </row>
    <row r="334293" spans="27:27">
      <c r="AA334293" s="613"/>
    </row>
    <row r="334438" spans="27:27">
      <c r="AA334438" s="613"/>
    </row>
    <row r="334439" spans="27:27">
      <c r="AA334439" s="613"/>
    </row>
    <row r="334584" spans="27:27">
      <c r="AA334584" s="613"/>
    </row>
    <row r="334585" spans="27:27">
      <c r="AA334585" s="613"/>
    </row>
    <row r="334730" spans="27:27">
      <c r="AA334730" s="613"/>
    </row>
    <row r="334731" spans="27:27">
      <c r="AA334731" s="613"/>
    </row>
    <row r="334876" spans="27:27">
      <c r="AA334876" s="613"/>
    </row>
    <row r="334877" spans="27:27">
      <c r="AA334877" s="613"/>
    </row>
    <row r="335022" spans="27:27">
      <c r="AA335022" s="613"/>
    </row>
    <row r="335023" spans="27:27">
      <c r="AA335023" s="613"/>
    </row>
    <row r="335168" spans="27:27">
      <c r="AA335168" s="613"/>
    </row>
    <row r="335169" spans="27:27">
      <c r="AA335169" s="613"/>
    </row>
    <row r="335314" spans="27:27">
      <c r="AA335314" s="613"/>
    </row>
    <row r="335315" spans="27:27">
      <c r="AA335315" s="613"/>
    </row>
    <row r="335460" spans="27:27">
      <c r="AA335460" s="613"/>
    </row>
    <row r="335461" spans="27:27">
      <c r="AA335461" s="613"/>
    </row>
    <row r="335606" spans="27:27">
      <c r="AA335606" s="613"/>
    </row>
    <row r="335607" spans="27:27">
      <c r="AA335607" s="613"/>
    </row>
    <row r="335752" spans="27:27">
      <c r="AA335752" s="613"/>
    </row>
    <row r="335753" spans="27:27">
      <c r="AA335753" s="613"/>
    </row>
    <row r="335898" spans="27:27">
      <c r="AA335898" s="613"/>
    </row>
    <row r="335899" spans="27:27">
      <c r="AA335899" s="613"/>
    </row>
    <row r="336044" spans="27:27">
      <c r="AA336044" s="613"/>
    </row>
    <row r="336045" spans="27:27">
      <c r="AA336045" s="613"/>
    </row>
    <row r="336190" spans="27:27">
      <c r="AA336190" s="613"/>
    </row>
    <row r="336191" spans="27:27">
      <c r="AA336191" s="613"/>
    </row>
    <row r="336336" spans="27:27">
      <c r="AA336336" s="613"/>
    </row>
    <row r="336337" spans="27:27">
      <c r="AA336337" s="613"/>
    </row>
    <row r="336482" spans="27:27">
      <c r="AA336482" s="613"/>
    </row>
    <row r="336483" spans="27:27">
      <c r="AA336483" s="613"/>
    </row>
    <row r="336628" spans="27:27">
      <c r="AA336628" s="613"/>
    </row>
    <row r="336629" spans="27:27">
      <c r="AA336629" s="613"/>
    </row>
    <row r="336774" spans="27:27">
      <c r="AA336774" s="613"/>
    </row>
    <row r="336775" spans="27:27">
      <c r="AA336775" s="613"/>
    </row>
    <row r="336920" spans="27:27">
      <c r="AA336920" s="613"/>
    </row>
    <row r="336921" spans="27:27">
      <c r="AA336921" s="613"/>
    </row>
    <row r="337066" spans="27:27">
      <c r="AA337066" s="613"/>
    </row>
    <row r="337067" spans="27:27">
      <c r="AA337067" s="613"/>
    </row>
    <row r="337212" spans="27:27">
      <c r="AA337212" s="613"/>
    </row>
    <row r="337213" spans="27:27">
      <c r="AA337213" s="613"/>
    </row>
    <row r="337358" spans="27:27">
      <c r="AA337358" s="613"/>
    </row>
    <row r="337359" spans="27:27">
      <c r="AA337359" s="613"/>
    </row>
    <row r="337504" spans="27:27">
      <c r="AA337504" s="613"/>
    </row>
    <row r="337505" spans="27:27">
      <c r="AA337505" s="613"/>
    </row>
    <row r="337650" spans="27:27">
      <c r="AA337650" s="613"/>
    </row>
    <row r="337651" spans="27:27">
      <c r="AA337651" s="613"/>
    </row>
    <row r="337796" spans="27:27">
      <c r="AA337796" s="613"/>
    </row>
    <row r="337797" spans="27:27">
      <c r="AA337797" s="613"/>
    </row>
    <row r="337942" spans="27:27">
      <c r="AA337942" s="613"/>
    </row>
    <row r="337943" spans="27:27">
      <c r="AA337943" s="613"/>
    </row>
    <row r="338088" spans="27:27">
      <c r="AA338088" s="613"/>
    </row>
    <row r="338089" spans="27:27">
      <c r="AA338089" s="613"/>
    </row>
    <row r="338234" spans="27:27">
      <c r="AA338234" s="613"/>
    </row>
    <row r="338235" spans="27:27">
      <c r="AA338235" s="613"/>
    </row>
    <row r="338380" spans="27:27">
      <c r="AA338380" s="613"/>
    </row>
    <row r="338381" spans="27:27">
      <c r="AA338381" s="613"/>
    </row>
    <row r="338526" spans="27:27">
      <c r="AA338526" s="613"/>
    </row>
    <row r="338527" spans="27:27">
      <c r="AA338527" s="613"/>
    </row>
    <row r="338672" spans="27:27">
      <c r="AA338672" s="613"/>
    </row>
    <row r="338673" spans="27:27">
      <c r="AA338673" s="613"/>
    </row>
    <row r="338818" spans="27:27">
      <c r="AA338818" s="613"/>
    </row>
    <row r="338819" spans="27:27">
      <c r="AA338819" s="613"/>
    </row>
    <row r="338964" spans="27:27">
      <c r="AA338964" s="613"/>
    </row>
    <row r="338965" spans="27:27">
      <c r="AA338965" s="613"/>
    </row>
    <row r="339110" spans="27:27">
      <c r="AA339110" s="613"/>
    </row>
    <row r="339111" spans="27:27">
      <c r="AA339111" s="613"/>
    </row>
    <row r="339256" spans="27:27">
      <c r="AA339256" s="613"/>
    </row>
    <row r="339257" spans="27:27">
      <c r="AA339257" s="613"/>
    </row>
    <row r="339402" spans="27:27">
      <c r="AA339402" s="613"/>
    </row>
    <row r="339403" spans="27:27">
      <c r="AA339403" s="613"/>
    </row>
    <row r="339548" spans="27:27">
      <c r="AA339548" s="613"/>
    </row>
    <row r="339549" spans="27:27">
      <c r="AA339549" s="613"/>
    </row>
    <row r="339694" spans="27:27">
      <c r="AA339694" s="613"/>
    </row>
    <row r="339695" spans="27:27">
      <c r="AA339695" s="613"/>
    </row>
    <row r="339840" spans="27:27">
      <c r="AA339840" s="613"/>
    </row>
    <row r="339841" spans="27:27">
      <c r="AA339841" s="613"/>
    </row>
    <row r="339986" spans="27:27">
      <c r="AA339986" s="613"/>
    </row>
    <row r="339987" spans="27:27">
      <c r="AA339987" s="613"/>
    </row>
    <row r="340132" spans="27:27">
      <c r="AA340132" s="613"/>
    </row>
    <row r="340133" spans="27:27">
      <c r="AA340133" s="613"/>
    </row>
    <row r="340278" spans="27:27">
      <c r="AA340278" s="613"/>
    </row>
    <row r="340279" spans="27:27">
      <c r="AA340279" s="613"/>
    </row>
    <row r="340424" spans="27:27">
      <c r="AA340424" s="613"/>
    </row>
    <row r="340425" spans="27:27">
      <c r="AA340425" s="613"/>
    </row>
    <row r="340570" spans="27:27">
      <c r="AA340570" s="613"/>
    </row>
    <row r="340571" spans="27:27">
      <c r="AA340571" s="613"/>
    </row>
    <row r="340716" spans="27:27">
      <c r="AA340716" s="613"/>
    </row>
    <row r="340717" spans="27:27">
      <c r="AA340717" s="613"/>
    </row>
    <row r="340862" spans="27:27">
      <c r="AA340862" s="613"/>
    </row>
    <row r="340863" spans="27:27">
      <c r="AA340863" s="613"/>
    </row>
    <row r="341008" spans="27:27">
      <c r="AA341008" s="613"/>
    </row>
    <row r="341009" spans="27:27">
      <c r="AA341009" s="613"/>
    </row>
    <row r="341154" spans="27:27">
      <c r="AA341154" s="613"/>
    </row>
    <row r="341155" spans="27:27">
      <c r="AA341155" s="613"/>
    </row>
    <row r="341300" spans="27:27">
      <c r="AA341300" s="613"/>
    </row>
    <row r="341301" spans="27:27">
      <c r="AA341301" s="613"/>
    </row>
    <row r="341446" spans="27:27">
      <c r="AA341446" s="613"/>
    </row>
    <row r="341447" spans="27:27">
      <c r="AA341447" s="613"/>
    </row>
    <row r="341592" spans="27:27">
      <c r="AA341592" s="613"/>
    </row>
    <row r="341593" spans="27:27">
      <c r="AA341593" s="613"/>
    </row>
    <row r="341738" spans="27:27">
      <c r="AA341738" s="613"/>
    </row>
    <row r="341739" spans="27:27">
      <c r="AA341739" s="613"/>
    </row>
    <row r="341884" spans="27:27">
      <c r="AA341884" s="613"/>
    </row>
    <row r="341885" spans="27:27">
      <c r="AA341885" s="613"/>
    </row>
    <row r="342030" spans="27:27">
      <c r="AA342030" s="613"/>
    </row>
    <row r="342031" spans="27:27">
      <c r="AA342031" s="613"/>
    </row>
    <row r="342176" spans="27:27">
      <c r="AA342176" s="613"/>
    </row>
    <row r="342177" spans="27:27">
      <c r="AA342177" s="613"/>
    </row>
    <row r="342322" spans="27:27">
      <c r="AA342322" s="613"/>
    </row>
    <row r="342323" spans="27:27">
      <c r="AA342323" s="613"/>
    </row>
    <row r="342468" spans="27:27">
      <c r="AA342468" s="613"/>
    </row>
    <row r="342469" spans="27:27">
      <c r="AA342469" s="613"/>
    </row>
    <row r="342614" spans="27:27">
      <c r="AA342614" s="613"/>
    </row>
    <row r="342615" spans="27:27">
      <c r="AA342615" s="613"/>
    </row>
    <row r="342760" spans="27:27">
      <c r="AA342760" s="613"/>
    </row>
    <row r="342761" spans="27:27">
      <c r="AA342761" s="613"/>
    </row>
    <row r="342906" spans="27:27">
      <c r="AA342906" s="613"/>
    </row>
    <row r="342907" spans="27:27">
      <c r="AA342907" s="613"/>
    </row>
    <row r="343052" spans="27:27">
      <c r="AA343052" s="613"/>
    </row>
    <row r="343053" spans="27:27">
      <c r="AA343053" s="613"/>
    </row>
    <row r="343198" spans="27:27">
      <c r="AA343198" s="613"/>
    </row>
    <row r="343199" spans="27:27">
      <c r="AA343199" s="613"/>
    </row>
    <row r="343344" spans="27:27">
      <c r="AA343344" s="613"/>
    </row>
    <row r="343345" spans="27:27">
      <c r="AA343345" s="613"/>
    </row>
    <row r="343490" spans="27:27">
      <c r="AA343490" s="613"/>
    </row>
    <row r="343491" spans="27:27">
      <c r="AA343491" s="613"/>
    </row>
    <row r="343636" spans="27:27">
      <c r="AA343636" s="613"/>
    </row>
    <row r="343637" spans="27:27">
      <c r="AA343637" s="613"/>
    </row>
    <row r="343782" spans="27:27">
      <c r="AA343782" s="613"/>
    </row>
    <row r="343783" spans="27:27">
      <c r="AA343783" s="613"/>
    </row>
    <row r="343928" spans="27:27">
      <c r="AA343928" s="613"/>
    </row>
    <row r="343929" spans="27:27">
      <c r="AA343929" s="613"/>
    </row>
    <row r="344074" spans="27:27">
      <c r="AA344074" s="613"/>
    </row>
    <row r="344075" spans="27:27">
      <c r="AA344075" s="613"/>
    </row>
    <row r="344220" spans="27:27">
      <c r="AA344220" s="613"/>
    </row>
    <row r="344221" spans="27:27">
      <c r="AA344221" s="613"/>
    </row>
    <row r="344366" spans="27:27">
      <c r="AA344366" s="613"/>
    </row>
    <row r="344367" spans="27:27">
      <c r="AA344367" s="613"/>
    </row>
    <row r="344512" spans="27:27">
      <c r="AA344512" s="613"/>
    </row>
    <row r="344513" spans="27:27">
      <c r="AA344513" s="613"/>
    </row>
    <row r="344658" spans="27:27">
      <c r="AA344658" s="613"/>
    </row>
    <row r="344659" spans="27:27">
      <c r="AA344659" s="613"/>
    </row>
    <row r="344804" spans="27:27">
      <c r="AA344804" s="613"/>
    </row>
    <row r="344805" spans="27:27">
      <c r="AA344805" s="613"/>
    </row>
    <row r="344950" spans="27:27">
      <c r="AA344950" s="613"/>
    </row>
    <row r="344951" spans="27:27">
      <c r="AA344951" s="613"/>
    </row>
    <row r="345096" spans="27:27">
      <c r="AA345096" s="613"/>
    </row>
    <row r="345097" spans="27:27">
      <c r="AA345097" s="613"/>
    </row>
    <row r="345242" spans="27:27">
      <c r="AA345242" s="613"/>
    </row>
    <row r="345243" spans="27:27">
      <c r="AA345243" s="613"/>
    </row>
    <row r="345388" spans="27:27">
      <c r="AA345388" s="613"/>
    </row>
    <row r="345389" spans="27:27">
      <c r="AA345389" s="613"/>
    </row>
    <row r="345534" spans="27:27">
      <c r="AA345534" s="613"/>
    </row>
    <row r="345535" spans="27:27">
      <c r="AA345535" s="613"/>
    </row>
    <row r="345680" spans="27:27">
      <c r="AA345680" s="613"/>
    </row>
    <row r="345681" spans="27:27">
      <c r="AA345681" s="613"/>
    </row>
    <row r="345826" spans="27:27">
      <c r="AA345826" s="613"/>
    </row>
    <row r="345827" spans="27:27">
      <c r="AA345827" s="613"/>
    </row>
    <row r="345972" spans="27:27">
      <c r="AA345972" s="613"/>
    </row>
    <row r="345973" spans="27:27">
      <c r="AA345973" s="613"/>
    </row>
    <row r="346118" spans="27:27">
      <c r="AA346118" s="613"/>
    </row>
    <row r="346119" spans="27:27">
      <c r="AA346119" s="613"/>
    </row>
    <row r="346264" spans="27:27">
      <c r="AA346264" s="613"/>
    </row>
    <row r="346265" spans="27:27">
      <c r="AA346265" s="613"/>
    </row>
    <row r="346410" spans="27:27">
      <c r="AA346410" s="613"/>
    </row>
    <row r="346411" spans="27:27">
      <c r="AA346411" s="613"/>
    </row>
    <row r="346556" spans="27:27">
      <c r="AA346556" s="613"/>
    </row>
    <row r="346557" spans="27:27">
      <c r="AA346557" s="613"/>
    </row>
    <row r="346702" spans="27:27">
      <c r="AA346702" s="613"/>
    </row>
    <row r="346703" spans="27:27">
      <c r="AA346703" s="613"/>
    </row>
    <row r="346848" spans="27:27">
      <c r="AA346848" s="613"/>
    </row>
    <row r="346849" spans="27:27">
      <c r="AA346849" s="613"/>
    </row>
    <row r="346994" spans="27:27">
      <c r="AA346994" s="613"/>
    </row>
    <row r="346995" spans="27:27">
      <c r="AA346995" s="613"/>
    </row>
    <row r="347140" spans="27:27">
      <c r="AA347140" s="613"/>
    </row>
    <row r="347141" spans="27:27">
      <c r="AA347141" s="613"/>
    </row>
    <row r="347286" spans="27:27">
      <c r="AA347286" s="613"/>
    </row>
    <row r="347287" spans="27:27">
      <c r="AA347287" s="613"/>
    </row>
    <row r="347432" spans="27:27">
      <c r="AA347432" s="613"/>
    </row>
    <row r="347433" spans="27:27">
      <c r="AA347433" s="613"/>
    </row>
    <row r="347578" spans="27:27">
      <c r="AA347578" s="613"/>
    </row>
    <row r="347579" spans="27:27">
      <c r="AA347579" s="613"/>
    </row>
    <row r="347724" spans="27:27">
      <c r="AA347724" s="613"/>
    </row>
    <row r="347725" spans="27:27">
      <c r="AA347725" s="613"/>
    </row>
    <row r="347870" spans="27:27">
      <c r="AA347870" s="613"/>
    </row>
    <row r="347871" spans="27:27">
      <c r="AA347871" s="613"/>
    </row>
    <row r="348016" spans="27:27">
      <c r="AA348016" s="613"/>
    </row>
    <row r="348017" spans="27:27">
      <c r="AA348017" s="613"/>
    </row>
    <row r="348162" spans="27:27">
      <c r="AA348162" s="613"/>
    </row>
    <row r="348163" spans="27:27">
      <c r="AA348163" s="613"/>
    </row>
    <row r="348308" spans="27:27">
      <c r="AA348308" s="613"/>
    </row>
    <row r="348309" spans="27:27">
      <c r="AA348309" s="613"/>
    </row>
    <row r="348454" spans="27:27">
      <c r="AA348454" s="613"/>
    </row>
    <row r="348455" spans="27:27">
      <c r="AA348455" s="613"/>
    </row>
    <row r="348600" spans="27:27">
      <c r="AA348600" s="613"/>
    </row>
    <row r="348601" spans="27:27">
      <c r="AA348601" s="613"/>
    </row>
    <row r="348746" spans="27:27">
      <c r="AA348746" s="613"/>
    </row>
    <row r="348747" spans="27:27">
      <c r="AA348747" s="613"/>
    </row>
    <row r="348892" spans="27:27">
      <c r="AA348892" s="613"/>
    </row>
    <row r="348893" spans="27:27">
      <c r="AA348893" s="613"/>
    </row>
    <row r="349038" spans="27:27">
      <c r="AA349038" s="613"/>
    </row>
    <row r="349039" spans="27:27">
      <c r="AA349039" s="613"/>
    </row>
    <row r="349184" spans="27:27">
      <c r="AA349184" s="613"/>
    </row>
    <row r="349185" spans="27:27">
      <c r="AA349185" s="613"/>
    </row>
    <row r="349330" spans="27:27">
      <c r="AA349330" s="613"/>
    </row>
    <row r="349331" spans="27:27">
      <c r="AA349331" s="613"/>
    </row>
    <row r="349476" spans="27:27">
      <c r="AA349476" s="613"/>
    </row>
    <row r="349477" spans="27:27">
      <c r="AA349477" s="613"/>
    </row>
    <row r="349622" spans="27:27">
      <c r="AA349622" s="613"/>
    </row>
    <row r="349623" spans="27:27">
      <c r="AA349623" s="613"/>
    </row>
    <row r="349768" spans="27:27">
      <c r="AA349768" s="613"/>
    </row>
    <row r="349769" spans="27:27">
      <c r="AA349769" s="613"/>
    </row>
    <row r="349914" spans="27:27">
      <c r="AA349914" s="613"/>
    </row>
    <row r="349915" spans="27:27">
      <c r="AA349915" s="613"/>
    </row>
    <row r="350060" spans="27:27">
      <c r="AA350060" s="613"/>
    </row>
    <row r="350061" spans="27:27">
      <c r="AA350061" s="613"/>
    </row>
    <row r="350206" spans="27:27">
      <c r="AA350206" s="613"/>
    </row>
    <row r="350207" spans="27:27">
      <c r="AA350207" s="613"/>
    </row>
    <row r="350352" spans="27:27">
      <c r="AA350352" s="613"/>
    </row>
    <row r="350353" spans="27:27">
      <c r="AA350353" s="613"/>
    </row>
    <row r="350498" spans="27:27">
      <c r="AA350498" s="613"/>
    </row>
    <row r="350499" spans="27:27">
      <c r="AA350499" s="613"/>
    </row>
    <row r="350644" spans="27:27">
      <c r="AA350644" s="613"/>
    </row>
    <row r="350645" spans="27:27">
      <c r="AA350645" s="613"/>
    </row>
    <row r="350790" spans="27:27">
      <c r="AA350790" s="613"/>
    </row>
    <row r="350791" spans="27:27">
      <c r="AA350791" s="613"/>
    </row>
    <row r="350936" spans="27:27">
      <c r="AA350936" s="613"/>
    </row>
    <row r="350937" spans="27:27">
      <c r="AA350937" s="613"/>
    </row>
    <row r="351082" spans="27:27">
      <c r="AA351082" s="613"/>
    </row>
    <row r="351083" spans="27:27">
      <c r="AA351083" s="613"/>
    </row>
    <row r="351228" spans="27:27">
      <c r="AA351228" s="613"/>
    </row>
    <row r="351229" spans="27:27">
      <c r="AA351229" s="613"/>
    </row>
    <row r="351374" spans="27:27">
      <c r="AA351374" s="613"/>
    </row>
    <row r="351375" spans="27:27">
      <c r="AA351375" s="613"/>
    </row>
    <row r="351520" spans="27:27">
      <c r="AA351520" s="613"/>
    </row>
    <row r="351521" spans="27:27">
      <c r="AA351521" s="613"/>
    </row>
    <row r="351666" spans="27:27">
      <c r="AA351666" s="613"/>
    </row>
    <row r="351667" spans="27:27">
      <c r="AA351667" s="613"/>
    </row>
    <row r="351812" spans="27:27">
      <c r="AA351812" s="613"/>
    </row>
    <row r="351813" spans="27:27">
      <c r="AA351813" s="613"/>
    </row>
    <row r="351958" spans="27:27">
      <c r="AA351958" s="613"/>
    </row>
    <row r="351959" spans="27:27">
      <c r="AA351959" s="613"/>
    </row>
    <row r="352104" spans="27:27">
      <c r="AA352104" s="613"/>
    </row>
    <row r="352105" spans="27:27">
      <c r="AA352105" s="613"/>
    </row>
    <row r="352250" spans="27:27">
      <c r="AA352250" s="613"/>
    </row>
    <row r="352251" spans="27:27">
      <c r="AA352251" s="613"/>
    </row>
    <row r="352396" spans="27:27">
      <c r="AA352396" s="613"/>
    </row>
    <row r="352397" spans="27:27">
      <c r="AA352397" s="613"/>
    </row>
    <row r="352542" spans="27:27">
      <c r="AA352542" s="613"/>
    </row>
    <row r="352543" spans="27:27">
      <c r="AA352543" s="613"/>
    </row>
    <row r="352688" spans="27:27">
      <c r="AA352688" s="613"/>
    </row>
    <row r="352689" spans="27:27">
      <c r="AA352689" s="613"/>
    </row>
    <row r="352834" spans="27:27">
      <c r="AA352834" s="613"/>
    </row>
    <row r="352835" spans="27:27">
      <c r="AA352835" s="613"/>
    </row>
    <row r="352980" spans="27:27">
      <c r="AA352980" s="613"/>
    </row>
    <row r="352981" spans="27:27">
      <c r="AA352981" s="613"/>
    </row>
    <row r="353126" spans="27:27">
      <c r="AA353126" s="613"/>
    </row>
    <row r="353127" spans="27:27">
      <c r="AA353127" s="613"/>
    </row>
    <row r="353272" spans="27:27">
      <c r="AA353272" s="613"/>
    </row>
    <row r="353273" spans="27:27">
      <c r="AA353273" s="613"/>
    </row>
    <row r="353418" spans="27:27">
      <c r="AA353418" s="613"/>
    </row>
    <row r="353419" spans="27:27">
      <c r="AA353419" s="613"/>
    </row>
    <row r="353564" spans="27:27">
      <c r="AA353564" s="613"/>
    </row>
    <row r="353565" spans="27:27">
      <c r="AA353565" s="613"/>
    </row>
    <row r="353710" spans="27:27">
      <c r="AA353710" s="613"/>
    </row>
    <row r="353711" spans="27:27">
      <c r="AA353711" s="613"/>
    </row>
    <row r="353856" spans="27:27">
      <c r="AA353856" s="613"/>
    </row>
    <row r="353857" spans="27:27">
      <c r="AA353857" s="613"/>
    </row>
    <row r="354002" spans="27:27">
      <c r="AA354002" s="613"/>
    </row>
    <row r="354003" spans="27:27">
      <c r="AA354003" s="613"/>
    </row>
    <row r="354148" spans="27:27">
      <c r="AA354148" s="613"/>
    </row>
    <row r="354149" spans="27:27">
      <c r="AA354149" s="613"/>
    </row>
    <row r="354294" spans="27:27">
      <c r="AA354294" s="613"/>
    </row>
    <row r="354295" spans="27:27">
      <c r="AA354295" s="613"/>
    </row>
    <row r="354440" spans="27:27">
      <c r="AA354440" s="613"/>
    </row>
    <row r="354441" spans="27:27">
      <c r="AA354441" s="613"/>
    </row>
    <row r="354586" spans="27:27">
      <c r="AA354586" s="613"/>
    </row>
    <row r="354587" spans="27:27">
      <c r="AA354587" s="613"/>
    </row>
    <row r="354732" spans="27:27">
      <c r="AA354732" s="613"/>
    </row>
    <row r="354733" spans="27:27">
      <c r="AA354733" s="613"/>
    </row>
    <row r="354878" spans="27:27">
      <c r="AA354878" s="613"/>
    </row>
    <row r="354879" spans="27:27">
      <c r="AA354879" s="613"/>
    </row>
    <row r="355024" spans="27:27">
      <c r="AA355024" s="613"/>
    </row>
    <row r="355025" spans="27:27">
      <c r="AA355025" s="613"/>
    </row>
    <row r="355170" spans="27:27">
      <c r="AA355170" s="613"/>
    </row>
    <row r="355171" spans="27:27">
      <c r="AA355171" s="613"/>
    </row>
    <row r="355316" spans="27:27">
      <c r="AA355316" s="613"/>
    </row>
    <row r="355317" spans="27:27">
      <c r="AA355317" s="613"/>
    </row>
    <row r="355462" spans="27:27">
      <c r="AA355462" s="613"/>
    </row>
    <row r="355463" spans="27:27">
      <c r="AA355463" s="613"/>
    </row>
    <row r="355608" spans="27:27">
      <c r="AA355608" s="613"/>
    </row>
    <row r="355609" spans="27:27">
      <c r="AA355609" s="613"/>
    </row>
    <row r="355754" spans="27:27">
      <c r="AA355754" s="613"/>
    </row>
    <row r="355755" spans="27:27">
      <c r="AA355755" s="613"/>
    </row>
    <row r="355900" spans="27:27">
      <c r="AA355900" s="613"/>
    </row>
    <row r="355901" spans="27:27">
      <c r="AA355901" s="613"/>
    </row>
    <row r="356046" spans="27:27">
      <c r="AA356046" s="613"/>
    </row>
    <row r="356047" spans="27:27">
      <c r="AA356047" s="613"/>
    </row>
    <row r="356192" spans="27:27">
      <c r="AA356192" s="613"/>
    </row>
    <row r="356193" spans="27:27">
      <c r="AA356193" s="613"/>
    </row>
    <row r="356338" spans="27:27">
      <c r="AA356338" s="613"/>
    </row>
    <row r="356339" spans="27:27">
      <c r="AA356339" s="613"/>
    </row>
    <row r="356484" spans="27:27">
      <c r="AA356484" s="613"/>
    </row>
    <row r="356485" spans="27:27">
      <c r="AA356485" s="613"/>
    </row>
    <row r="356630" spans="27:27">
      <c r="AA356630" s="613"/>
    </row>
    <row r="356631" spans="27:27">
      <c r="AA356631" s="613"/>
    </row>
    <row r="356776" spans="27:27">
      <c r="AA356776" s="613"/>
    </row>
    <row r="356777" spans="27:27">
      <c r="AA356777" s="613"/>
    </row>
    <row r="356922" spans="27:27">
      <c r="AA356922" s="613"/>
    </row>
    <row r="356923" spans="27:27">
      <c r="AA356923" s="613"/>
    </row>
    <row r="357068" spans="27:27">
      <c r="AA357068" s="613"/>
    </row>
    <row r="357069" spans="27:27">
      <c r="AA357069" s="613"/>
    </row>
    <row r="357214" spans="27:27">
      <c r="AA357214" s="613"/>
    </row>
    <row r="357215" spans="27:27">
      <c r="AA357215" s="613"/>
    </row>
    <row r="357360" spans="27:27">
      <c r="AA357360" s="613"/>
    </row>
    <row r="357361" spans="27:27">
      <c r="AA357361" s="613"/>
    </row>
    <row r="357506" spans="27:27">
      <c r="AA357506" s="613"/>
    </row>
    <row r="357507" spans="27:27">
      <c r="AA357507" s="613"/>
    </row>
    <row r="357652" spans="27:27">
      <c r="AA357652" s="613"/>
    </row>
    <row r="357653" spans="27:27">
      <c r="AA357653" s="613"/>
    </row>
    <row r="357798" spans="27:27">
      <c r="AA357798" s="613"/>
    </row>
    <row r="357799" spans="27:27">
      <c r="AA357799" s="613"/>
    </row>
    <row r="357944" spans="27:27">
      <c r="AA357944" s="613"/>
    </row>
    <row r="357945" spans="27:27">
      <c r="AA357945" s="613"/>
    </row>
    <row r="358090" spans="27:27">
      <c r="AA358090" s="613"/>
    </row>
    <row r="358091" spans="27:27">
      <c r="AA358091" s="613"/>
    </row>
    <row r="358236" spans="27:27">
      <c r="AA358236" s="613"/>
    </row>
    <row r="358237" spans="27:27">
      <c r="AA358237" s="613"/>
    </row>
    <row r="358382" spans="27:27">
      <c r="AA358382" s="613"/>
    </row>
    <row r="358383" spans="27:27">
      <c r="AA358383" s="613"/>
    </row>
    <row r="358528" spans="27:27">
      <c r="AA358528" s="613"/>
    </row>
    <row r="358529" spans="27:27">
      <c r="AA358529" s="613"/>
    </row>
    <row r="358674" spans="27:27">
      <c r="AA358674" s="613"/>
    </row>
    <row r="358675" spans="27:27">
      <c r="AA358675" s="613"/>
    </row>
    <row r="358820" spans="27:27">
      <c r="AA358820" s="613"/>
    </row>
    <row r="358821" spans="27:27">
      <c r="AA358821" s="613"/>
    </row>
    <row r="358966" spans="27:27">
      <c r="AA358966" s="613"/>
    </row>
    <row r="358967" spans="27:27">
      <c r="AA358967" s="613"/>
    </row>
    <row r="359112" spans="27:27">
      <c r="AA359112" s="613"/>
    </row>
    <row r="359113" spans="27:27">
      <c r="AA359113" s="613"/>
    </row>
    <row r="359258" spans="27:27">
      <c r="AA359258" s="613"/>
    </row>
    <row r="359259" spans="27:27">
      <c r="AA359259" s="613"/>
    </row>
    <row r="359404" spans="27:27">
      <c r="AA359404" s="613"/>
    </row>
    <row r="359405" spans="27:27">
      <c r="AA359405" s="613"/>
    </row>
    <row r="359550" spans="27:27">
      <c r="AA359550" s="613"/>
    </row>
    <row r="359551" spans="27:27">
      <c r="AA359551" s="613"/>
    </row>
    <row r="359696" spans="27:27">
      <c r="AA359696" s="613"/>
    </row>
    <row r="359697" spans="27:27">
      <c r="AA359697" s="613"/>
    </row>
    <row r="359842" spans="27:27">
      <c r="AA359842" s="613"/>
    </row>
    <row r="359843" spans="27:27">
      <c r="AA359843" s="613"/>
    </row>
    <row r="359988" spans="27:27">
      <c r="AA359988" s="613"/>
    </row>
    <row r="359989" spans="27:27">
      <c r="AA359989" s="613"/>
    </row>
    <row r="360134" spans="27:27">
      <c r="AA360134" s="613"/>
    </row>
    <row r="360135" spans="27:27">
      <c r="AA360135" s="613"/>
    </row>
    <row r="360280" spans="27:27">
      <c r="AA360280" s="613"/>
    </row>
    <row r="360281" spans="27:27">
      <c r="AA360281" s="613"/>
    </row>
    <row r="360426" spans="27:27">
      <c r="AA360426" s="613"/>
    </row>
    <row r="360427" spans="27:27">
      <c r="AA360427" s="613"/>
    </row>
    <row r="360572" spans="27:27">
      <c r="AA360572" s="613"/>
    </row>
    <row r="360573" spans="27:27">
      <c r="AA360573" s="613"/>
    </row>
    <row r="360718" spans="27:27">
      <c r="AA360718" s="613"/>
    </row>
    <row r="360719" spans="27:27">
      <c r="AA360719" s="613"/>
    </row>
    <row r="360864" spans="27:27">
      <c r="AA360864" s="613"/>
    </row>
    <row r="360865" spans="27:27">
      <c r="AA360865" s="613"/>
    </row>
    <row r="361010" spans="27:27">
      <c r="AA361010" s="613"/>
    </row>
    <row r="361011" spans="27:27">
      <c r="AA361011" s="613"/>
    </row>
    <row r="361156" spans="27:27">
      <c r="AA361156" s="613"/>
    </row>
    <row r="361157" spans="27:27">
      <c r="AA361157" s="613"/>
    </row>
    <row r="361302" spans="27:27">
      <c r="AA361302" s="613"/>
    </row>
    <row r="361303" spans="27:27">
      <c r="AA361303" s="613"/>
    </row>
    <row r="361448" spans="27:27">
      <c r="AA361448" s="613"/>
    </row>
    <row r="361449" spans="27:27">
      <c r="AA361449" s="613"/>
    </row>
    <row r="361594" spans="27:27">
      <c r="AA361594" s="613"/>
    </row>
    <row r="361595" spans="27:27">
      <c r="AA361595" s="613"/>
    </row>
    <row r="361740" spans="27:27">
      <c r="AA361740" s="613"/>
    </row>
    <row r="361741" spans="27:27">
      <c r="AA361741" s="613"/>
    </row>
    <row r="361886" spans="27:27">
      <c r="AA361886" s="613"/>
    </row>
    <row r="361887" spans="27:27">
      <c r="AA361887" s="613"/>
    </row>
    <row r="362032" spans="27:27">
      <c r="AA362032" s="613"/>
    </row>
    <row r="362033" spans="27:27">
      <c r="AA362033" s="613"/>
    </row>
    <row r="362178" spans="27:27">
      <c r="AA362178" s="613"/>
    </row>
    <row r="362179" spans="27:27">
      <c r="AA362179" s="613"/>
    </row>
    <row r="362324" spans="27:27">
      <c r="AA362324" s="613"/>
    </row>
    <row r="362325" spans="27:27">
      <c r="AA362325" s="613"/>
    </row>
    <row r="362470" spans="27:27">
      <c r="AA362470" s="613"/>
    </row>
    <row r="362471" spans="27:27">
      <c r="AA362471" s="613"/>
    </row>
    <row r="362616" spans="27:27">
      <c r="AA362616" s="613"/>
    </row>
    <row r="362617" spans="27:27">
      <c r="AA362617" s="613"/>
    </row>
    <row r="362762" spans="27:27">
      <c r="AA362762" s="613"/>
    </row>
    <row r="362763" spans="27:27">
      <c r="AA362763" s="613"/>
    </row>
    <row r="362908" spans="27:27">
      <c r="AA362908" s="613"/>
    </row>
    <row r="362909" spans="27:27">
      <c r="AA362909" s="613"/>
    </row>
    <row r="363054" spans="27:27">
      <c r="AA363054" s="613"/>
    </row>
    <row r="363055" spans="27:27">
      <c r="AA363055" s="613"/>
    </row>
    <row r="363200" spans="27:27">
      <c r="AA363200" s="613"/>
    </row>
    <row r="363201" spans="27:27">
      <c r="AA363201" s="613"/>
    </row>
    <row r="363346" spans="27:27">
      <c r="AA363346" s="613"/>
    </row>
    <row r="363347" spans="27:27">
      <c r="AA363347" s="613"/>
    </row>
    <row r="363492" spans="27:27">
      <c r="AA363492" s="613"/>
    </row>
    <row r="363493" spans="27:27">
      <c r="AA363493" s="613"/>
    </row>
    <row r="363638" spans="27:27">
      <c r="AA363638" s="613"/>
    </row>
    <row r="363639" spans="27:27">
      <c r="AA363639" s="613"/>
    </row>
    <row r="363784" spans="27:27">
      <c r="AA363784" s="613"/>
    </row>
    <row r="363785" spans="27:27">
      <c r="AA363785" s="613"/>
    </row>
    <row r="363930" spans="27:27">
      <c r="AA363930" s="613"/>
    </row>
    <row r="363931" spans="27:27">
      <c r="AA363931" s="613"/>
    </row>
    <row r="364076" spans="27:27">
      <c r="AA364076" s="613"/>
    </row>
    <row r="364077" spans="27:27">
      <c r="AA364077" s="613"/>
    </row>
    <row r="364222" spans="27:27">
      <c r="AA364222" s="613"/>
    </row>
    <row r="364223" spans="27:27">
      <c r="AA364223" s="613"/>
    </row>
    <row r="364368" spans="27:27">
      <c r="AA364368" s="613"/>
    </row>
    <row r="364369" spans="27:27">
      <c r="AA364369" s="613"/>
    </row>
    <row r="364514" spans="27:27">
      <c r="AA364514" s="613"/>
    </row>
    <row r="364515" spans="27:27">
      <c r="AA364515" s="613"/>
    </row>
    <row r="364660" spans="27:27">
      <c r="AA364660" s="613"/>
    </row>
    <row r="364661" spans="27:27">
      <c r="AA364661" s="613"/>
    </row>
    <row r="364806" spans="27:27">
      <c r="AA364806" s="613"/>
    </row>
    <row r="364807" spans="27:27">
      <c r="AA364807" s="613"/>
    </row>
    <row r="364952" spans="27:27">
      <c r="AA364952" s="613"/>
    </row>
    <row r="364953" spans="27:27">
      <c r="AA364953" s="613"/>
    </row>
    <row r="365098" spans="27:27">
      <c r="AA365098" s="613"/>
    </row>
    <row r="365099" spans="27:27">
      <c r="AA365099" s="613"/>
    </row>
    <row r="365244" spans="27:27">
      <c r="AA365244" s="613"/>
    </row>
    <row r="365245" spans="27:27">
      <c r="AA365245" s="613"/>
    </row>
    <row r="365390" spans="27:27">
      <c r="AA365390" s="613"/>
    </row>
    <row r="365391" spans="27:27">
      <c r="AA365391" s="613"/>
    </row>
    <row r="365536" spans="27:27">
      <c r="AA365536" s="613"/>
    </row>
    <row r="365537" spans="27:27">
      <c r="AA365537" s="613"/>
    </row>
    <row r="365682" spans="27:27">
      <c r="AA365682" s="613"/>
    </row>
    <row r="365683" spans="27:27">
      <c r="AA365683" s="613"/>
    </row>
    <row r="365828" spans="27:27">
      <c r="AA365828" s="613"/>
    </row>
    <row r="365829" spans="27:27">
      <c r="AA365829" s="613"/>
    </row>
    <row r="365974" spans="27:27">
      <c r="AA365974" s="613"/>
    </row>
    <row r="365975" spans="27:27">
      <c r="AA365975" s="613"/>
    </row>
    <row r="366120" spans="27:27">
      <c r="AA366120" s="613"/>
    </row>
    <row r="366121" spans="27:27">
      <c r="AA366121" s="613"/>
    </row>
    <row r="366266" spans="27:27">
      <c r="AA366266" s="613"/>
    </row>
    <row r="366267" spans="27:27">
      <c r="AA366267" s="613"/>
    </row>
    <row r="366412" spans="27:27">
      <c r="AA366412" s="613"/>
    </row>
    <row r="366413" spans="27:27">
      <c r="AA366413" s="613"/>
    </row>
    <row r="366558" spans="27:27">
      <c r="AA366558" s="613"/>
    </row>
    <row r="366559" spans="27:27">
      <c r="AA366559" s="613"/>
    </row>
    <row r="366704" spans="27:27">
      <c r="AA366704" s="613"/>
    </row>
    <row r="366705" spans="27:27">
      <c r="AA366705" s="613"/>
    </row>
    <row r="366850" spans="27:27">
      <c r="AA366850" s="613"/>
    </row>
    <row r="366851" spans="27:27">
      <c r="AA366851" s="613"/>
    </row>
    <row r="366996" spans="27:27">
      <c r="AA366996" s="613"/>
    </row>
    <row r="366997" spans="27:27">
      <c r="AA366997" s="613"/>
    </row>
    <row r="367142" spans="27:27">
      <c r="AA367142" s="613"/>
    </row>
    <row r="367143" spans="27:27">
      <c r="AA367143" s="613"/>
    </row>
    <row r="367288" spans="27:27">
      <c r="AA367288" s="613"/>
    </row>
    <row r="367289" spans="27:27">
      <c r="AA367289" s="613"/>
    </row>
    <row r="367434" spans="27:27">
      <c r="AA367434" s="613"/>
    </row>
    <row r="367435" spans="27:27">
      <c r="AA367435" s="613"/>
    </row>
    <row r="367580" spans="27:27">
      <c r="AA367580" s="613"/>
    </row>
    <row r="367581" spans="27:27">
      <c r="AA367581" s="613"/>
    </row>
    <row r="367726" spans="27:27">
      <c r="AA367726" s="613"/>
    </row>
    <row r="367727" spans="27:27">
      <c r="AA367727" s="613"/>
    </row>
    <row r="367872" spans="27:27">
      <c r="AA367872" s="613"/>
    </row>
    <row r="367873" spans="27:27">
      <c r="AA367873" s="613"/>
    </row>
    <row r="368018" spans="27:27">
      <c r="AA368018" s="613"/>
    </row>
    <row r="368019" spans="27:27">
      <c r="AA368019" s="613"/>
    </row>
    <row r="368164" spans="27:27">
      <c r="AA368164" s="613"/>
    </row>
    <row r="368165" spans="27:27">
      <c r="AA368165" s="613"/>
    </row>
    <row r="368310" spans="27:27">
      <c r="AA368310" s="613"/>
    </row>
    <row r="368311" spans="27:27">
      <c r="AA368311" s="613"/>
    </row>
    <row r="368456" spans="27:27">
      <c r="AA368456" s="613"/>
    </row>
    <row r="368457" spans="27:27">
      <c r="AA368457" s="613"/>
    </row>
    <row r="368602" spans="27:27">
      <c r="AA368602" s="613"/>
    </row>
    <row r="368603" spans="27:27">
      <c r="AA368603" s="613"/>
    </row>
    <row r="368748" spans="27:27">
      <c r="AA368748" s="613"/>
    </row>
    <row r="368749" spans="27:27">
      <c r="AA368749" s="613"/>
    </row>
    <row r="368894" spans="27:27">
      <c r="AA368894" s="613"/>
    </row>
    <row r="368895" spans="27:27">
      <c r="AA368895" s="613"/>
    </row>
    <row r="369040" spans="27:27">
      <c r="AA369040" s="613"/>
    </row>
    <row r="369041" spans="27:27">
      <c r="AA369041" s="613"/>
    </row>
    <row r="369186" spans="27:27">
      <c r="AA369186" s="613"/>
    </row>
    <row r="369187" spans="27:27">
      <c r="AA369187" s="613"/>
    </row>
    <row r="369332" spans="27:27">
      <c r="AA369332" s="613"/>
    </row>
    <row r="369333" spans="27:27">
      <c r="AA369333" s="613"/>
    </row>
    <row r="369478" spans="27:27">
      <c r="AA369478" s="613"/>
    </row>
    <row r="369479" spans="27:27">
      <c r="AA369479" s="613"/>
    </row>
    <row r="369624" spans="27:27">
      <c r="AA369624" s="613"/>
    </row>
    <row r="369625" spans="27:27">
      <c r="AA369625" s="613"/>
    </row>
    <row r="369770" spans="27:27">
      <c r="AA369770" s="613"/>
    </row>
    <row r="369771" spans="27:27">
      <c r="AA369771" s="613"/>
    </row>
    <row r="369916" spans="27:27">
      <c r="AA369916" s="613"/>
    </row>
    <row r="369917" spans="27:27">
      <c r="AA369917" s="613"/>
    </row>
    <row r="370062" spans="27:27">
      <c r="AA370062" s="613"/>
    </row>
    <row r="370063" spans="27:27">
      <c r="AA370063" s="613"/>
    </row>
    <row r="370208" spans="27:27">
      <c r="AA370208" s="613"/>
    </row>
    <row r="370209" spans="27:27">
      <c r="AA370209" s="613"/>
    </row>
    <row r="370354" spans="27:27">
      <c r="AA370354" s="613"/>
    </row>
    <row r="370355" spans="27:27">
      <c r="AA370355" s="613"/>
    </row>
    <row r="370500" spans="27:27">
      <c r="AA370500" s="613"/>
    </row>
    <row r="370501" spans="27:27">
      <c r="AA370501" s="613"/>
    </row>
    <row r="370646" spans="27:27">
      <c r="AA370646" s="613"/>
    </row>
    <row r="370647" spans="27:27">
      <c r="AA370647" s="613"/>
    </row>
    <row r="370792" spans="27:27">
      <c r="AA370792" s="613"/>
    </row>
    <row r="370793" spans="27:27">
      <c r="AA370793" s="613"/>
    </row>
    <row r="370938" spans="27:27">
      <c r="AA370938" s="613"/>
    </row>
    <row r="370939" spans="27:27">
      <c r="AA370939" s="613"/>
    </row>
    <row r="371084" spans="27:27">
      <c r="AA371084" s="613"/>
    </row>
    <row r="371085" spans="27:27">
      <c r="AA371085" s="613"/>
    </row>
    <row r="371230" spans="27:27">
      <c r="AA371230" s="613"/>
    </row>
    <row r="371231" spans="27:27">
      <c r="AA371231" s="613"/>
    </row>
    <row r="371376" spans="27:27">
      <c r="AA371376" s="613"/>
    </row>
    <row r="371377" spans="27:27">
      <c r="AA371377" s="613"/>
    </row>
    <row r="371522" spans="27:27">
      <c r="AA371522" s="613"/>
    </row>
    <row r="371523" spans="27:27">
      <c r="AA371523" s="613"/>
    </row>
    <row r="371668" spans="27:27">
      <c r="AA371668" s="613"/>
    </row>
    <row r="371669" spans="27:27">
      <c r="AA371669" s="613"/>
    </row>
    <row r="371814" spans="27:27">
      <c r="AA371814" s="613"/>
    </row>
    <row r="371815" spans="27:27">
      <c r="AA371815" s="613"/>
    </row>
    <row r="371960" spans="27:27">
      <c r="AA371960" s="613"/>
    </row>
    <row r="371961" spans="27:27">
      <c r="AA371961" s="613"/>
    </row>
    <row r="372106" spans="27:27">
      <c r="AA372106" s="613"/>
    </row>
    <row r="372107" spans="27:27">
      <c r="AA372107" s="613"/>
    </row>
    <row r="372252" spans="27:27">
      <c r="AA372252" s="613"/>
    </row>
    <row r="372253" spans="27:27">
      <c r="AA372253" s="613"/>
    </row>
    <row r="372398" spans="27:27">
      <c r="AA372398" s="613"/>
    </row>
    <row r="372399" spans="27:27">
      <c r="AA372399" s="613"/>
    </row>
    <row r="372544" spans="27:27">
      <c r="AA372544" s="613"/>
    </row>
    <row r="372545" spans="27:27">
      <c r="AA372545" s="613"/>
    </row>
    <row r="372690" spans="27:27">
      <c r="AA372690" s="613"/>
    </row>
    <row r="372691" spans="27:27">
      <c r="AA372691" s="613"/>
    </row>
    <row r="372836" spans="27:27">
      <c r="AA372836" s="613"/>
    </row>
    <row r="372837" spans="27:27">
      <c r="AA372837" s="613"/>
    </row>
    <row r="372982" spans="27:27">
      <c r="AA372982" s="613"/>
    </row>
    <row r="372983" spans="27:27">
      <c r="AA372983" s="613"/>
    </row>
    <row r="373128" spans="27:27">
      <c r="AA373128" s="613"/>
    </row>
    <row r="373129" spans="27:27">
      <c r="AA373129" s="613"/>
    </row>
    <row r="373274" spans="27:27">
      <c r="AA373274" s="613"/>
    </row>
    <row r="373275" spans="27:27">
      <c r="AA373275" s="613"/>
    </row>
    <row r="373420" spans="27:27">
      <c r="AA373420" s="613"/>
    </row>
    <row r="373421" spans="27:27">
      <c r="AA373421" s="613"/>
    </row>
    <row r="373566" spans="27:27">
      <c r="AA373566" s="613"/>
    </row>
    <row r="373567" spans="27:27">
      <c r="AA373567" s="613"/>
    </row>
    <row r="373712" spans="27:27">
      <c r="AA373712" s="613"/>
    </row>
    <row r="373713" spans="27:27">
      <c r="AA373713" s="613"/>
    </row>
    <row r="373858" spans="27:27">
      <c r="AA373858" s="613"/>
    </row>
    <row r="373859" spans="27:27">
      <c r="AA373859" s="613"/>
    </row>
    <row r="374004" spans="27:27">
      <c r="AA374004" s="613"/>
    </row>
    <row r="374005" spans="27:27">
      <c r="AA374005" s="613"/>
    </row>
    <row r="374150" spans="27:27">
      <c r="AA374150" s="613"/>
    </row>
    <row r="374151" spans="27:27">
      <c r="AA374151" s="613"/>
    </row>
    <row r="374296" spans="27:27">
      <c r="AA374296" s="613"/>
    </row>
    <row r="374297" spans="27:27">
      <c r="AA374297" s="613"/>
    </row>
    <row r="374442" spans="27:27">
      <c r="AA374442" s="613"/>
    </row>
    <row r="374443" spans="27:27">
      <c r="AA374443" s="613"/>
    </row>
    <row r="374588" spans="27:27">
      <c r="AA374588" s="613"/>
    </row>
    <row r="374589" spans="27:27">
      <c r="AA374589" s="613"/>
    </row>
    <row r="374734" spans="27:27">
      <c r="AA374734" s="613"/>
    </row>
    <row r="374735" spans="27:27">
      <c r="AA374735" s="613"/>
    </row>
    <row r="374880" spans="27:27">
      <c r="AA374880" s="613"/>
    </row>
    <row r="374881" spans="27:27">
      <c r="AA374881" s="613"/>
    </row>
    <row r="375026" spans="27:27">
      <c r="AA375026" s="613"/>
    </row>
    <row r="375027" spans="27:27">
      <c r="AA375027" s="613"/>
    </row>
    <row r="375172" spans="27:27">
      <c r="AA375172" s="613"/>
    </row>
    <row r="375173" spans="27:27">
      <c r="AA375173" s="613"/>
    </row>
    <row r="375318" spans="27:27">
      <c r="AA375318" s="613"/>
    </row>
    <row r="375319" spans="27:27">
      <c r="AA375319" s="613"/>
    </row>
    <row r="375464" spans="27:27">
      <c r="AA375464" s="613"/>
    </row>
    <row r="375465" spans="27:27">
      <c r="AA375465" s="613"/>
    </row>
    <row r="375610" spans="27:27">
      <c r="AA375610" s="613"/>
    </row>
    <row r="375611" spans="27:27">
      <c r="AA375611" s="613"/>
    </row>
    <row r="375756" spans="27:27">
      <c r="AA375756" s="613"/>
    </row>
    <row r="375757" spans="27:27">
      <c r="AA375757" s="613"/>
    </row>
    <row r="375902" spans="27:27">
      <c r="AA375902" s="613"/>
    </row>
    <row r="375903" spans="27:27">
      <c r="AA375903" s="613"/>
    </row>
    <row r="376048" spans="27:27">
      <c r="AA376048" s="613"/>
    </row>
    <row r="376049" spans="27:27">
      <c r="AA376049" s="613"/>
    </row>
    <row r="376194" spans="27:27">
      <c r="AA376194" s="613"/>
    </row>
    <row r="376195" spans="27:27">
      <c r="AA376195" s="613"/>
    </row>
    <row r="376340" spans="27:27">
      <c r="AA376340" s="613"/>
    </row>
    <row r="376341" spans="27:27">
      <c r="AA376341" s="613"/>
    </row>
    <row r="376486" spans="27:27">
      <c r="AA376486" s="613"/>
    </row>
    <row r="376487" spans="27:27">
      <c r="AA376487" s="613"/>
    </row>
    <row r="376632" spans="27:27">
      <c r="AA376632" s="613"/>
    </row>
    <row r="376633" spans="27:27">
      <c r="AA376633" s="613"/>
    </row>
    <row r="376778" spans="27:27">
      <c r="AA376778" s="613"/>
    </row>
    <row r="376779" spans="27:27">
      <c r="AA376779" s="613"/>
    </row>
    <row r="376924" spans="27:27">
      <c r="AA376924" s="613"/>
    </row>
    <row r="376925" spans="27:27">
      <c r="AA376925" s="613"/>
    </row>
    <row r="377070" spans="27:27">
      <c r="AA377070" s="613"/>
    </row>
    <row r="377071" spans="27:27">
      <c r="AA377071" s="613"/>
    </row>
    <row r="377216" spans="27:27">
      <c r="AA377216" s="613"/>
    </row>
    <row r="377217" spans="27:27">
      <c r="AA377217" s="613"/>
    </row>
    <row r="377362" spans="27:27">
      <c r="AA377362" s="613"/>
    </row>
    <row r="377363" spans="27:27">
      <c r="AA377363" s="613"/>
    </row>
    <row r="377508" spans="27:27">
      <c r="AA377508" s="613"/>
    </row>
    <row r="377509" spans="27:27">
      <c r="AA377509" s="613"/>
    </row>
    <row r="377654" spans="27:27">
      <c r="AA377654" s="613"/>
    </row>
    <row r="377655" spans="27:27">
      <c r="AA377655" s="613"/>
    </row>
    <row r="377800" spans="27:27">
      <c r="AA377800" s="613"/>
    </row>
    <row r="377801" spans="27:27">
      <c r="AA377801" s="613"/>
    </row>
    <row r="377946" spans="27:27">
      <c r="AA377946" s="613"/>
    </row>
    <row r="377947" spans="27:27">
      <c r="AA377947" s="613"/>
    </row>
    <row r="378092" spans="27:27">
      <c r="AA378092" s="613"/>
    </row>
    <row r="378093" spans="27:27">
      <c r="AA378093" s="613"/>
    </row>
    <row r="378238" spans="27:27">
      <c r="AA378238" s="613"/>
    </row>
    <row r="378239" spans="27:27">
      <c r="AA378239" s="613"/>
    </row>
    <row r="378384" spans="27:27">
      <c r="AA378384" s="613"/>
    </row>
    <row r="378385" spans="27:27">
      <c r="AA378385" s="613"/>
    </row>
    <row r="378530" spans="27:27">
      <c r="AA378530" s="613"/>
    </row>
    <row r="378531" spans="27:27">
      <c r="AA378531" s="613"/>
    </row>
    <row r="378676" spans="27:27">
      <c r="AA378676" s="613"/>
    </row>
    <row r="378677" spans="27:27">
      <c r="AA378677" s="613"/>
    </row>
    <row r="378822" spans="27:27">
      <c r="AA378822" s="613"/>
    </row>
    <row r="378823" spans="27:27">
      <c r="AA378823" s="613"/>
    </row>
    <row r="378968" spans="27:27">
      <c r="AA378968" s="613"/>
    </row>
    <row r="378969" spans="27:27">
      <c r="AA378969" s="613"/>
    </row>
    <row r="379114" spans="27:27">
      <c r="AA379114" s="613"/>
    </row>
    <row r="379115" spans="27:27">
      <c r="AA379115" s="613"/>
    </row>
    <row r="379260" spans="27:27">
      <c r="AA379260" s="613"/>
    </row>
    <row r="379261" spans="27:27">
      <c r="AA379261" s="613"/>
    </row>
    <row r="379406" spans="27:27">
      <c r="AA379406" s="613"/>
    </row>
    <row r="379407" spans="27:27">
      <c r="AA379407" s="613"/>
    </row>
    <row r="379552" spans="27:27">
      <c r="AA379552" s="613"/>
    </row>
    <row r="379553" spans="27:27">
      <c r="AA379553" s="613"/>
    </row>
    <row r="379698" spans="27:27">
      <c r="AA379698" s="613"/>
    </row>
    <row r="379699" spans="27:27">
      <c r="AA379699" s="613"/>
    </row>
    <row r="379844" spans="27:27">
      <c r="AA379844" s="613"/>
    </row>
    <row r="379845" spans="27:27">
      <c r="AA379845" s="613"/>
    </row>
    <row r="379990" spans="27:27">
      <c r="AA379990" s="613"/>
    </row>
    <row r="379991" spans="27:27">
      <c r="AA379991" s="613"/>
    </row>
    <row r="380136" spans="27:27">
      <c r="AA380136" s="613"/>
    </row>
    <row r="380137" spans="27:27">
      <c r="AA380137" s="613"/>
    </row>
    <row r="380282" spans="27:27">
      <c r="AA380282" s="613"/>
    </row>
    <row r="380283" spans="27:27">
      <c r="AA380283" s="613"/>
    </row>
    <row r="380428" spans="27:27">
      <c r="AA380428" s="613"/>
    </row>
    <row r="380429" spans="27:27">
      <c r="AA380429" s="613"/>
    </row>
    <row r="380574" spans="27:27">
      <c r="AA380574" s="613"/>
    </row>
    <row r="380575" spans="27:27">
      <c r="AA380575" s="613"/>
    </row>
    <row r="380720" spans="27:27">
      <c r="AA380720" s="613"/>
    </row>
    <row r="380721" spans="27:27">
      <c r="AA380721" s="613"/>
    </row>
    <row r="380866" spans="27:27">
      <c r="AA380866" s="613"/>
    </row>
    <row r="380867" spans="27:27">
      <c r="AA380867" s="613"/>
    </row>
    <row r="381012" spans="27:27">
      <c r="AA381012" s="613"/>
    </row>
    <row r="381013" spans="27:27">
      <c r="AA381013" s="613"/>
    </row>
    <row r="381158" spans="27:27">
      <c r="AA381158" s="613"/>
    </row>
    <row r="381159" spans="27:27">
      <c r="AA381159" s="613"/>
    </row>
    <row r="381304" spans="27:27">
      <c r="AA381304" s="613"/>
    </row>
    <row r="381305" spans="27:27">
      <c r="AA381305" s="613"/>
    </row>
    <row r="381450" spans="27:27">
      <c r="AA381450" s="613"/>
    </row>
    <row r="381451" spans="27:27">
      <c r="AA381451" s="613"/>
    </row>
    <row r="381596" spans="27:27">
      <c r="AA381596" s="613"/>
    </row>
    <row r="381597" spans="27:27">
      <c r="AA381597" s="613"/>
    </row>
    <row r="381742" spans="27:27">
      <c r="AA381742" s="613"/>
    </row>
    <row r="381743" spans="27:27">
      <c r="AA381743" s="613"/>
    </row>
    <row r="381888" spans="27:27">
      <c r="AA381888" s="613"/>
    </row>
    <row r="381889" spans="27:27">
      <c r="AA381889" s="613"/>
    </row>
    <row r="382034" spans="27:27">
      <c r="AA382034" s="613"/>
    </row>
    <row r="382035" spans="27:27">
      <c r="AA382035" s="613"/>
    </row>
    <row r="382180" spans="27:27">
      <c r="AA382180" s="613"/>
    </row>
    <row r="382181" spans="27:27">
      <c r="AA382181" s="613"/>
    </row>
    <row r="382326" spans="27:27">
      <c r="AA382326" s="613"/>
    </row>
    <row r="382327" spans="27:27">
      <c r="AA382327" s="613"/>
    </row>
    <row r="382472" spans="27:27">
      <c r="AA382472" s="613"/>
    </row>
    <row r="382473" spans="27:27">
      <c r="AA382473" s="613"/>
    </row>
    <row r="382618" spans="27:27">
      <c r="AA382618" s="613"/>
    </row>
    <row r="382619" spans="27:27">
      <c r="AA382619" s="613"/>
    </row>
    <row r="382764" spans="27:27">
      <c r="AA382764" s="613"/>
    </row>
    <row r="382765" spans="27:27">
      <c r="AA382765" s="613"/>
    </row>
    <row r="382910" spans="27:27">
      <c r="AA382910" s="613"/>
    </row>
    <row r="382911" spans="27:27">
      <c r="AA382911" s="613"/>
    </row>
    <row r="383056" spans="27:27">
      <c r="AA383056" s="613"/>
    </row>
    <row r="383057" spans="27:27">
      <c r="AA383057" s="613"/>
    </row>
    <row r="383202" spans="27:27">
      <c r="AA383202" s="613"/>
    </row>
    <row r="383203" spans="27:27">
      <c r="AA383203" s="613"/>
    </row>
    <row r="383348" spans="27:27">
      <c r="AA383348" s="613"/>
    </row>
    <row r="383349" spans="27:27">
      <c r="AA383349" s="613"/>
    </row>
    <row r="383494" spans="27:27">
      <c r="AA383494" s="613"/>
    </row>
    <row r="383495" spans="27:27">
      <c r="AA383495" s="613"/>
    </row>
    <row r="383640" spans="27:27">
      <c r="AA383640" s="613"/>
    </row>
    <row r="383641" spans="27:27">
      <c r="AA383641" s="613"/>
    </row>
    <row r="383786" spans="27:27">
      <c r="AA383786" s="613"/>
    </row>
    <row r="383787" spans="27:27">
      <c r="AA383787" s="613"/>
    </row>
    <row r="383932" spans="27:27">
      <c r="AA383932" s="613"/>
    </row>
    <row r="383933" spans="27:27">
      <c r="AA383933" s="613"/>
    </row>
    <row r="384078" spans="27:27">
      <c r="AA384078" s="613"/>
    </row>
    <row r="384079" spans="27:27">
      <c r="AA384079" s="613"/>
    </row>
    <row r="384224" spans="27:27">
      <c r="AA384224" s="613"/>
    </row>
    <row r="384225" spans="27:27">
      <c r="AA384225" s="613"/>
    </row>
    <row r="384370" spans="27:27">
      <c r="AA384370" s="613"/>
    </row>
    <row r="384371" spans="27:27">
      <c r="AA384371" s="613"/>
    </row>
    <row r="384516" spans="27:27">
      <c r="AA384516" s="613"/>
    </row>
    <row r="384517" spans="27:27">
      <c r="AA384517" s="613"/>
    </row>
    <row r="384662" spans="27:27">
      <c r="AA384662" s="613"/>
    </row>
    <row r="384663" spans="27:27">
      <c r="AA384663" s="613"/>
    </row>
    <row r="384808" spans="27:27">
      <c r="AA384808" s="613"/>
    </row>
    <row r="384809" spans="27:27">
      <c r="AA384809" s="613"/>
    </row>
    <row r="384954" spans="27:27">
      <c r="AA384954" s="613"/>
    </row>
    <row r="384955" spans="27:27">
      <c r="AA384955" s="613"/>
    </row>
    <row r="385100" spans="27:27">
      <c r="AA385100" s="613"/>
    </row>
    <row r="385101" spans="27:27">
      <c r="AA385101" s="613"/>
    </row>
    <row r="385246" spans="27:27">
      <c r="AA385246" s="613"/>
    </row>
    <row r="385247" spans="27:27">
      <c r="AA385247" s="613"/>
    </row>
    <row r="385392" spans="27:27">
      <c r="AA385392" s="613"/>
    </row>
    <row r="385393" spans="27:27">
      <c r="AA385393" s="613"/>
    </row>
    <row r="385538" spans="27:27">
      <c r="AA385538" s="613"/>
    </row>
    <row r="385539" spans="27:27">
      <c r="AA385539" s="613"/>
    </row>
    <row r="385684" spans="27:27">
      <c r="AA385684" s="613"/>
    </row>
    <row r="385685" spans="27:27">
      <c r="AA385685" s="613"/>
    </row>
    <row r="385830" spans="27:27">
      <c r="AA385830" s="613"/>
    </row>
    <row r="385831" spans="27:27">
      <c r="AA385831" s="613"/>
    </row>
    <row r="385976" spans="27:27">
      <c r="AA385976" s="613"/>
    </row>
    <row r="385977" spans="27:27">
      <c r="AA385977" s="613"/>
    </row>
    <row r="386122" spans="27:27">
      <c r="AA386122" s="613"/>
    </row>
    <row r="386123" spans="27:27">
      <c r="AA386123" s="613"/>
    </row>
    <row r="386268" spans="27:27">
      <c r="AA386268" s="613"/>
    </row>
    <row r="386269" spans="27:27">
      <c r="AA386269" s="613"/>
    </row>
    <row r="386414" spans="27:27">
      <c r="AA386414" s="613"/>
    </row>
    <row r="386415" spans="27:27">
      <c r="AA386415" s="613"/>
    </row>
    <row r="386560" spans="27:27">
      <c r="AA386560" s="613"/>
    </row>
    <row r="386561" spans="27:27">
      <c r="AA386561" s="613"/>
    </row>
    <row r="386706" spans="27:27">
      <c r="AA386706" s="613"/>
    </row>
    <row r="386707" spans="27:27">
      <c r="AA386707" s="613"/>
    </row>
    <row r="386852" spans="27:27">
      <c r="AA386852" s="613"/>
    </row>
    <row r="386853" spans="27:27">
      <c r="AA386853" s="613"/>
    </row>
    <row r="386998" spans="27:27">
      <c r="AA386998" s="613"/>
    </row>
    <row r="386999" spans="27:27">
      <c r="AA386999" s="613"/>
    </row>
    <row r="387144" spans="27:27">
      <c r="AA387144" s="613"/>
    </row>
    <row r="387145" spans="27:27">
      <c r="AA387145" s="613"/>
    </row>
    <row r="387290" spans="27:27">
      <c r="AA387290" s="613"/>
    </row>
    <row r="387291" spans="27:27">
      <c r="AA387291" s="613"/>
    </row>
    <row r="387436" spans="27:27">
      <c r="AA387436" s="613"/>
    </row>
    <row r="387437" spans="27:27">
      <c r="AA387437" s="613"/>
    </row>
    <row r="387582" spans="27:27">
      <c r="AA387582" s="613"/>
    </row>
    <row r="387583" spans="27:27">
      <c r="AA387583" s="613"/>
    </row>
    <row r="387728" spans="27:27">
      <c r="AA387728" s="613"/>
    </row>
    <row r="387729" spans="27:27">
      <c r="AA387729" s="613"/>
    </row>
    <row r="387874" spans="27:27">
      <c r="AA387874" s="613"/>
    </row>
    <row r="387875" spans="27:27">
      <c r="AA387875" s="613"/>
    </row>
    <row r="388020" spans="27:27">
      <c r="AA388020" s="613"/>
    </row>
    <row r="388021" spans="27:27">
      <c r="AA388021" s="613"/>
    </row>
    <row r="388166" spans="27:27">
      <c r="AA388166" s="613"/>
    </row>
    <row r="388167" spans="27:27">
      <c r="AA388167" s="613"/>
    </row>
    <row r="388312" spans="27:27">
      <c r="AA388312" s="613"/>
    </row>
    <row r="388313" spans="27:27">
      <c r="AA388313" s="613"/>
    </row>
    <row r="388458" spans="27:27">
      <c r="AA388458" s="613"/>
    </row>
    <row r="388459" spans="27:27">
      <c r="AA388459" s="613"/>
    </row>
    <row r="388604" spans="27:27">
      <c r="AA388604" s="613"/>
    </row>
    <row r="388605" spans="27:27">
      <c r="AA388605" s="613"/>
    </row>
    <row r="388750" spans="27:27">
      <c r="AA388750" s="613"/>
    </row>
    <row r="388751" spans="27:27">
      <c r="AA388751" s="613"/>
    </row>
    <row r="388896" spans="27:27">
      <c r="AA388896" s="613"/>
    </row>
    <row r="388897" spans="27:27">
      <c r="AA388897" s="613"/>
    </row>
    <row r="389042" spans="27:27">
      <c r="AA389042" s="613"/>
    </row>
    <row r="389043" spans="27:27">
      <c r="AA389043" s="613"/>
    </row>
    <row r="389188" spans="27:27">
      <c r="AA389188" s="613"/>
    </row>
    <row r="389189" spans="27:27">
      <c r="AA389189" s="613"/>
    </row>
    <row r="389334" spans="27:27">
      <c r="AA389334" s="613"/>
    </row>
    <row r="389335" spans="27:27">
      <c r="AA389335" s="613"/>
    </row>
    <row r="389480" spans="27:27">
      <c r="AA389480" s="613"/>
    </row>
    <row r="389481" spans="27:27">
      <c r="AA389481" s="613"/>
    </row>
    <row r="389626" spans="27:27">
      <c r="AA389626" s="613"/>
    </row>
    <row r="389627" spans="27:27">
      <c r="AA389627" s="613"/>
    </row>
    <row r="389772" spans="27:27">
      <c r="AA389772" s="613"/>
    </row>
    <row r="389773" spans="27:27">
      <c r="AA389773" s="613"/>
    </row>
    <row r="389918" spans="27:27">
      <c r="AA389918" s="613"/>
    </row>
    <row r="389919" spans="27:27">
      <c r="AA389919" s="613"/>
    </row>
    <row r="390064" spans="27:27">
      <c r="AA390064" s="613"/>
    </row>
    <row r="390065" spans="27:27">
      <c r="AA390065" s="613"/>
    </row>
    <row r="390210" spans="27:27">
      <c r="AA390210" s="613"/>
    </row>
    <row r="390211" spans="27:27">
      <c r="AA390211" s="613"/>
    </row>
    <row r="390356" spans="27:27">
      <c r="AA390356" s="613"/>
    </row>
    <row r="390357" spans="27:27">
      <c r="AA390357" s="613"/>
    </row>
    <row r="390502" spans="27:27">
      <c r="AA390502" s="613"/>
    </row>
    <row r="390503" spans="27:27">
      <c r="AA390503" s="613"/>
    </row>
    <row r="390648" spans="27:27">
      <c r="AA390648" s="613"/>
    </row>
    <row r="390649" spans="27:27">
      <c r="AA390649" s="613"/>
    </row>
    <row r="390794" spans="27:27">
      <c r="AA390794" s="613"/>
    </row>
    <row r="390795" spans="27:27">
      <c r="AA390795" s="613"/>
    </row>
    <row r="390940" spans="27:27">
      <c r="AA390940" s="613"/>
    </row>
    <row r="390941" spans="27:27">
      <c r="AA390941" s="613"/>
    </row>
    <row r="391086" spans="27:27">
      <c r="AA391086" s="613"/>
    </row>
    <row r="391087" spans="27:27">
      <c r="AA391087" s="613"/>
    </row>
    <row r="391232" spans="27:27">
      <c r="AA391232" s="613"/>
    </row>
    <row r="391233" spans="27:27">
      <c r="AA391233" s="613"/>
    </row>
    <row r="391378" spans="27:27">
      <c r="AA391378" s="613"/>
    </row>
    <row r="391379" spans="27:27">
      <c r="AA391379" s="613"/>
    </row>
    <row r="391524" spans="27:27">
      <c r="AA391524" s="613"/>
    </row>
    <row r="391525" spans="27:27">
      <c r="AA391525" s="613"/>
    </row>
    <row r="391670" spans="27:27">
      <c r="AA391670" s="613"/>
    </row>
    <row r="391671" spans="27:27">
      <c r="AA391671" s="613"/>
    </row>
    <row r="391816" spans="27:27">
      <c r="AA391816" s="613"/>
    </row>
    <row r="391817" spans="27:27">
      <c r="AA391817" s="613"/>
    </row>
    <row r="391962" spans="27:27">
      <c r="AA391962" s="613"/>
    </row>
    <row r="391963" spans="27:27">
      <c r="AA391963" s="613"/>
    </row>
    <row r="392108" spans="27:27">
      <c r="AA392108" s="613"/>
    </row>
    <row r="392109" spans="27:27">
      <c r="AA392109" s="613"/>
    </row>
    <row r="392254" spans="27:27">
      <c r="AA392254" s="613"/>
    </row>
    <row r="392255" spans="27:27">
      <c r="AA392255" s="613"/>
    </row>
    <row r="392400" spans="27:27">
      <c r="AA392400" s="613"/>
    </row>
    <row r="392401" spans="27:27">
      <c r="AA392401" s="613"/>
    </row>
    <row r="392546" spans="27:27">
      <c r="AA392546" s="613"/>
    </row>
    <row r="392547" spans="27:27">
      <c r="AA392547" s="613"/>
    </row>
    <row r="392692" spans="27:27">
      <c r="AA392692" s="613"/>
    </row>
    <row r="392693" spans="27:27">
      <c r="AA392693" s="613"/>
    </row>
    <row r="392838" spans="27:27">
      <c r="AA392838" s="613"/>
    </row>
    <row r="392839" spans="27:27">
      <c r="AA392839" s="613"/>
    </row>
    <row r="392984" spans="27:27">
      <c r="AA392984" s="613"/>
    </row>
    <row r="392985" spans="27:27">
      <c r="AA392985" s="613"/>
    </row>
    <row r="393130" spans="27:27">
      <c r="AA393130" s="613"/>
    </row>
    <row r="393131" spans="27:27">
      <c r="AA393131" s="613"/>
    </row>
    <row r="393276" spans="27:27">
      <c r="AA393276" s="613"/>
    </row>
    <row r="393277" spans="27:27">
      <c r="AA393277" s="613"/>
    </row>
    <row r="393422" spans="27:27">
      <c r="AA393422" s="613"/>
    </row>
    <row r="393423" spans="27:27">
      <c r="AA393423" s="613"/>
    </row>
    <row r="393568" spans="27:27">
      <c r="AA393568" s="613"/>
    </row>
    <row r="393569" spans="27:27">
      <c r="AA393569" s="613"/>
    </row>
    <row r="393714" spans="27:27">
      <c r="AA393714" s="613"/>
    </row>
    <row r="393715" spans="27:27">
      <c r="AA393715" s="613"/>
    </row>
    <row r="393860" spans="27:27">
      <c r="AA393860" s="613"/>
    </row>
    <row r="393861" spans="27:27">
      <c r="AA393861" s="613"/>
    </row>
    <row r="394006" spans="27:27">
      <c r="AA394006" s="613"/>
    </row>
    <row r="394007" spans="27:27">
      <c r="AA394007" s="613"/>
    </row>
    <row r="394152" spans="27:27">
      <c r="AA394152" s="613"/>
    </row>
    <row r="394153" spans="27:27">
      <c r="AA394153" s="613"/>
    </row>
    <row r="394298" spans="27:27">
      <c r="AA394298" s="613"/>
    </row>
    <row r="394299" spans="27:27">
      <c r="AA394299" s="613"/>
    </row>
    <row r="394444" spans="27:27">
      <c r="AA394444" s="613"/>
    </row>
    <row r="394445" spans="27:27">
      <c r="AA394445" s="613"/>
    </row>
    <row r="394590" spans="27:27">
      <c r="AA394590" s="613"/>
    </row>
    <row r="394591" spans="27:27">
      <c r="AA394591" s="613"/>
    </row>
    <row r="394736" spans="27:27">
      <c r="AA394736" s="613"/>
    </row>
    <row r="394737" spans="27:27">
      <c r="AA394737" s="613"/>
    </row>
    <row r="394882" spans="27:27">
      <c r="AA394882" s="613"/>
    </row>
    <row r="394883" spans="27:27">
      <c r="AA394883" s="613"/>
    </row>
    <row r="395028" spans="27:27">
      <c r="AA395028" s="613"/>
    </row>
    <row r="395029" spans="27:27">
      <c r="AA395029" s="613"/>
    </row>
    <row r="395174" spans="27:27">
      <c r="AA395174" s="613"/>
    </row>
    <row r="395175" spans="27:27">
      <c r="AA395175" s="613"/>
    </row>
    <row r="395320" spans="27:27">
      <c r="AA395320" s="613"/>
    </row>
    <row r="395321" spans="27:27">
      <c r="AA395321" s="613"/>
    </row>
    <row r="395466" spans="27:27">
      <c r="AA395466" s="613"/>
    </row>
    <row r="395467" spans="27:27">
      <c r="AA395467" s="613"/>
    </row>
    <row r="395612" spans="27:27">
      <c r="AA395612" s="613"/>
    </row>
    <row r="395613" spans="27:27">
      <c r="AA395613" s="613"/>
    </row>
    <row r="395758" spans="27:27">
      <c r="AA395758" s="613"/>
    </row>
    <row r="395759" spans="27:27">
      <c r="AA395759" s="613"/>
    </row>
    <row r="395904" spans="27:27">
      <c r="AA395904" s="613"/>
    </row>
    <row r="395905" spans="27:27">
      <c r="AA395905" s="613"/>
    </row>
    <row r="396050" spans="27:27">
      <c r="AA396050" s="613"/>
    </row>
    <row r="396051" spans="27:27">
      <c r="AA396051" s="613"/>
    </row>
    <row r="396196" spans="27:27">
      <c r="AA396196" s="613"/>
    </row>
    <row r="396197" spans="27:27">
      <c r="AA396197" s="613"/>
    </row>
    <row r="396342" spans="27:27">
      <c r="AA396342" s="613"/>
    </row>
    <row r="396343" spans="27:27">
      <c r="AA396343" s="613"/>
    </row>
    <row r="396488" spans="27:27">
      <c r="AA396488" s="613"/>
    </row>
    <row r="396489" spans="27:27">
      <c r="AA396489" s="613"/>
    </row>
    <row r="396634" spans="27:27">
      <c r="AA396634" s="613"/>
    </row>
    <row r="396635" spans="27:27">
      <c r="AA396635" s="613"/>
    </row>
    <row r="396780" spans="27:27">
      <c r="AA396780" s="613"/>
    </row>
    <row r="396781" spans="27:27">
      <c r="AA396781" s="613"/>
    </row>
    <row r="396926" spans="27:27">
      <c r="AA396926" s="613"/>
    </row>
    <row r="396927" spans="27:27">
      <c r="AA396927" s="613"/>
    </row>
    <row r="397072" spans="27:27">
      <c r="AA397072" s="613"/>
    </row>
    <row r="397073" spans="27:27">
      <c r="AA397073" s="613"/>
    </row>
    <row r="397218" spans="27:27">
      <c r="AA397218" s="613"/>
    </row>
    <row r="397219" spans="27:27">
      <c r="AA397219" s="613"/>
    </row>
    <row r="397364" spans="27:27">
      <c r="AA397364" s="613"/>
    </row>
    <row r="397365" spans="27:27">
      <c r="AA397365" s="613"/>
    </row>
    <row r="397510" spans="27:27">
      <c r="AA397510" s="613"/>
    </row>
    <row r="397511" spans="27:27">
      <c r="AA397511" s="613"/>
    </row>
    <row r="397656" spans="27:27">
      <c r="AA397656" s="613"/>
    </row>
    <row r="397657" spans="27:27">
      <c r="AA397657" s="613"/>
    </row>
    <row r="397802" spans="27:27">
      <c r="AA397802" s="613"/>
    </row>
    <row r="397803" spans="27:27">
      <c r="AA397803" s="613"/>
    </row>
    <row r="397948" spans="27:27">
      <c r="AA397948" s="613"/>
    </row>
    <row r="397949" spans="27:27">
      <c r="AA397949" s="613"/>
    </row>
    <row r="398094" spans="27:27">
      <c r="AA398094" s="613"/>
    </row>
    <row r="398095" spans="27:27">
      <c r="AA398095" s="613"/>
    </row>
    <row r="398240" spans="27:27">
      <c r="AA398240" s="613"/>
    </row>
    <row r="398241" spans="27:27">
      <c r="AA398241" s="613"/>
    </row>
    <row r="398386" spans="27:27">
      <c r="AA398386" s="613"/>
    </row>
    <row r="398387" spans="27:27">
      <c r="AA398387" s="613"/>
    </row>
    <row r="398532" spans="27:27">
      <c r="AA398532" s="613"/>
    </row>
    <row r="398533" spans="27:27">
      <c r="AA398533" s="613"/>
    </row>
    <row r="398678" spans="27:27">
      <c r="AA398678" s="613"/>
    </row>
    <row r="398679" spans="27:27">
      <c r="AA398679" s="613"/>
    </row>
    <row r="398824" spans="27:27">
      <c r="AA398824" s="613"/>
    </row>
    <row r="398825" spans="27:27">
      <c r="AA398825" s="613"/>
    </row>
    <row r="398970" spans="27:27">
      <c r="AA398970" s="613"/>
    </row>
    <row r="398971" spans="27:27">
      <c r="AA398971" s="613"/>
    </row>
    <row r="399116" spans="27:27">
      <c r="AA399116" s="613"/>
    </row>
    <row r="399117" spans="27:27">
      <c r="AA399117" s="613"/>
    </row>
    <row r="399262" spans="27:27">
      <c r="AA399262" s="613"/>
    </row>
    <row r="399263" spans="27:27">
      <c r="AA399263" s="613"/>
    </row>
    <row r="399408" spans="27:27">
      <c r="AA399408" s="613"/>
    </row>
    <row r="399409" spans="27:27">
      <c r="AA399409" s="613"/>
    </row>
    <row r="399554" spans="27:27">
      <c r="AA399554" s="613"/>
    </row>
    <row r="399555" spans="27:27">
      <c r="AA399555" s="613"/>
    </row>
    <row r="399700" spans="27:27">
      <c r="AA399700" s="613"/>
    </row>
    <row r="399701" spans="27:27">
      <c r="AA399701" s="613"/>
    </row>
    <row r="399846" spans="27:27">
      <c r="AA399846" s="613"/>
    </row>
    <row r="399847" spans="27:27">
      <c r="AA399847" s="613"/>
    </row>
    <row r="399992" spans="27:27">
      <c r="AA399992" s="613"/>
    </row>
    <row r="399993" spans="27:27">
      <c r="AA399993" s="613"/>
    </row>
    <row r="400138" spans="27:27">
      <c r="AA400138" s="613"/>
    </row>
    <row r="400139" spans="27:27">
      <c r="AA400139" s="613"/>
    </row>
    <row r="400284" spans="27:27">
      <c r="AA400284" s="613"/>
    </row>
    <row r="400285" spans="27:27">
      <c r="AA400285" s="613"/>
    </row>
    <row r="400430" spans="27:27">
      <c r="AA400430" s="613"/>
    </row>
    <row r="400431" spans="27:27">
      <c r="AA400431" s="613"/>
    </row>
    <row r="400576" spans="27:27">
      <c r="AA400576" s="613"/>
    </row>
    <row r="400577" spans="27:27">
      <c r="AA400577" s="613"/>
    </row>
    <row r="400722" spans="27:27">
      <c r="AA400722" s="613"/>
    </row>
    <row r="400723" spans="27:27">
      <c r="AA400723" s="613"/>
    </row>
    <row r="400868" spans="27:27">
      <c r="AA400868" s="613"/>
    </row>
    <row r="400869" spans="27:27">
      <c r="AA400869" s="613"/>
    </row>
    <row r="401014" spans="27:27">
      <c r="AA401014" s="613"/>
    </row>
    <row r="401015" spans="27:27">
      <c r="AA401015" s="613"/>
    </row>
    <row r="401160" spans="27:27">
      <c r="AA401160" s="613"/>
    </row>
    <row r="401161" spans="27:27">
      <c r="AA401161" s="613"/>
    </row>
    <row r="401306" spans="27:27">
      <c r="AA401306" s="613"/>
    </row>
    <row r="401307" spans="27:27">
      <c r="AA401307" s="613"/>
    </row>
    <row r="401452" spans="27:27">
      <c r="AA401452" s="613"/>
    </row>
    <row r="401453" spans="27:27">
      <c r="AA401453" s="613"/>
    </row>
    <row r="401598" spans="27:27">
      <c r="AA401598" s="613"/>
    </row>
    <row r="401599" spans="27:27">
      <c r="AA401599" s="613"/>
    </row>
    <row r="401744" spans="27:27">
      <c r="AA401744" s="613"/>
    </row>
    <row r="401745" spans="27:27">
      <c r="AA401745" s="613"/>
    </row>
    <row r="401890" spans="27:27">
      <c r="AA401890" s="613"/>
    </row>
    <row r="401891" spans="27:27">
      <c r="AA401891" s="613"/>
    </row>
    <row r="402036" spans="27:27">
      <c r="AA402036" s="613"/>
    </row>
    <row r="402037" spans="27:27">
      <c r="AA402037" s="613"/>
    </row>
    <row r="402182" spans="27:27">
      <c r="AA402182" s="613"/>
    </row>
    <row r="402183" spans="27:27">
      <c r="AA402183" s="613"/>
    </row>
    <row r="402328" spans="27:27">
      <c r="AA402328" s="613"/>
    </row>
    <row r="402329" spans="27:27">
      <c r="AA402329" s="613"/>
    </row>
    <row r="402474" spans="27:27">
      <c r="AA402474" s="613"/>
    </row>
    <row r="402475" spans="27:27">
      <c r="AA402475" s="613"/>
    </row>
    <row r="402620" spans="27:27">
      <c r="AA402620" s="613"/>
    </row>
    <row r="402621" spans="27:27">
      <c r="AA402621" s="613"/>
    </row>
    <row r="402766" spans="27:27">
      <c r="AA402766" s="613"/>
    </row>
    <row r="402767" spans="27:27">
      <c r="AA402767" s="613"/>
    </row>
    <row r="402912" spans="27:27">
      <c r="AA402912" s="613"/>
    </row>
    <row r="402913" spans="27:27">
      <c r="AA402913" s="613"/>
    </row>
    <row r="403058" spans="27:27">
      <c r="AA403058" s="613"/>
    </row>
    <row r="403059" spans="27:27">
      <c r="AA403059" s="613"/>
    </row>
    <row r="403204" spans="27:27">
      <c r="AA403204" s="613"/>
    </row>
    <row r="403205" spans="27:27">
      <c r="AA403205" s="613"/>
    </row>
    <row r="403350" spans="27:27">
      <c r="AA403350" s="613"/>
    </row>
    <row r="403351" spans="27:27">
      <c r="AA403351" s="613"/>
    </row>
    <row r="403496" spans="27:27">
      <c r="AA403496" s="613"/>
    </row>
    <row r="403497" spans="27:27">
      <c r="AA403497" s="613"/>
    </row>
    <row r="403642" spans="27:27">
      <c r="AA403642" s="613"/>
    </row>
    <row r="403643" spans="27:27">
      <c r="AA403643" s="613"/>
    </row>
    <row r="403788" spans="27:27">
      <c r="AA403788" s="613"/>
    </row>
    <row r="403789" spans="27:27">
      <c r="AA403789" s="613"/>
    </row>
    <row r="403934" spans="27:27">
      <c r="AA403934" s="613"/>
    </row>
    <row r="403935" spans="27:27">
      <c r="AA403935" s="613"/>
    </row>
    <row r="404080" spans="27:27">
      <c r="AA404080" s="613"/>
    </row>
    <row r="404081" spans="27:27">
      <c r="AA404081" s="613"/>
    </row>
    <row r="404226" spans="27:27">
      <c r="AA404226" s="613"/>
    </row>
    <row r="404227" spans="27:27">
      <c r="AA404227" s="613"/>
    </row>
    <row r="404372" spans="27:27">
      <c r="AA404372" s="613"/>
    </row>
    <row r="404373" spans="27:27">
      <c r="AA404373" s="613"/>
    </row>
    <row r="404518" spans="27:27">
      <c r="AA404518" s="613"/>
    </row>
    <row r="404519" spans="27:27">
      <c r="AA404519" s="613"/>
    </row>
    <row r="404664" spans="27:27">
      <c r="AA404664" s="613"/>
    </row>
    <row r="404665" spans="27:27">
      <c r="AA404665" s="613"/>
    </row>
    <row r="404810" spans="27:27">
      <c r="AA404810" s="613"/>
    </row>
    <row r="404811" spans="27:27">
      <c r="AA404811" s="613"/>
    </row>
    <row r="404956" spans="27:27">
      <c r="AA404956" s="613"/>
    </row>
    <row r="404957" spans="27:27">
      <c r="AA404957" s="613"/>
    </row>
    <row r="405102" spans="27:27">
      <c r="AA405102" s="613"/>
    </row>
    <row r="405103" spans="27:27">
      <c r="AA405103" s="613"/>
    </row>
    <row r="405248" spans="27:27">
      <c r="AA405248" s="613"/>
    </row>
    <row r="405249" spans="27:27">
      <c r="AA405249" s="613"/>
    </row>
    <row r="405394" spans="27:27">
      <c r="AA405394" s="613"/>
    </row>
    <row r="405395" spans="27:27">
      <c r="AA405395" s="613"/>
    </row>
    <row r="405540" spans="27:27">
      <c r="AA405540" s="613"/>
    </row>
    <row r="405541" spans="27:27">
      <c r="AA405541" s="613"/>
    </row>
    <row r="405686" spans="27:27">
      <c r="AA405686" s="613"/>
    </row>
    <row r="405687" spans="27:27">
      <c r="AA405687" s="613"/>
    </row>
    <row r="405832" spans="27:27">
      <c r="AA405832" s="613"/>
    </row>
    <row r="405833" spans="27:27">
      <c r="AA405833" s="613"/>
    </row>
    <row r="405978" spans="27:27">
      <c r="AA405978" s="613"/>
    </row>
    <row r="405979" spans="27:27">
      <c r="AA405979" s="613"/>
    </row>
    <row r="406124" spans="27:27">
      <c r="AA406124" s="613"/>
    </row>
    <row r="406125" spans="27:27">
      <c r="AA406125" s="613"/>
    </row>
    <row r="406270" spans="27:27">
      <c r="AA406270" s="613"/>
    </row>
    <row r="406271" spans="27:27">
      <c r="AA406271" s="613"/>
    </row>
    <row r="406416" spans="27:27">
      <c r="AA406416" s="613"/>
    </row>
    <row r="406417" spans="27:27">
      <c r="AA406417" s="613"/>
    </row>
    <row r="406562" spans="27:27">
      <c r="AA406562" s="613"/>
    </row>
    <row r="406563" spans="27:27">
      <c r="AA406563" s="613"/>
    </row>
    <row r="406708" spans="27:27">
      <c r="AA406708" s="613"/>
    </row>
    <row r="406709" spans="27:27">
      <c r="AA406709" s="613"/>
    </row>
    <row r="406854" spans="27:27">
      <c r="AA406854" s="613"/>
    </row>
    <row r="406855" spans="27:27">
      <c r="AA406855" s="613"/>
    </row>
    <row r="407000" spans="27:27">
      <c r="AA407000" s="613"/>
    </row>
    <row r="407001" spans="27:27">
      <c r="AA407001" s="613"/>
    </row>
    <row r="407146" spans="27:27">
      <c r="AA407146" s="613"/>
    </row>
    <row r="407147" spans="27:27">
      <c r="AA407147" s="613"/>
    </row>
    <row r="407292" spans="27:27">
      <c r="AA407292" s="613"/>
    </row>
    <row r="407293" spans="27:27">
      <c r="AA407293" s="613"/>
    </row>
    <row r="407438" spans="27:27">
      <c r="AA407438" s="613"/>
    </row>
    <row r="407439" spans="27:27">
      <c r="AA407439" s="613"/>
    </row>
    <row r="407584" spans="27:27">
      <c r="AA407584" s="613"/>
    </row>
    <row r="407585" spans="27:27">
      <c r="AA407585" s="613"/>
    </row>
    <row r="407730" spans="27:27">
      <c r="AA407730" s="613"/>
    </row>
    <row r="407731" spans="27:27">
      <c r="AA407731" s="613"/>
    </row>
    <row r="407876" spans="27:27">
      <c r="AA407876" s="613"/>
    </row>
    <row r="407877" spans="27:27">
      <c r="AA407877" s="613"/>
    </row>
    <row r="408022" spans="27:27">
      <c r="AA408022" s="613"/>
    </row>
    <row r="408023" spans="27:27">
      <c r="AA408023" s="613"/>
    </row>
    <row r="408168" spans="27:27">
      <c r="AA408168" s="613"/>
    </row>
    <row r="408169" spans="27:27">
      <c r="AA408169" s="613"/>
    </row>
    <row r="408314" spans="27:27">
      <c r="AA408314" s="613"/>
    </row>
    <row r="408315" spans="27:27">
      <c r="AA408315" s="613"/>
    </row>
    <row r="408460" spans="27:27">
      <c r="AA408460" s="613"/>
    </row>
    <row r="408461" spans="27:27">
      <c r="AA408461" s="613"/>
    </row>
    <row r="408606" spans="27:27">
      <c r="AA408606" s="613"/>
    </row>
    <row r="408607" spans="27:27">
      <c r="AA408607" s="613"/>
    </row>
    <row r="408752" spans="27:27">
      <c r="AA408752" s="613"/>
    </row>
    <row r="408753" spans="27:27">
      <c r="AA408753" s="613"/>
    </row>
    <row r="408898" spans="27:27">
      <c r="AA408898" s="613"/>
    </row>
    <row r="408899" spans="27:27">
      <c r="AA408899" s="613"/>
    </row>
    <row r="409044" spans="27:27">
      <c r="AA409044" s="613"/>
    </row>
    <row r="409045" spans="27:27">
      <c r="AA409045" s="613"/>
    </row>
    <row r="409190" spans="27:27">
      <c r="AA409190" s="613"/>
    </row>
    <row r="409191" spans="27:27">
      <c r="AA409191" s="613"/>
    </row>
    <row r="409336" spans="27:27">
      <c r="AA409336" s="613"/>
    </row>
    <row r="409337" spans="27:27">
      <c r="AA409337" s="613"/>
    </row>
    <row r="409482" spans="27:27">
      <c r="AA409482" s="613"/>
    </row>
    <row r="409483" spans="27:27">
      <c r="AA409483" s="613"/>
    </row>
    <row r="409628" spans="27:27">
      <c r="AA409628" s="613"/>
    </row>
    <row r="409629" spans="27:27">
      <c r="AA409629" s="613"/>
    </row>
    <row r="409774" spans="27:27">
      <c r="AA409774" s="613"/>
    </row>
    <row r="409775" spans="27:27">
      <c r="AA409775" s="613"/>
    </row>
    <row r="409920" spans="27:27">
      <c r="AA409920" s="613"/>
    </row>
    <row r="409921" spans="27:27">
      <c r="AA409921" s="613"/>
    </row>
    <row r="410066" spans="27:27">
      <c r="AA410066" s="613"/>
    </row>
    <row r="410067" spans="27:27">
      <c r="AA410067" s="613"/>
    </row>
    <row r="410212" spans="27:27">
      <c r="AA410212" s="613"/>
    </row>
    <row r="410213" spans="27:27">
      <c r="AA410213" s="613"/>
    </row>
    <row r="410358" spans="27:27">
      <c r="AA410358" s="613"/>
    </row>
    <row r="410359" spans="27:27">
      <c r="AA410359" s="613"/>
    </row>
    <row r="410504" spans="27:27">
      <c r="AA410504" s="613"/>
    </row>
    <row r="410505" spans="27:27">
      <c r="AA410505" s="613"/>
    </row>
    <row r="410650" spans="27:27">
      <c r="AA410650" s="613"/>
    </row>
    <row r="410651" spans="27:27">
      <c r="AA410651" s="613"/>
    </row>
    <row r="410796" spans="27:27">
      <c r="AA410796" s="613"/>
    </row>
    <row r="410797" spans="27:27">
      <c r="AA410797" s="613"/>
    </row>
    <row r="410942" spans="27:27">
      <c r="AA410942" s="613"/>
    </row>
    <row r="410943" spans="27:27">
      <c r="AA410943" s="613"/>
    </row>
    <row r="411088" spans="27:27">
      <c r="AA411088" s="613"/>
    </row>
    <row r="411089" spans="27:27">
      <c r="AA411089" s="613"/>
    </row>
    <row r="411234" spans="27:27">
      <c r="AA411234" s="613"/>
    </row>
    <row r="411235" spans="27:27">
      <c r="AA411235" s="613"/>
    </row>
    <row r="411380" spans="27:27">
      <c r="AA411380" s="613"/>
    </row>
    <row r="411381" spans="27:27">
      <c r="AA411381" s="613"/>
    </row>
    <row r="411526" spans="27:27">
      <c r="AA411526" s="613"/>
    </row>
    <row r="411527" spans="27:27">
      <c r="AA411527" s="613"/>
    </row>
    <row r="411672" spans="27:27">
      <c r="AA411672" s="613"/>
    </row>
    <row r="411673" spans="27:27">
      <c r="AA411673" s="613"/>
    </row>
    <row r="411818" spans="27:27">
      <c r="AA411818" s="613"/>
    </row>
    <row r="411819" spans="27:27">
      <c r="AA411819" s="613"/>
    </row>
    <row r="411964" spans="27:27">
      <c r="AA411964" s="613"/>
    </row>
    <row r="411965" spans="27:27">
      <c r="AA411965" s="613"/>
    </row>
    <row r="412110" spans="27:27">
      <c r="AA412110" s="613"/>
    </row>
    <row r="412111" spans="27:27">
      <c r="AA412111" s="613"/>
    </row>
    <row r="412256" spans="27:27">
      <c r="AA412256" s="613"/>
    </row>
    <row r="412257" spans="27:27">
      <c r="AA412257" s="613"/>
    </row>
    <row r="412402" spans="27:27">
      <c r="AA412402" s="613"/>
    </row>
    <row r="412403" spans="27:27">
      <c r="AA412403" s="613"/>
    </row>
    <row r="412548" spans="27:27">
      <c r="AA412548" s="613"/>
    </row>
    <row r="412549" spans="27:27">
      <c r="AA412549" s="613"/>
    </row>
    <row r="412694" spans="27:27">
      <c r="AA412694" s="613"/>
    </row>
    <row r="412695" spans="27:27">
      <c r="AA412695" s="613"/>
    </row>
    <row r="412840" spans="27:27">
      <c r="AA412840" s="613"/>
    </row>
    <row r="412841" spans="27:27">
      <c r="AA412841" s="613"/>
    </row>
    <row r="412986" spans="27:27">
      <c r="AA412986" s="613"/>
    </row>
    <row r="412987" spans="27:27">
      <c r="AA412987" s="613"/>
    </row>
    <row r="413132" spans="27:27">
      <c r="AA413132" s="613"/>
    </row>
    <row r="413133" spans="27:27">
      <c r="AA413133" s="613"/>
    </row>
    <row r="413278" spans="27:27">
      <c r="AA413278" s="613"/>
    </row>
    <row r="413279" spans="27:27">
      <c r="AA413279" s="613"/>
    </row>
    <row r="413424" spans="27:27">
      <c r="AA413424" s="613"/>
    </row>
    <row r="413425" spans="27:27">
      <c r="AA413425" s="613"/>
    </row>
    <row r="413570" spans="27:27">
      <c r="AA413570" s="613"/>
    </row>
    <row r="413571" spans="27:27">
      <c r="AA413571" s="613"/>
    </row>
    <row r="413716" spans="27:27">
      <c r="AA413716" s="613"/>
    </row>
    <row r="413717" spans="27:27">
      <c r="AA413717" s="613"/>
    </row>
    <row r="413862" spans="27:27">
      <c r="AA413862" s="613"/>
    </row>
    <row r="413863" spans="27:27">
      <c r="AA413863" s="613"/>
    </row>
    <row r="414008" spans="27:27">
      <c r="AA414008" s="613"/>
    </row>
    <row r="414009" spans="27:27">
      <c r="AA414009" s="613"/>
    </row>
    <row r="414154" spans="27:27">
      <c r="AA414154" s="613"/>
    </row>
    <row r="414155" spans="27:27">
      <c r="AA414155" s="613"/>
    </row>
    <row r="414300" spans="27:27">
      <c r="AA414300" s="613"/>
    </row>
    <row r="414301" spans="27:27">
      <c r="AA414301" s="613"/>
    </row>
    <row r="414446" spans="27:27">
      <c r="AA414446" s="613"/>
    </row>
    <row r="414447" spans="27:27">
      <c r="AA414447" s="613"/>
    </row>
    <row r="414592" spans="27:27">
      <c r="AA414592" s="613"/>
    </row>
    <row r="414593" spans="27:27">
      <c r="AA414593" s="613"/>
    </row>
    <row r="414738" spans="27:27">
      <c r="AA414738" s="613"/>
    </row>
    <row r="414739" spans="27:27">
      <c r="AA414739" s="613"/>
    </row>
    <row r="414884" spans="27:27">
      <c r="AA414884" s="613"/>
    </row>
    <row r="414885" spans="27:27">
      <c r="AA414885" s="613"/>
    </row>
    <row r="415030" spans="27:27">
      <c r="AA415030" s="613"/>
    </row>
    <row r="415031" spans="27:27">
      <c r="AA415031" s="613"/>
    </row>
    <row r="415176" spans="27:27">
      <c r="AA415176" s="613"/>
    </row>
    <row r="415177" spans="27:27">
      <c r="AA415177" s="613"/>
    </row>
    <row r="415322" spans="27:27">
      <c r="AA415322" s="613"/>
    </row>
    <row r="415323" spans="27:27">
      <c r="AA415323" s="613"/>
    </row>
    <row r="415468" spans="27:27">
      <c r="AA415468" s="613"/>
    </row>
    <row r="415469" spans="27:27">
      <c r="AA415469" s="613"/>
    </row>
    <row r="415614" spans="27:27">
      <c r="AA415614" s="613"/>
    </row>
    <row r="415615" spans="27:27">
      <c r="AA415615" s="613"/>
    </row>
    <row r="415760" spans="27:27">
      <c r="AA415760" s="613"/>
    </row>
    <row r="415761" spans="27:27">
      <c r="AA415761" s="613"/>
    </row>
    <row r="415906" spans="27:27">
      <c r="AA415906" s="613"/>
    </row>
    <row r="415907" spans="27:27">
      <c r="AA415907" s="613"/>
    </row>
    <row r="416052" spans="27:27">
      <c r="AA416052" s="613"/>
    </row>
    <row r="416053" spans="27:27">
      <c r="AA416053" s="613"/>
    </row>
    <row r="416198" spans="27:27">
      <c r="AA416198" s="613"/>
    </row>
    <row r="416199" spans="27:27">
      <c r="AA416199" s="613"/>
    </row>
    <row r="416344" spans="27:27">
      <c r="AA416344" s="613"/>
    </row>
    <row r="416345" spans="27:27">
      <c r="AA416345" s="613"/>
    </row>
    <row r="416490" spans="27:27">
      <c r="AA416490" s="613"/>
    </row>
    <row r="416491" spans="27:27">
      <c r="AA416491" s="613"/>
    </row>
    <row r="416636" spans="27:27">
      <c r="AA416636" s="613"/>
    </row>
    <row r="416637" spans="27:27">
      <c r="AA416637" s="613"/>
    </row>
    <row r="416782" spans="27:27">
      <c r="AA416782" s="613"/>
    </row>
    <row r="416783" spans="27:27">
      <c r="AA416783" s="613"/>
    </row>
    <row r="416928" spans="27:27">
      <c r="AA416928" s="613"/>
    </row>
    <row r="416929" spans="27:27">
      <c r="AA416929" s="613"/>
    </row>
    <row r="417074" spans="27:27">
      <c r="AA417074" s="613"/>
    </row>
    <row r="417075" spans="27:27">
      <c r="AA417075" s="613"/>
    </row>
    <row r="417220" spans="27:27">
      <c r="AA417220" s="613"/>
    </row>
    <row r="417221" spans="27:27">
      <c r="AA417221" s="613"/>
    </row>
    <row r="417366" spans="27:27">
      <c r="AA417366" s="613"/>
    </row>
    <row r="417367" spans="27:27">
      <c r="AA417367" s="613"/>
    </row>
    <row r="417512" spans="27:27">
      <c r="AA417512" s="613"/>
    </row>
    <row r="417513" spans="27:27">
      <c r="AA417513" s="613"/>
    </row>
    <row r="417658" spans="27:27">
      <c r="AA417658" s="613"/>
    </row>
    <row r="417659" spans="27:27">
      <c r="AA417659" s="613"/>
    </row>
    <row r="417804" spans="27:27">
      <c r="AA417804" s="613"/>
    </row>
    <row r="417805" spans="27:27">
      <c r="AA417805" s="613"/>
    </row>
    <row r="417950" spans="27:27">
      <c r="AA417950" s="613"/>
    </row>
    <row r="417951" spans="27:27">
      <c r="AA417951" s="613"/>
    </row>
    <row r="418096" spans="27:27">
      <c r="AA418096" s="613"/>
    </row>
    <row r="418097" spans="27:27">
      <c r="AA418097" s="613"/>
    </row>
    <row r="418242" spans="27:27">
      <c r="AA418242" s="613"/>
    </row>
    <row r="418243" spans="27:27">
      <c r="AA418243" s="613"/>
    </row>
    <row r="418388" spans="27:27">
      <c r="AA418388" s="613"/>
    </row>
    <row r="418389" spans="27:27">
      <c r="AA418389" s="613"/>
    </row>
    <row r="418534" spans="27:27">
      <c r="AA418534" s="613"/>
    </row>
    <row r="418535" spans="27:27">
      <c r="AA418535" s="613"/>
    </row>
    <row r="418680" spans="27:27">
      <c r="AA418680" s="613"/>
    </row>
    <row r="418681" spans="27:27">
      <c r="AA418681" s="613"/>
    </row>
    <row r="418826" spans="27:27">
      <c r="AA418826" s="613"/>
    </row>
    <row r="418827" spans="27:27">
      <c r="AA418827" s="613"/>
    </row>
    <row r="418972" spans="27:27">
      <c r="AA418972" s="613"/>
    </row>
    <row r="418973" spans="27:27">
      <c r="AA418973" s="613"/>
    </row>
    <row r="419118" spans="27:27">
      <c r="AA419118" s="613"/>
    </row>
    <row r="419119" spans="27:27">
      <c r="AA419119" s="613"/>
    </row>
    <row r="419264" spans="27:27">
      <c r="AA419264" s="613"/>
    </row>
    <row r="419265" spans="27:27">
      <c r="AA419265" s="613"/>
    </row>
    <row r="419410" spans="27:27">
      <c r="AA419410" s="613"/>
    </row>
    <row r="419411" spans="27:27">
      <c r="AA419411" s="613"/>
    </row>
    <row r="419556" spans="27:27">
      <c r="AA419556" s="613"/>
    </row>
    <row r="419557" spans="27:27">
      <c r="AA419557" s="613"/>
    </row>
    <row r="419702" spans="27:27">
      <c r="AA419702" s="613"/>
    </row>
    <row r="419703" spans="27:27">
      <c r="AA419703" s="613"/>
    </row>
    <row r="419848" spans="27:27">
      <c r="AA419848" s="613"/>
    </row>
    <row r="419849" spans="27:27">
      <c r="AA419849" s="613"/>
    </row>
    <row r="419994" spans="27:27">
      <c r="AA419994" s="613"/>
    </row>
    <row r="419995" spans="27:27">
      <c r="AA419995" s="613"/>
    </row>
    <row r="420140" spans="27:27">
      <c r="AA420140" s="613"/>
    </row>
    <row r="420141" spans="27:27">
      <c r="AA420141" s="613"/>
    </row>
    <row r="420286" spans="27:27">
      <c r="AA420286" s="613"/>
    </row>
    <row r="420287" spans="27:27">
      <c r="AA420287" s="613"/>
    </row>
    <row r="420432" spans="27:27">
      <c r="AA420432" s="613"/>
    </row>
    <row r="420433" spans="27:27">
      <c r="AA420433" s="613"/>
    </row>
    <row r="420578" spans="27:27">
      <c r="AA420578" s="613"/>
    </row>
    <row r="420579" spans="27:27">
      <c r="AA420579" s="613"/>
    </row>
    <row r="420724" spans="27:27">
      <c r="AA420724" s="613"/>
    </row>
    <row r="420725" spans="27:27">
      <c r="AA420725" s="613"/>
    </row>
    <row r="420870" spans="27:27">
      <c r="AA420870" s="613"/>
    </row>
    <row r="420871" spans="27:27">
      <c r="AA420871" s="613"/>
    </row>
    <row r="421016" spans="27:27">
      <c r="AA421016" s="613"/>
    </row>
    <row r="421017" spans="27:27">
      <c r="AA421017" s="613"/>
    </row>
    <row r="421162" spans="27:27">
      <c r="AA421162" s="613"/>
    </row>
    <row r="421163" spans="27:27">
      <c r="AA421163" s="613"/>
    </row>
    <row r="421308" spans="27:27">
      <c r="AA421308" s="613"/>
    </row>
    <row r="421309" spans="27:27">
      <c r="AA421309" s="613"/>
    </row>
    <row r="421454" spans="27:27">
      <c r="AA421454" s="613"/>
    </row>
    <row r="421455" spans="27:27">
      <c r="AA421455" s="613"/>
    </row>
    <row r="421600" spans="27:27">
      <c r="AA421600" s="613"/>
    </row>
    <row r="421601" spans="27:27">
      <c r="AA421601" s="613"/>
    </row>
    <row r="421746" spans="27:27">
      <c r="AA421746" s="613"/>
    </row>
    <row r="421747" spans="27:27">
      <c r="AA421747" s="613"/>
    </row>
    <row r="421892" spans="27:27">
      <c r="AA421892" s="613"/>
    </row>
    <row r="421893" spans="27:27">
      <c r="AA421893" s="613"/>
    </row>
    <row r="422038" spans="27:27">
      <c r="AA422038" s="613"/>
    </row>
    <row r="422039" spans="27:27">
      <c r="AA422039" s="613"/>
    </row>
    <row r="422184" spans="27:27">
      <c r="AA422184" s="613"/>
    </row>
    <row r="422185" spans="27:27">
      <c r="AA422185" s="613"/>
    </row>
    <row r="422330" spans="27:27">
      <c r="AA422330" s="613"/>
    </row>
    <row r="422331" spans="27:27">
      <c r="AA422331" s="613"/>
    </row>
    <row r="422476" spans="27:27">
      <c r="AA422476" s="613"/>
    </row>
    <row r="422477" spans="27:27">
      <c r="AA422477" s="613"/>
    </row>
    <row r="422622" spans="27:27">
      <c r="AA422622" s="613"/>
    </row>
    <row r="422623" spans="27:27">
      <c r="AA422623" s="613"/>
    </row>
    <row r="422768" spans="27:27">
      <c r="AA422768" s="613"/>
    </row>
    <row r="422769" spans="27:27">
      <c r="AA422769" s="613"/>
    </row>
    <row r="422914" spans="27:27">
      <c r="AA422914" s="613"/>
    </row>
    <row r="422915" spans="27:27">
      <c r="AA422915" s="613"/>
    </row>
    <row r="423060" spans="27:27">
      <c r="AA423060" s="613"/>
    </row>
    <row r="423061" spans="27:27">
      <c r="AA423061" s="613"/>
    </row>
    <row r="423206" spans="27:27">
      <c r="AA423206" s="613"/>
    </row>
    <row r="423207" spans="27:27">
      <c r="AA423207" s="613"/>
    </row>
    <row r="423352" spans="27:27">
      <c r="AA423352" s="613"/>
    </row>
    <row r="423353" spans="27:27">
      <c r="AA423353" s="613"/>
    </row>
    <row r="423498" spans="27:27">
      <c r="AA423498" s="613"/>
    </row>
    <row r="423499" spans="27:27">
      <c r="AA423499" s="613"/>
    </row>
    <row r="423644" spans="27:27">
      <c r="AA423644" s="613"/>
    </row>
    <row r="423645" spans="27:27">
      <c r="AA423645" s="613"/>
    </row>
    <row r="423790" spans="27:27">
      <c r="AA423790" s="613"/>
    </row>
    <row r="423791" spans="27:27">
      <c r="AA423791" s="613"/>
    </row>
    <row r="423936" spans="27:27">
      <c r="AA423936" s="613"/>
    </row>
    <row r="423937" spans="27:27">
      <c r="AA423937" s="613"/>
    </row>
    <row r="424082" spans="27:27">
      <c r="AA424082" s="613"/>
    </row>
    <row r="424083" spans="27:27">
      <c r="AA424083" s="613"/>
    </row>
    <row r="424228" spans="27:27">
      <c r="AA424228" s="613"/>
    </row>
    <row r="424229" spans="27:27">
      <c r="AA424229" s="613"/>
    </row>
    <row r="424374" spans="27:27">
      <c r="AA424374" s="613"/>
    </row>
    <row r="424375" spans="27:27">
      <c r="AA424375" s="613"/>
    </row>
    <row r="424520" spans="27:27">
      <c r="AA424520" s="613"/>
    </row>
    <row r="424521" spans="27:27">
      <c r="AA424521" s="613"/>
    </row>
    <row r="424666" spans="27:27">
      <c r="AA424666" s="613"/>
    </row>
    <row r="424667" spans="27:27">
      <c r="AA424667" s="613"/>
    </row>
    <row r="424812" spans="27:27">
      <c r="AA424812" s="613"/>
    </row>
    <row r="424813" spans="27:27">
      <c r="AA424813" s="613"/>
    </row>
    <row r="424958" spans="27:27">
      <c r="AA424958" s="613"/>
    </row>
    <row r="424959" spans="27:27">
      <c r="AA424959" s="613"/>
    </row>
    <row r="425104" spans="27:27">
      <c r="AA425104" s="613"/>
    </row>
    <row r="425105" spans="27:27">
      <c r="AA425105" s="613"/>
    </row>
    <row r="425250" spans="27:27">
      <c r="AA425250" s="613"/>
    </row>
    <row r="425251" spans="27:27">
      <c r="AA425251" s="613"/>
    </row>
    <row r="425396" spans="27:27">
      <c r="AA425396" s="613"/>
    </row>
    <row r="425397" spans="27:27">
      <c r="AA425397" s="613"/>
    </row>
    <row r="425542" spans="27:27">
      <c r="AA425542" s="613"/>
    </row>
    <row r="425543" spans="27:27">
      <c r="AA425543" s="613"/>
    </row>
    <row r="425688" spans="27:27">
      <c r="AA425688" s="613"/>
    </row>
    <row r="425689" spans="27:27">
      <c r="AA425689" s="613"/>
    </row>
    <row r="425834" spans="27:27">
      <c r="AA425834" s="613"/>
    </row>
    <row r="425835" spans="27:27">
      <c r="AA425835" s="613"/>
    </row>
    <row r="425980" spans="27:27">
      <c r="AA425980" s="613"/>
    </row>
    <row r="425981" spans="27:27">
      <c r="AA425981" s="613"/>
    </row>
    <row r="426126" spans="27:27">
      <c r="AA426126" s="613"/>
    </row>
    <row r="426127" spans="27:27">
      <c r="AA426127" s="613"/>
    </row>
    <row r="426272" spans="27:27">
      <c r="AA426272" s="613"/>
    </row>
    <row r="426273" spans="27:27">
      <c r="AA426273" s="613"/>
    </row>
    <row r="426418" spans="27:27">
      <c r="AA426418" s="613"/>
    </row>
    <row r="426419" spans="27:27">
      <c r="AA426419" s="613"/>
    </row>
    <row r="426564" spans="27:27">
      <c r="AA426564" s="613"/>
    </row>
    <row r="426565" spans="27:27">
      <c r="AA426565" s="613"/>
    </row>
    <row r="426710" spans="27:27">
      <c r="AA426710" s="613"/>
    </row>
    <row r="426711" spans="27:27">
      <c r="AA426711" s="613"/>
    </row>
    <row r="426856" spans="27:27">
      <c r="AA426856" s="613"/>
    </row>
    <row r="426857" spans="27:27">
      <c r="AA426857" s="613"/>
    </row>
    <row r="427002" spans="27:27">
      <c r="AA427002" s="613"/>
    </row>
    <row r="427003" spans="27:27">
      <c r="AA427003" s="613"/>
    </row>
    <row r="427148" spans="27:27">
      <c r="AA427148" s="613"/>
    </row>
    <row r="427149" spans="27:27">
      <c r="AA427149" s="613"/>
    </row>
    <row r="427294" spans="27:27">
      <c r="AA427294" s="613"/>
    </row>
    <row r="427295" spans="27:27">
      <c r="AA427295" s="613"/>
    </row>
    <row r="427440" spans="27:27">
      <c r="AA427440" s="613"/>
    </row>
    <row r="427441" spans="27:27">
      <c r="AA427441" s="613"/>
    </row>
    <row r="427586" spans="27:27">
      <c r="AA427586" s="613"/>
    </row>
    <row r="427587" spans="27:27">
      <c r="AA427587" s="613"/>
    </row>
    <row r="427732" spans="27:27">
      <c r="AA427732" s="613"/>
    </row>
    <row r="427733" spans="27:27">
      <c r="AA427733" s="613"/>
    </row>
    <row r="427878" spans="27:27">
      <c r="AA427878" s="613"/>
    </row>
    <row r="427879" spans="27:27">
      <c r="AA427879" s="613"/>
    </row>
    <row r="428024" spans="27:27">
      <c r="AA428024" s="613"/>
    </row>
    <row r="428025" spans="27:27">
      <c r="AA428025" s="613"/>
    </row>
    <row r="428170" spans="27:27">
      <c r="AA428170" s="613"/>
    </row>
    <row r="428171" spans="27:27">
      <c r="AA428171" s="613"/>
    </row>
    <row r="428316" spans="27:27">
      <c r="AA428316" s="613"/>
    </row>
    <row r="428317" spans="27:27">
      <c r="AA428317" s="613"/>
    </row>
    <row r="428462" spans="27:27">
      <c r="AA428462" s="613"/>
    </row>
    <row r="428463" spans="27:27">
      <c r="AA428463" s="613"/>
    </row>
    <row r="428608" spans="27:27">
      <c r="AA428608" s="613"/>
    </row>
    <row r="428609" spans="27:27">
      <c r="AA428609" s="613"/>
    </row>
    <row r="428754" spans="27:27">
      <c r="AA428754" s="613"/>
    </row>
    <row r="428755" spans="27:27">
      <c r="AA428755" s="613"/>
    </row>
    <row r="428900" spans="27:27">
      <c r="AA428900" s="613"/>
    </row>
    <row r="428901" spans="27:27">
      <c r="AA428901" s="613"/>
    </row>
    <row r="429046" spans="27:27">
      <c r="AA429046" s="613"/>
    </row>
    <row r="429047" spans="27:27">
      <c r="AA429047" s="613"/>
    </row>
    <row r="429192" spans="27:27">
      <c r="AA429192" s="613"/>
    </row>
    <row r="429193" spans="27:27">
      <c r="AA429193" s="613"/>
    </row>
    <row r="429338" spans="27:27">
      <c r="AA429338" s="613"/>
    </row>
    <row r="429339" spans="27:27">
      <c r="AA429339" s="613"/>
    </row>
    <row r="429484" spans="27:27">
      <c r="AA429484" s="613"/>
    </row>
    <row r="429485" spans="27:27">
      <c r="AA429485" s="613"/>
    </row>
    <row r="429630" spans="27:27">
      <c r="AA429630" s="613"/>
    </row>
    <row r="429631" spans="27:27">
      <c r="AA429631" s="613"/>
    </row>
    <row r="429776" spans="27:27">
      <c r="AA429776" s="613"/>
    </row>
    <row r="429777" spans="27:27">
      <c r="AA429777" s="613"/>
    </row>
    <row r="429922" spans="27:27">
      <c r="AA429922" s="613"/>
    </row>
    <row r="429923" spans="27:27">
      <c r="AA429923" s="613"/>
    </row>
    <row r="430068" spans="27:27">
      <c r="AA430068" s="613"/>
    </row>
    <row r="430069" spans="27:27">
      <c r="AA430069" s="613"/>
    </row>
    <row r="430214" spans="27:27">
      <c r="AA430214" s="613"/>
    </row>
    <row r="430215" spans="27:27">
      <c r="AA430215" s="613"/>
    </row>
    <row r="430360" spans="27:27">
      <c r="AA430360" s="613"/>
    </row>
    <row r="430361" spans="27:27">
      <c r="AA430361" s="613"/>
    </row>
    <row r="430506" spans="27:27">
      <c r="AA430506" s="613"/>
    </row>
    <row r="430507" spans="27:27">
      <c r="AA430507" s="613"/>
    </row>
    <row r="430652" spans="27:27">
      <c r="AA430652" s="613"/>
    </row>
    <row r="430653" spans="27:27">
      <c r="AA430653" s="613"/>
    </row>
    <row r="430798" spans="27:27">
      <c r="AA430798" s="613"/>
    </row>
    <row r="430799" spans="27:27">
      <c r="AA430799" s="613"/>
    </row>
    <row r="430944" spans="27:27">
      <c r="AA430944" s="613"/>
    </row>
    <row r="430945" spans="27:27">
      <c r="AA430945" s="613"/>
    </row>
    <row r="431090" spans="27:27">
      <c r="AA431090" s="613"/>
    </row>
    <row r="431091" spans="27:27">
      <c r="AA431091" s="613"/>
    </row>
    <row r="431236" spans="27:27">
      <c r="AA431236" s="613"/>
    </row>
    <row r="431237" spans="27:27">
      <c r="AA431237" s="613"/>
    </row>
    <row r="431382" spans="27:27">
      <c r="AA431382" s="613"/>
    </row>
    <row r="431383" spans="27:27">
      <c r="AA431383" s="613"/>
    </row>
    <row r="431528" spans="27:27">
      <c r="AA431528" s="613"/>
    </row>
    <row r="431529" spans="27:27">
      <c r="AA431529" s="613"/>
    </row>
    <row r="431674" spans="27:27">
      <c r="AA431674" s="613"/>
    </row>
    <row r="431675" spans="27:27">
      <c r="AA431675" s="613"/>
    </row>
    <row r="431820" spans="27:27">
      <c r="AA431820" s="613"/>
    </row>
    <row r="431821" spans="27:27">
      <c r="AA431821" s="613"/>
    </row>
    <row r="431966" spans="27:27">
      <c r="AA431966" s="613"/>
    </row>
    <row r="431967" spans="27:27">
      <c r="AA431967" s="613"/>
    </row>
    <row r="432112" spans="27:27">
      <c r="AA432112" s="613"/>
    </row>
    <row r="432113" spans="27:27">
      <c r="AA432113" s="613"/>
    </row>
    <row r="432258" spans="27:27">
      <c r="AA432258" s="613"/>
    </row>
    <row r="432259" spans="27:27">
      <c r="AA432259" s="613"/>
    </row>
    <row r="432404" spans="27:27">
      <c r="AA432404" s="613"/>
    </row>
    <row r="432405" spans="27:27">
      <c r="AA432405" s="613"/>
    </row>
    <row r="432550" spans="27:27">
      <c r="AA432550" s="613"/>
    </row>
    <row r="432551" spans="27:27">
      <c r="AA432551" s="613"/>
    </row>
    <row r="432696" spans="27:27">
      <c r="AA432696" s="613"/>
    </row>
    <row r="432697" spans="27:27">
      <c r="AA432697" s="613"/>
    </row>
    <row r="432842" spans="27:27">
      <c r="AA432842" s="613"/>
    </row>
    <row r="432843" spans="27:27">
      <c r="AA432843" s="613"/>
    </row>
    <row r="432988" spans="27:27">
      <c r="AA432988" s="613"/>
    </row>
    <row r="432989" spans="27:27">
      <c r="AA432989" s="613"/>
    </row>
    <row r="433134" spans="27:27">
      <c r="AA433134" s="613"/>
    </row>
    <row r="433135" spans="27:27">
      <c r="AA433135" s="613"/>
    </row>
    <row r="433280" spans="27:27">
      <c r="AA433280" s="613"/>
    </row>
    <row r="433281" spans="27:27">
      <c r="AA433281" s="613"/>
    </row>
    <row r="433426" spans="27:27">
      <c r="AA433426" s="613"/>
    </row>
    <row r="433427" spans="27:27">
      <c r="AA433427" s="613"/>
    </row>
    <row r="433572" spans="27:27">
      <c r="AA433572" s="613"/>
    </row>
    <row r="433573" spans="27:27">
      <c r="AA433573" s="613"/>
    </row>
    <row r="433718" spans="27:27">
      <c r="AA433718" s="613"/>
    </row>
    <row r="433719" spans="27:27">
      <c r="AA433719" s="613"/>
    </row>
    <row r="433864" spans="27:27">
      <c r="AA433864" s="613"/>
    </row>
    <row r="433865" spans="27:27">
      <c r="AA433865" s="613"/>
    </row>
    <row r="434010" spans="27:27">
      <c r="AA434010" s="613"/>
    </row>
    <row r="434011" spans="27:27">
      <c r="AA434011" s="613"/>
    </row>
    <row r="434156" spans="27:27">
      <c r="AA434156" s="613"/>
    </row>
    <row r="434157" spans="27:27">
      <c r="AA434157" s="613"/>
    </row>
    <row r="434302" spans="27:27">
      <c r="AA434302" s="613"/>
    </row>
    <row r="434303" spans="27:27">
      <c r="AA434303" s="613"/>
    </row>
    <row r="434448" spans="27:27">
      <c r="AA434448" s="613"/>
    </row>
    <row r="434449" spans="27:27">
      <c r="AA434449" s="613"/>
    </row>
    <row r="434594" spans="27:27">
      <c r="AA434594" s="613"/>
    </row>
    <row r="434595" spans="27:27">
      <c r="AA434595" s="613"/>
    </row>
    <row r="434740" spans="27:27">
      <c r="AA434740" s="613"/>
    </row>
    <row r="434741" spans="27:27">
      <c r="AA434741" s="613"/>
    </row>
    <row r="434886" spans="27:27">
      <c r="AA434886" s="613"/>
    </row>
    <row r="434887" spans="27:27">
      <c r="AA434887" s="613"/>
    </row>
    <row r="435032" spans="27:27">
      <c r="AA435032" s="613"/>
    </row>
    <row r="435033" spans="27:27">
      <c r="AA435033" s="613"/>
    </row>
    <row r="435178" spans="27:27">
      <c r="AA435178" s="613"/>
    </row>
    <row r="435179" spans="27:27">
      <c r="AA435179" s="613"/>
    </row>
    <row r="435324" spans="27:27">
      <c r="AA435324" s="613"/>
    </row>
    <row r="435325" spans="27:27">
      <c r="AA435325" s="613"/>
    </row>
    <row r="435470" spans="27:27">
      <c r="AA435470" s="613"/>
    </row>
    <row r="435471" spans="27:27">
      <c r="AA435471" s="613"/>
    </row>
    <row r="435616" spans="27:27">
      <c r="AA435616" s="613"/>
    </row>
    <row r="435617" spans="27:27">
      <c r="AA435617" s="613"/>
    </row>
    <row r="435762" spans="27:27">
      <c r="AA435762" s="613"/>
    </row>
    <row r="435763" spans="27:27">
      <c r="AA435763" s="613"/>
    </row>
    <row r="435908" spans="27:27">
      <c r="AA435908" s="613"/>
    </row>
    <row r="435909" spans="27:27">
      <c r="AA435909" s="613"/>
    </row>
    <row r="436054" spans="27:27">
      <c r="AA436054" s="613"/>
    </row>
    <row r="436055" spans="27:27">
      <c r="AA436055" s="613"/>
    </row>
    <row r="436200" spans="27:27">
      <c r="AA436200" s="613"/>
    </row>
    <row r="436201" spans="27:27">
      <c r="AA436201" s="613"/>
    </row>
    <row r="436346" spans="27:27">
      <c r="AA436346" s="613"/>
    </row>
    <row r="436347" spans="27:27">
      <c r="AA436347" s="613"/>
    </row>
    <row r="436492" spans="27:27">
      <c r="AA436492" s="613"/>
    </row>
    <row r="436493" spans="27:27">
      <c r="AA436493" s="613"/>
    </row>
    <row r="436638" spans="27:27">
      <c r="AA436638" s="613"/>
    </row>
    <row r="436639" spans="27:27">
      <c r="AA436639" s="613"/>
    </row>
    <row r="436784" spans="27:27">
      <c r="AA436784" s="613"/>
    </row>
    <row r="436785" spans="27:27">
      <c r="AA436785" s="613"/>
    </row>
    <row r="436930" spans="27:27">
      <c r="AA436930" s="613"/>
    </row>
    <row r="436931" spans="27:27">
      <c r="AA436931" s="613"/>
    </row>
    <row r="437076" spans="27:27">
      <c r="AA437076" s="613"/>
    </row>
    <row r="437077" spans="27:27">
      <c r="AA437077" s="613"/>
    </row>
    <row r="437222" spans="27:27">
      <c r="AA437222" s="613"/>
    </row>
    <row r="437223" spans="27:27">
      <c r="AA437223" s="613"/>
    </row>
    <row r="437368" spans="27:27">
      <c r="AA437368" s="613"/>
    </row>
    <row r="437369" spans="27:27">
      <c r="AA437369" s="613"/>
    </row>
    <row r="437514" spans="27:27">
      <c r="AA437514" s="613"/>
    </row>
    <row r="437515" spans="27:27">
      <c r="AA437515" s="613"/>
    </row>
    <row r="437660" spans="27:27">
      <c r="AA437660" s="613"/>
    </row>
    <row r="437661" spans="27:27">
      <c r="AA437661" s="613"/>
    </row>
    <row r="437806" spans="27:27">
      <c r="AA437806" s="613"/>
    </row>
    <row r="437807" spans="27:27">
      <c r="AA437807" s="613"/>
    </row>
    <row r="437952" spans="27:27">
      <c r="AA437952" s="613"/>
    </row>
    <row r="437953" spans="27:27">
      <c r="AA437953" s="613"/>
    </row>
    <row r="438098" spans="27:27">
      <c r="AA438098" s="613"/>
    </row>
    <row r="438099" spans="27:27">
      <c r="AA438099" s="613"/>
    </row>
    <row r="438244" spans="27:27">
      <c r="AA438244" s="613"/>
    </row>
    <row r="438245" spans="27:27">
      <c r="AA438245" s="613"/>
    </row>
    <row r="438390" spans="27:27">
      <c r="AA438390" s="613"/>
    </row>
    <row r="438391" spans="27:27">
      <c r="AA438391" s="613"/>
    </row>
    <row r="438536" spans="27:27">
      <c r="AA438536" s="613"/>
    </row>
    <row r="438537" spans="27:27">
      <c r="AA438537" s="613"/>
    </row>
    <row r="438682" spans="27:27">
      <c r="AA438682" s="613"/>
    </row>
    <row r="438683" spans="27:27">
      <c r="AA438683" s="613"/>
    </row>
    <row r="438828" spans="27:27">
      <c r="AA438828" s="613"/>
    </row>
    <row r="438829" spans="27:27">
      <c r="AA438829" s="613"/>
    </row>
    <row r="438974" spans="27:27">
      <c r="AA438974" s="613"/>
    </row>
    <row r="438975" spans="27:27">
      <c r="AA438975" s="613"/>
    </row>
    <row r="439120" spans="27:27">
      <c r="AA439120" s="613"/>
    </row>
    <row r="439121" spans="27:27">
      <c r="AA439121" s="613"/>
    </row>
    <row r="439266" spans="27:27">
      <c r="AA439266" s="613"/>
    </row>
    <row r="439267" spans="27:27">
      <c r="AA439267" s="613"/>
    </row>
    <row r="439412" spans="27:27">
      <c r="AA439412" s="613"/>
    </row>
    <row r="439413" spans="27:27">
      <c r="AA439413" s="613"/>
    </row>
    <row r="439558" spans="27:27">
      <c r="AA439558" s="613"/>
    </row>
    <row r="439559" spans="27:27">
      <c r="AA439559" s="613"/>
    </row>
    <row r="439704" spans="27:27">
      <c r="AA439704" s="613"/>
    </row>
    <row r="439705" spans="27:27">
      <c r="AA439705" s="613"/>
    </row>
    <row r="439850" spans="27:27">
      <c r="AA439850" s="613"/>
    </row>
    <row r="439851" spans="27:27">
      <c r="AA439851" s="613"/>
    </row>
    <row r="439996" spans="27:27">
      <c r="AA439996" s="613"/>
    </row>
    <row r="439997" spans="27:27">
      <c r="AA439997" s="613"/>
    </row>
    <row r="440142" spans="27:27">
      <c r="AA440142" s="613"/>
    </row>
    <row r="440143" spans="27:27">
      <c r="AA440143" s="613"/>
    </row>
    <row r="440288" spans="27:27">
      <c r="AA440288" s="613"/>
    </row>
    <row r="440289" spans="27:27">
      <c r="AA440289" s="613"/>
    </row>
    <row r="440434" spans="27:27">
      <c r="AA440434" s="613"/>
    </row>
    <row r="440435" spans="27:27">
      <c r="AA440435" s="613"/>
    </row>
    <row r="440580" spans="27:27">
      <c r="AA440580" s="613"/>
    </row>
    <row r="440581" spans="27:27">
      <c r="AA440581" s="613"/>
    </row>
    <row r="440726" spans="27:27">
      <c r="AA440726" s="613"/>
    </row>
    <row r="440727" spans="27:27">
      <c r="AA440727" s="613"/>
    </row>
    <row r="440872" spans="27:27">
      <c r="AA440872" s="613"/>
    </row>
    <row r="440873" spans="27:27">
      <c r="AA440873" s="613"/>
    </row>
    <row r="441018" spans="27:27">
      <c r="AA441018" s="613"/>
    </row>
    <row r="441019" spans="27:27">
      <c r="AA441019" s="613"/>
    </row>
    <row r="441164" spans="27:27">
      <c r="AA441164" s="613"/>
    </row>
    <row r="441165" spans="27:27">
      <c r="AA441165" s="613"/>
    </row>
    <row r="441310" spans="27:27">
      <c r="AA441310" s="613"/>
    </row>
    <row r="441311" spans="27:27">
      <c r="AA441311" s="613"/>
    </row>
    <row r="441456" spans="27:27">
      <c r="AA441456" s="613"/>
    </row>
    <row r="441457" spans="27:27">
      <c r="AA441457" s="613"/>
    </row>
    <row r="441602" spans="27:27">
      <c r="AA441602" s="613"/>
    </row>
    <row r="441603" spans="27:27">
      <c r="AA441603" s="613"/>
    </row>
    <row r="441748" spans="27:27">
      <c r="AA441748" s="613"/>
    </row>
    <row r="441749" spans="27:27">
      <c r="AA441749" s="613"/>
    </row>
    <row r="441894" spans="27:27">
      <c r="AA441894" s="613"/>
    </row>
    <row r="441895" spans="27:27">
      <c r="AA441895" s="613"/>
    </row>
    <row r="442040" spans="27:27">
      <c r="AA442040" s="613"/>
    </row>
    <row r="442041" spans="27:27">
      <c r="AA442041" s="613"/>
    </row>
    <row r="442186" spans="27:27">
      <c r="AA442186" s="613"/>
    </row>
    <row r="442187" spans="27:27">
      <c r="AA442187" s="613"/>
    </row>
    <row r="442332" spans="27:27">
      <c r="AA442332" s="613"/>
    </row>
    <row r="442333" spans="27:27">
      <c r="AA442333" s="613"/>
    </row>
    <row r="442478" spans="27:27">
      <c r="AA442478" s="613"/>
    </row>
    <row r="442479" spans="27:27">
      <c r="AA442479" s="613"/>
    </row>
    <row r="442624" spans="27:27">
      <c r="AA442624" s="613"/>
    </row>
    <row r="442625" spans="27:27">
      <c r="AA442625" s="613"/>
    </row>
    <row r="442770" spans="27:27">
      <c r="AA442770" s="613"/>
    </row>
    <row r="442771" spans="27:27">
      <c r="AA442771" s="613"/>
    </row>
    <row r="442916" spans="27:27">
      <c r="AA442916" s="613"/>
    </row>
    <row r="442917" spans="27:27">
      <c r="AA442917" s="613"/>
    </row>
    <row r="443062" spans="27:27">
      <c r="AA443062" s="613"/>
    </row>
    <row r="443063" spans="27:27">
      <c r="AA443063" s="613"/>
    </row>
    <row r="443208" spans="27:27">
      <c r="AA443208" s="613"/>
    </row>
    <row r="443209" spans="27:27">
      <c r="AA443209" s="613"/>
    </row>
    <row r="443354" spans="27:27">
      <c r="AA443354" s="613"/>
    </row>
    <row r="443355" spans="27:27">
      <c r="AA443355" s="613"/>
    </row>
    <row r="443500" spans="27:27">
      <c r="AA443500" s="613"/>
    </row>
    <row r="443501" spans="27:27">
      <c r="AA443501" s="613"/>
    </row>
    <row r="443646" spans="27:27">
      <c r="AA443646" s="613"/>
    </row>
    <row r="443647" spans="27:27">
      <c r="AA443647" s="613"/>
    </row>
    <row r="443792" spans="27:27">
      <c r="AA443792" s="613"/>
    </row>
    <row r="443793" spans="27:27">
      <c r="AA443793" s="613"/>
    </row>
    <row r="443938" spans="27:27">
      <c r="AA443938" s="613"/>
    </row>
    <row r="443939" spans="27:27">
      <c r="AA443939" s="613"/>
    </row>
    <row r="444084" spans="27:27">
      <c r="AA444084" s="613"/>
    </row>
    <row r="444085" spans="27:27">
      <c r="AA444085" s="613"/>
    </row>
    <row r="444230" spans="27:27">
      <c r="AA444230" s="613"/>
    </row>
    <row r="444231" spans="27:27">
      <c r="AA444231" s="613"/>
    </row>
    <row r="444376" spans="27:27">
      <c r="AA444376" s="613"/>
    </row>
    <row r="444377" spans="27:27">
      <c r="AA444377" s="613"/>
    </row>
    <row r="444522" spans="27:27">
      <c r="AA444522" s="613"/>
    </row>
    <row r="444523" spans="27:27">
      <c r="AA444523" s="613"/>
    </row>
    <row r="444668" spans="27:27">
      <c r="AA444668" s="613"/>
    </row>
    <row r="444669" spans="27:27">
      <c r="AA444669" s="613"/>
    </row>
    <row r="444814" spans="27:27">
      <c r="AA444814" s="613"/>
    </row>
    <row r="444815" spans="27:27">
      <c r="AA444815" s="613"/>
    </row>
    <row r="444960" spans="27:27">
      <c r="AA444960" s="613"/>
    </row>
    <row r="444961" spans="27:27">
      <c r="AA444961" s="613"/>
    </row>
    <row r="445106" spans="27:27">
      <c r="AA445106" s="613"/>
    </row>
    <row r="445107" spans="27:27">
      <c r="AA445107" s="613"/>
    </row>
    <row r="445252" spans="27:27">
      <c r="AA445252" s="613"/>
    </row>
    <row r="445253" spans="27:27">
      <c r="AA445253" s="613"/>
    </row>
    <row r="445398" spans="27:27">
      <c r="AA445398" s="613"/>
    </row>
    <row r="445399" spans="27:27">
      <c r="AA445399" s="613"/>
    </row>
    <row r="445544" spans="27:27">
      <c r="AA445544" s="613"/>
    </row>
    <row r="445545" spans="27:27">
      <c r="AA445545" s="613"/>
    </row>
    <row r="445690" spans="27:27">
      <c r="AA445690" s="613"/>
    </row>
    <row r="445691" spans="27:27">
      <c r="AA445691" s="613"/>
    </row>
    <row r="445836" spans="27:27">
      <c r="AA445836" s="613"/>
    </row>
    <row r="445837" spans="27:27">
      <c r="AA445837" s="613"/>
    </row>
    <row r="445982" spans="27:27">
      <c r="AA445982" s="613"/>
    </row>
    <row r="445983" spans="27:27">
      <c r="AA445983" s="613"/>
    </row>
    <row r="446128" spans="27:27">
      <c r="AA446128" s="613"/>
    </row>
    <row r="446129" spans="27:27">
      <c r="AA446129" s="613"/>
    </row>
    <row r="446274" spans="27:27">
      <c r="AA446274" s="613"/>
    </row>
    <row r="446275" spans="27:27">
      <c r="AA446275" s="613"/>
    </row>
    <row r="446420" spans="27:27">
      <c r="AA446420" s="613"/>
    </row>
    <row r="446421" spans="27:27">
      <c r="AA446421" s="613"/>
    </row>
    <row r="446566" spans="27:27">
      <c r="AA446566" s="613"/>
    </row>
    <row r="446567" spans="27:27">
      <c r="AA446567" s="613"/>
    </row>
    <row r="446712" spans="27:27">
      <c r="AA446712" s="613"/>
    </row>
    <row r="446713" spans="27:27">
      <c r="AA446713" s="613"/>
    </row>
    <row r="446858" spans="27:27">
      <c r="AA446858" s="613"/>
    </row>
    <row r="446859" spans="27:27">
      <c r="AA446859" s="613"/>
    </row>
    <row r="447004" spans="27:27">
      <c r="AA447004" s="613"/>
    </row>
    <row r="447005" spans="27:27">
      <c r="AA447005" s="613"/>
    </row>
    <row r="447150" spans="27:27">
      <c r="AA447150" s="613"/>
    </row>
    <row r="447151" spans="27:27">
      <c r="AA447151" s="613"/>
    </row>
    <row r="447296" spans="27:27">
      <c r="AA447296" s="613"/>
    </row>
    <row r="447297" spans="27:27">
      <c r="AA447297" s="613"/>
    </row>
    <row r="447442" spans="27:27">
      <c r="AA447442" s="613"/>
    </row>
    <row r="447443" spans="27:27">
      <c r="AA447443" s="613"/>
    </row>
    <row r="447588" spans="27:27">
      <c r="AA447588" s="613"/>
    </row>
    <row r="447589" spans="27:27">
      <c r="AA447589" s="613"/>
    </row>
    <row r="447734" spans="27:27">
      <c r="AA447734" s="613"/>
    </row>
    <row r="447735" spans="27:27">
      <c r="AA447735" s="613"/>
    </row>
    <row r="447880" spans="27:27">
      <c r="AA447880" s="613"/>
    </row>
    <row r="447881" spans="27:27">
      <c r="AA447881" s="613"/>
    </row>
    <row r="448026" spans="27:27">
      <c r="AA448026" s="613"/>
    </row>
    <row r="448027" spans="27:27">
      <c r="AA448027" s="613"/>
    </row>
    <row r="448172" spans="27:27">
      <c r="AA448172" s="613"/>
    </row>
    <row r="448173" spans="27:27">
      <c r="AA448173" s="613"/>
    </row>
    <row r="448318" spans="27:27">
      <c r="AA448318" s="613"/>
    </row>
    <row r="448319" spans="27:27">
      <c r="AA448319" s="613"/>
    </row>
    <row r="448464" spans="27:27">
      <c r="AA448464" s="613"/>
    </row>
    <row r="448465" spans="27:27">
      <c r="AA448465" s="613"/>
    </row>
    <row r="448610" spans="27:27">
      <c r="AA448610" s="613"/>
    </row>
    <row r="448611" spans="27:27">
      <c r="AA448611" s="613"/>
    </row>
    <row r="448756" spans="27:27">
      <c r="AA448756" s="613"/>
    </row>
    <row r="448757" spans="27:27">
      <c r="AA448757" s="613"/>
    </row>
    <row r="448902" spans="27:27">
      <c r="AA448902" s="613"/>
    </row>
    <row r="448903" spans="27:27">
      <c r="AA448903" s="613"/>
    </row>
    <row r="449048" spans="27:27">
      <c r="AA449048" s="613"/>
    </row>
    <row r="449049" spans="27:27">
      <c r="AA449049" s="613"/>
    </row>
    <row r="449194" spans="27:27">
      <c r="AA449194" s="613"/>
    </row>
    <row r="449195" spans="27:27">
      <c r="AA449195" s="613"/>
    </row>
    <row r="449340" spans="27:27">
      <c r="AA449340" s="613"/>
    </row>
    <row r="449341" spans="27:27">
      <c r="AA449341" s="613"/>
    </row>
    <row r="449486" spans="27:27">
      <c r="AA449486" s="613"/>
    </row>
    <row r="449487" spans="27:27">
      <c r="AA449487" s="613"/>
    </row>
    <row r="449632" spans="27:27">
      <c r="AA449632" s="613"/>
    </row>
    <row r="449633" spans="27:27">
      <c r="AA449633" s="613"/>
    </row>
    <row r="449778" spans="27:27">
      <c r="AA449778" s="613"/>
    </row>
    <row r="449779" spans="27:27">
      <c r="AA449779" s="613"/>
    </row>
    <row r="449924" spans="27:27">
      <c r="AA449924" s="613"/>
    </row>
    <row r="449925" spans="27:27">
      <c r="AA449925" s="613"/>
    </row>
    <row r="450070" spans="27:27">
      <c r="AA450070" s="613"/>
    </row>
    <row r="450071" spans="27:27">
      <c r="AA450071" s="613"/>
    </row>
    <row r="450216" spans="27:27">
      <c r="AA450216" s="613"/>
    </row>
    <row r="450217" spans="27:27">
      <c r="AA450217" s="613"/>
    </row>
    <row r="450362" spans="27:27">
      <c r="AA450362" s="613"/>
    </row>
    <row r="450363" spans="27:27">
      <c r="AA450363" s="613"/>
    </row>
    <row r="450508" spans="27:27">
      <c r="AA450508" s="613"/>
    </row>
    <row r="450509" spans="27:27">
      <c r="AA450509" s="613"/>
    </row>
    <row r="450654" spans="27:27">
      <c r="AA450654" s="613"/>
    </row>
    <row r="450655" spans="27:27">
      <c r="AA450655" s="613"/>
    </row>
    <row r="450800" spans="27:27">
      <c r="AA450800" s="613"/>
    </row>
    <row r="450801" spans="27:27">
      <c r="AA450801" s="613"/>
    </row>
    <row r="450946" spans="27:27">
      <c r="AA450946" s="613"/>
    </row>
    <row r="450947" spans="27:27">
      <c r="AA450947" s="613"/>
    </row>
    <row r="451092" spans="27:27">
      <c r="AA451092" s="613"/>
    </row>
    <row r="451093" spans="27:27">
      <c r="AA451093" s="613"/>
    </row>
    <row r="451238" spans="27:27">
      <c r="AA451238" s="613"/>
    </row>
    <row r="451239" spans="27:27">
      <c r="AA451239" s="613"/>
    </row>
    <row r="451384" spans="27:27">
      <c r="AA451384" s="613"/>
    </row>
    <row r="451385" spans="27:27">
      <c r="AA451385" s="613"/>
    </row>
    <row r="451530" spans="27:27">
      <c r="AA451530" s="613"/>
    </row>
    <row r="451531" spans="27:27">
      <c r="AA451531" s="613"/>
    </row>
    <row r="451676" spans="27:27">
      <c r="AA451676" s="613"/>
    </row>
    <row r="451677" spans="27:27">
      <c r="AA451677" s="613"/>
    </row>
    <row r="451822" spans="27:27">
      <c r="AA451822" s="613"/>
    </row>
    <row r="451823" spans="27:27">
      <c r="AA451823" s="613"/>
    </row>
    <row r="451968" spans="27:27">
      <c r="AA451968" s="613"/>
    </row>
    <row r="451969" spans="27:27">
      <c r="AA451969" s="613"/>
    </row>
    <row r="452114" spans="27:27">
      <c r="AA452114" s="613"/>
    </row>
    <row r="452115" spans="27:27">
      <c r="AA452115" s="613"/>
    </row>
    <row r="452260" spans="27:27">
      <c r="AA452260" s="613"/>
    </row>
    <row r="452261" spans="27:27">
      <c r="AA452261" s="613"/>
    </row>
    <row r="452406" spans="27:27">
      <c r="AA452406" s="613"/>
    </row>
    <row r="452407" spans="27:27">
      <c r="AA452407" s="613"/>
    </row>
    <row r="452552" spans="27:27">
      <c r="AA452552" s="613"/>
    </row>
    <row r="452553" spans="27:27">
      <c r="AA452553" s="613"/>
    </row>
    <row r="452698" spans="27:27">
      <c r="AA452698" s="613"/>
    </row>
    <row r="452699" spans="27:27">
      <c r="AA452699" s="613"/>
    </row>
    <row r="452844" spans="27:27">
      <c r="AA452844" s="613"/>
    </row>
    <row r="452845" spans="27:27">
      <c r="AA452845" s="613"/>
    </row>
    <row r="452990" spans="27:27">
      <c r="AA452990" s="613"/>
    </row>
    <row r="452991" spans="27:27">
      <c r="AA452991" s="613"/>
    </row>
    <row r="453136" spans="27:27">
      <c r="AA453136" s="613"/>
    </row>
    <row r="453137" spans="27:27">
      <c r="AA453137" s="613"/>
    </row>
    <row r="453282" spans="27:27">
      <c r="AA453282" s="613"/>
    </row>
    <row r="453283" spans="27:27">
      <c r="AA453283" s="613"/>
    </row>
    <row r="453428" spans="27:27">
      <c r="AA453428" s="613"/>
    </row>
    <row r="453429" spans="27:27">
      <c r="AA453429" s="613"/>
    </row>
    <row r="453574" spans="27:27">
      <c r="AA453574" s="613"/>
    </row>
    <row r="453575" spans="27:27">
      <c r="AA453575" s="613"/>
    </row>
    <row r="453720" spans="27:27">
      <c r="AA453720" s="613"/>
    </row>
    <row r="453721" spans="27:27">
      <c r="AA453721" s="613"/>
    </row>
    <row r="453866" spans="27:27">
      <c r="AA453866" s="613"/>
    </row>
    <row r="453867" spans="27:27">
      <c r="AA453867" s="613"/>
    </row>
    <row r="454012" spans="27:27">
      <c r="AA454012" s="613"/>
    </row>
    <row r="454013" spans="27:27">
      <c r="AA454013" s="613"/>
    </row>
    <row r="454158" spans="27:27">
      <c r="AA454158" s="613"/>
    </row>
    <row r="454159" spans="27:27">
      <c r="AA454159" s="613"/>
    </row>
    <row r="454304" spans="27:27">
      <c r="AA454304" s="613"/>
    </row>
    <row r="454305" spans="27:27">
      <c r="AA454305" s="613"/>
    </row>
    <row r="454450" spans="27:27">
      <c r="AA454450" s="613"/>
    </row>
    <row r="454451" spans="27:27">
      <c r="AA454451" s="613"/>
    </row>
    <row r="454596" spans="27:27">
      <c r="AA454596" s="613"/>
    </row>
    <row r="454597" spans="27:27">
      <c r="AA454597" s="613"/>
    </row>
    <row r="454742" spans="27:27">
      <c r="AA454742" s="613"/>
    </row>
    <row r="454743" spans="27:27">
      <c r="AA454743" s="613"/>
    </row>
    <row r="454888" spans="27:27">
      <c r="AA454888" s="613"/>
    </row>
    <row r="454889" spans="27:27">
      <c r="AA454889" s="613"/>
    </row>
    <row r="455034" spans="27:27">
      <c r="AA455034" s="613"/>
    </row>
    <row r="455035" spans="27:27">
      <c r="AA455035" s="613"/>
    </row>
    <row r="455180" spans="27:27">
      <c r="AA455180" s="613"/>
    </row>
    <row r="455181" spans="27:27">
      <c r="AA455181" s="613"/>
    </row>
    <row r="455326" spans="27:27">
      <c r="AA455326" s="613"/>
    </row>
    <row r="455327" spans="27:27">
      <c r="AA455327" s="613"/>
    </row>
    <row r="455472" spans="27:27">
      <c r="AA455472" s="613"/>
    </row>
    <row r="455473" spans="27:27">
      <c r="AA455473" s="613"/>
    </row>
    <row r="455618" spans="27:27">
      <c r="AA455618" s="613"/>
    </row>
    <row r="455619" spans="27:27">
      <c r="AA455619" s="613"/>
    </row>
    <row r="455764" spans="27:27">
      <c r="AA455764" s="613"/>
    </row>
    <row r="455765" spans="27:27">
      <c r="AA455765" s="613"/>
    </row>
    <row r="455910" spans="27:27">
      <c r="AA455910" s="613"/>
    </row>
    <row r="455911" spans="27:27">
      <c r="AA455911" s="613"/>
    </row>
    <row r="456056" spans="27:27">
      <c r="AA456056" s="613"/>
    </row>
    <row r="456057" spans="27:27">
      <c r="AA456057" s="613"/>
    </row>
    <row r="456202" spans="27:27">
      <c r="AA456202" s="613"/>
    </row>
    <row r="456203" spans="27:27">
      <c r="AA456203" s="613"/>
    </row>
    <row r="456348" spans="27:27">
      <c r="AA456348" s="613"/>
    </row>
    <row r="456349" spans="27:27">
      <c r="AA456349" s="613"/>
    </row>
    <row r="456494" spans="27:27">
      <c r="AA456494" s="613"/>
    </row>
    <row r="456495" spans="27:27">
      <c r="AA456495" s="613"/>
    </row>
    <row r="456640" spans="27:27">
      <c r="AA456640" s="613"/>
    </row>
    <row r="456641" spans="27:27">
      <c r="AA456641" s="613"/>
    </row>
    <row r="456786" spans="27:27">
      <c r="AA456786" s="613"/>
    </row>
    <row r="456787" spans="27:27">
      <c r="AA456787" s="613"/>
    </row>
    <row r="456932" spans="27:27">
      <c r="AA456932" s="613"/>
    </row>
    <row r="456933" spans="27:27">
      <c r="AA456933" s="613"/>
    </row>
    <row r="457078" spans="27:27">
      <c r="AA457078" s="613"/>
    </row>
    <row r="457079" spans="27:27">
      <c r="AA457079" s="613"/>
    </row>
    <row r="457224" spans="27:27">
      <c r="AA457224" s="613"/>
    </row>
    <row r="457225" spans="27:27">
      <c r="AA457225" s="613"/>
    </row>
    <row r="457370" spans="27:27">
      <c r="AA457370" s="613"/>
    </row>
    <row r="457371" spans="27:27">
      <c r="AA457371" s="613"/>
    </row>
    <row r="457516" spans="27:27">
      <c r="AA457516" s="613"/>
    </row>
    <row r="457517" spans="27:27">
      <c r="AA457517" s="613"/>
    </row>
    <row r="457662" spans="27:27">
      <c r="AA457662" s="613"/>
    </row>
    <row r="457663" spans="27:27">
      <c r="AA457663" s="613"/>
    </row>
    <row r="457808" spans="27:27">
      <c r="AA457808" s="613"/>
    </row>
    <row r="457809" spans="27:27">
      <c r="AA457809" s="613"/>
    </row>
    <row r="457954" spans="27:27">
      <c r="AA457954" s="613"/>
    </row>
    <row r="457955" spans="27:27">
      <c r="AA457955" s="613"/>
    </row>
    <row r="458100" spans="27:27">
      <c r="AA458100" s="613"/>
    </row>
    <row r="458101" spans="27:27">
      <c r="AA458101" s="613"/>
    </row>
    <row r="458246" spans="27:27">
      <c r="AA458246" s="613"/>
    </row>
    <row r="458247" spans="27:27">
      <c r="AA458247" s="613"/>
    </row>
    <row r="458392" spans="27:27">
      <c r="AA458392" s="613"/>
    </row>
    <row r="458393" spans="27:27">
      <c r="AA458393" s="613"/>
    </row>
    <row r="458538" spans="27:27">
      <c r="AA458538" s="613"/>
    </row>
    <row r="458539" spans="27:27">
      <c r="AA458539" s="613"/>
    </row>
    <row r="458684" spans="27:27">
      <c r="AA458684" s="613"/>
    </row>
    <row r="458685" spans="27:27">
      <c r="AA458685" s="613"/>
    </row>
    <row r="458830" spans="27:27">
      <c r="AA458830" s="613"/>
    </row>
    <row r="458831" spans="27:27">
      <c r="AA458831" s="613"/>
    </row>
    <row r="458976" spans="27:27">
      <c r="AA458976" s="613"/>
    </row>
    <row r="458977" spans="27:27">
      <c r="AA458977" s="613"/>
    </row>
    <row r="459122" spans="27:27">
      <c r="AA459122" s="613"/>
    </row>
    <row r="459123" spans="27:27">
      <c r="AA459123" s="613"/>
    </row>
    <row r="459268" spans="27:27">
      <c r="AA459268" s="613"/>
    </row>
    <row r="459269" spans="27:27">
      <c r="AA459269" s="613"/>
    </row>
    <row r="459414" spans="27:27">
      <c r="AA459414" s="613"/>
    </row>
    <row r="459415" spans="27:27">
      <c r="AA459415" s="613"/>
    </row>
    <row r="459560" spans="27:27">
      <c r="AA459560" s="613"/>
    </row>
    <row r="459561" spans="27:27">
      <c r="AA459561" s="613"/>
    </row>
    <row r="459706" spans="27:27">
      <c r="AA459706" s="613"/>
    </row>
    <row r="459707" spans="27:27">
      <c r="AA459707" s="613"/>
    </row>
    <row r="459852" spans="27:27">
      <c r="AA459852" s="613"/>
    </row>
    <row r="459853" spans="27:27">
      <c r="AA459853" s="613"/>
    </row>
    <row r="459998" spans="27:27">
      <c r="AA459998" s="613"/>
    </row>
    <row r="459999" spans="27:27">
      <c r="AA459999" s="613"/>
    </row>
    <row r="460144" spans="27:27">
      <c r="AA460144" s="613"/>
    </row>
    <row r="460145" spans="27:27">
      <c r="AA460145" s="613"/>
    </row>
    <row r="460290" spans="27:27">
      <c r="AA460290" s="613"/>
    </row>
    <row r="460291" spans="27:27">
      <c r="AA460291" s="613"/>
    </row>
    <row r="460436" spans="27:27">
      <c r="AA460436" s="613"/>
    </row>
    <row r="460437" spans="27:27">
      <c r="AA460437" s="613"/>
    </row>
    <row r="460582" spans="27:27">
      <c r="AA460582" s="613"/>
    </row>
    <row r="460583" spans="27:27">
      <c r="AA460583" s="613"/>
    </row>
    <row r="460728" spans="27:27">
      <c r="AA460728" s="613"/>
    </row>
    <row r="460729" spans="27:27">
      <c r="AA460729" s="613"/>
    </row>
    <row r="460874" spans="27:27">
      <c r="AA460874" s="613"/>
    </row>
    <row r="460875" spans="27:27">
      <c r="AA460875" s="613"/>
    </row>
    <row r="461020" spans="27:27">
      <c r="AA461020" s="613"/>
    </row>
    <row r="461021" spans="27:27">
      <c r="AA461021" s="613"/>
    </row>
    <row r="461166" spans="27:27">
      <c r="AA461166" s="613"/>
    </row>
    <row r="461167" spans="27:27">
      <c r="AA461167" s="613"/>
    </row>
    <row r="461312" spans="27:27">
      <c r="AA461312" s="613"/>
    </row>
    <row r="461313" spans="27:27">
      <c r="AA461313" s="613"/>
    </row>
    <row r="461458" spans="27:27">
      <c r="AA461458" s="613"/>
    </row>
    <row r="461459" spans="27:27">
      <c r="AA461459" s="613"/>
    </row>
    <row r="461604" spans="27:27">
      <c r="AA461604" s="613"/>
    </row>
    <row r="461605" spans="27:27">
      <c r="AA461605" s="613"/>
    </row>
    <row r="461750" spans="27:27">
      <c r="AA461750" s="613"/>
    </row>
    <row r="461751" spans="27:27">
      <c r="AA461751" s="613"/>
    </row>
    <row r="461896" spans="27:27">
      <c r="AA461896" s="613"/>
    </row>
    <row r="461897" spans="27:27">
      <c r="AA461897" s="613"/>
    </row>
    <row r="462042" spans="27:27">
      <c r="AA462042" s="613"/>
    </row>
    <row r="462043" spans="27:27">
      <c r="AA462043" s="613"/>
    </row>
    <row r="462188" spans="27:27">
      <c r="AA462188" s="613"/>
    </row>
    <row r="462189" spans="27:27">
      <c r="AA462189" s="613"/>
    </row>
    <row r="462334" spans="27:27">
      <c r="AA462334" s="613"/>
    </row>
    <row r="462335" spans="27:27">
      <c r="AA462335" s="613"/>
    </row>
    <row r="462480" spans="27:27">
      <c r="AA462480" s="613"/>
    </row>
    <row r="462481" spans="27:27">
      <c r="AA462481" s="613"/>
    </row>
    <row r="462626" spans="27:27">
      <c r="AA462626" s="613"/>
    </row>
    <row r="462627" spans="27:27">
      <c r="AA462627" s="613"/>
    </row>
    <row r="462772" spans="27:27">
      <c r="AA462772" s="613"/>
    </row>
    <row r="462773" spans="27:27">
      <c r="AA462773" s="613"/>
    </row>
    <row r="462918" spans="27:27">
      <c r="AA462918" s="613"/>
    </row>
    <row r="462919" spans="27:27">
      <c r="AA462919" s="613"/>
    </row>
    <row r="463064" spans="27:27">
      <c r="AA463064" s="613"/>
    </row>
    <row r="463065" spans="27:27">
      <c r="AA463065" s="613"/>
    </row>
    <row r="463210" spans="27:27">
      <c r="AA463210" s="613"/>
    </row>
    <row r="463211" spans="27:27">
      <c r="AA463211" s="613"/>
    </row>
    <row r="463356" spans="27:27">
      <c r="AA463356" s="613"/>
    </row>
    <row r="463357" spans="27:27">
      <c r="AA463357" s="613"/>
    </row>
    <row r="463502" spans="27:27">
      <c r="AA463502" s="613"/>
    </row>
    <row r="463503" spans="27:27">
      <c r="AA463503" s="613"/>
    </row>
    <row r="463648" spans="27:27">
      <c r="AA463648" s="613"/>
    </row>
    <row r="463649" spans="27:27">
      <c r="AA463649" s="613"/>
    </row>
    <row r="463794" spans="27:27">
      <c r="AA463794" s="613"/>
    </row>
    <row r="463795" spans="27:27">
      <c r="AA463795" s="613"/>
    </row>
    <row r="463940" spans="27:27">
      <c r="AA463940" s="613"/>
    </row>
    <row r="463941" spans="27:27">
      <c r="AA463941" s="613"/>
    </row>
    <row r="464086" spans="27:27">
      <c r="AA464086" s="613"/>
    </row>
    <row r="464087" spans="27:27">
      <c r="AA464087" s="613"/>
    </row>
    <row r="464232" spans="27:27">
      <c r="AA464232" s="613"/>
    </row>
    <row r="464233" spans="27:27">
      <c r="AA464233" s="613"/>
    </row>
    <row r="464378" spans="27:27">
      <c r="AA464378" s="613"/>
    </row>
    <row r="464379" spans="27:27">
      <c r="AA464379" s="613"/>
    </row>
    <row r="464524" spans="27:27">
      <c r="AA464524" s="613"/>
    </row>
    <row r="464525" spans="27:27">
      <c r="AA464525" s="613"/>
    </row>
    <row r="464670" spans="27:27">
      <c r="AA464670" s="613"/>
    </row>
    <row r="464671" spans="27:27">
      <c r="AA464671" s="613"/>
    </row>
    <row r="464816" spans="27:27">
      <c r="AA464816" s="613"/>
    </row>
    <row r="464817" spans="27:27">
      <c r="AA464817" s="613"/>
    </row>
    <row r="464962" spans="27:27">
      <c r="AA464962" s="613"/>
    </row>
    <row r="464963" spans="27:27">
      <c r="AA464963" s="613"/>
    </row>
    <row r="465108" spans="27:27">
      <c r="AA465108" s="613"/>
    </row>
    <row r="465109" spans="27:27">
      <c r="AA465109" s="613"/>
    </row>
    <row r="465254" spans="27:27">
      <c r="AA465254" s="613"/>
    </row>
    <row r="465255" spans="27:27">
      <c r="AA465255" s="613"/>
    </row>
    <row r="465400" spans="27:27">
      <c r="AA465400" s="613"/>
    </row>
    <row r="465401" spans="27:27">
      <c r="AA465401" s="613"/>
    </row>
    <row r="465546" spans="27:27">
      <c r="AA465546" s="613"/>
    </row>
    <row r="465547" spans="27:27">
      <c r="AA465547" s="613"/>
    </row>
    <row r="465692" spans="27:27">
      <c r="AA465692" s="613"/>
    </row>
    <row r="465693" spans="27:27">
      <c r="AA465693" s="613"/>
    </row>
    <row r="465838" spans="27:27">
      <c r="AA465838" s="613"/>
    </row>
    <row r="465839" spans="27:27">
      <c r="AA465839" s="613"/>
    </row>
    <row r="465984" spans="27:27">
      <c r="AA465984" s="613"/>
    </row>
    <row r="465985" spans="27:27">
      <c r="AA465985" s="613"/>
    </row>
    <row r="466130" spans="27:27">
      <c r="AA466130" s="613"/>
    </row>
    <row r="466131" spans="27:27">
      <c r="AA466131" s="613"/>
    </row>
    <row r="466276" spans="27:27">
      <c r="AA466276" s="613"/>
    </row>
    <row r="466277" spans="27:27">
      <c r="AA466277" s="613"/>
    </row>
    <row r="466422" spans="27:27">
      <c r="AA466422" s="613"/>
    </row>
    <row r="466423" spans="27:27">
      <c r="AA466423" s="613"/>
    </row>
    <row r="466568" spans="27:27">
      <c r="AA466568" s="613"/>
    </row>
    <row r="466569" spans="27:27">
      <c r="AA466569" s="613"/>
    </row>
    <row r="466714" spans="27:27">
      <c r="AA466714" s="613"/>
    </row>
    <row r="466715" spans="27:27">
      <c r="AA466715" s="613"/>
    </row>
    <row r="466860" spans="27:27">
      <c r="AA466860" s="613"/>
    </row>
    <row r="466861" spans="27:27">
      <c r="AA466861" s="613"/>
    </row>
    <row r="467006" spans="27:27">
      <c r="AA467006" s="613"/>
    </row>
    <row r="467007" spans="27:27">
      <c r="AA467007" s="613"/>
    </row>
    <row r="467152" spans="27:27">
      <c r="AA467152" s="613"/>
    </row>
    <row r="467153" spans="27:27">
      <c r="AA467153" s="613"/>
    </row>
    <row r="467298" spans="27:27">
      <c r="AA467298" s="613"/>
    </row>
    <row r="467299" spans="27:27">
      <c r="AA467299" s="613"/>
    </row>
    <row r="467444" spans="27:27">
      <c r="AA467444" s="613"/>
    </row>
    <row r="467445" spans="27:27">
      <c r="AA467445" s="613"/>
    </row>
    <row r="467590" spans="27:27">
      <c r="AA467590" s="613"/>
    </row>
    <row r="467591" spans="27:27">
      <c r="AA467591" s="613"/>
    </row>
    <row r="467736" spans="27:27">
      <c r="AA467736" s="613"/>
    </row>
    <row r="467737" spans="27:27">
      <c r="AA467737" s="613"/>
    </row>
    <row r="467882" spans="27:27">
      <c r="AA467882" s="613"/>
    </row>
    <row r="467883" spans="27:27">
      <c r="AA467883" s="613"/>
    </row>
    <row r="468028" spans="27:27">
      <c r="AA468028" s="613"/>
    </row>
    <row r="468029" spans="27:27">
      <c r="AA468029" s="613"/>
    </row>
    <row r="468174" spans="27:27">
      <c r="AA468174" s="613"/>
    </row>
    <row r="468175" spans="27:27">
      <c r="AA468175" s="613"/>
    </row>
    <row r="468320" spans="27:27">
      <c r="AA468320" s="613"/>
    </row>
    <row r="468321" spans="27:27">
      <c r="AA468321" s="613"/>
    </row>
    <row r="468466" spans="27:27">
      <c r="AA468466" s="613"/>
    </row>
    <row r="468467" spans="27:27">
      <c r="AA468467" s="613"/>
    </row>
    <row r="468612" spans="27:27">
      <c r="AA468612" s="613"/>
    </row>
    <row r="468613" spans="27:27">
      <c r="AA468613" s="613"/>
    </row>
    <row r="468758" spans="27:27">
      <c r="AA468758" s="613"/>
    </row>
    <row r="468759" spans="27:27">
      <c r="AA468759" s="613"/>
    </row>
    <row r="468904" spans="27:27">
      <c r="AA468904" s="613"/>
    </row>
    <row r="468905" spans="27:27">
      <c r="AA468905" s="613"/>
    </row>
    <row r="469050" spans="27:27">
      <c r="AA469050" s="613"/>
    </row>
    <row r="469051" spans="27:27">
      <c r="AA469051" s="613"/>
    </row>
    <row r="469196" spans="27:27">
      <c r="AA469196" s="613"/>
    </row>
    <row r="469197" spans="27:27">
      <c r="AA469197" s="613"/>
    </row>
    <row r="469342" spans="27:27">
      <c r="AA469342" s="613"/>
    </row>
    <row r="469343" spans="27:27">
      <c r="AA469343" s="613"/>
    </row>
    <row r="469488" spans="27:27">
      <c r="AA469488" s="613"/>
    </row>
    <row r="469489" spans="27:27">
      <c r="AA469489" s="613"/>
    </row>
    <row r="469634" spans="27:27">
      <c r="AA469634" s="613"/>
    </row>
    <row r="469635" spans="27:27">
      <c r="AA469635" s="613"/>
    </row>
    <row r="469780" spans="27:27">
      <c r="AA469780" s="613"/>
    </row>
    <row r="469781" spans="27:27">
      <c r="AA469781" s="613"/>
    </row>
    <row r="469926" spans="27:27">
      <c r="AA469926" s="613"/>
    </row>
    <row r="469927" spans="27:27">
      <c r="AA469927" s="613"/>
    </row>
    <row r="470072" spans="27:27">
      <c r="AA470072" s="613"/>
    </row>
    <row r="470073" spans="27:27">
      <c r="AA470073" s="613"/>
    </row>
    <row r="470218" spans="27:27">
      <c r="AA470218" s="613"/>
    </row>
    <row r="470219" spans="27:27">
      <c r="AA470219" s="613"/>
    </row>
    <row r="470364" spans="27:27">
      <c r="AA470364" s="613"/>
    </row>
    <row r="470365" spans="27:27">
      <c r="AA470365" s="613"/>
    </row>
    <row r="470510" spans="27:27">
      <c r="AA470510" s="613"/>
    </row>
    <row r="470511" spans="27:27">
      <c r="AA470511" s="613"/>
    </row>
    <row r="470656" spans="27:27">
      <c r="AA470656" s="613"/>
    </row>
    <row r="470657" spans="27:27">
      <c r="AA470657" s="613"/>
    </row>
    <row r="470802" spans="27:27">
      <c r="AA470802" s="613"/>
    </row>
    <row r="470803" spans="27:27">
      <c r="AA470803" s="613"/>
    </row>
    <row r="470948" spans="27:27">
      <c r="AA470948" s="613"/>
    </row>
    <row r="470949" spans="27:27">
      <c r="AA470949" s="613"/>
    </row>
    <row r="471094" spans="27:27">
      <c r="AA471094" s="613"/>
    </row>
    <row r="471095" spans="27:27">
      <c r="AA471095" s="613"/>
    </row>
    <row r="471240" spans="27:27">
      <c r="AA471240" s="613"/>
    </row>
    <row r="471241" spans="27:27">
      <c r="AA471241" s="613"/>
    </row>
    <row r="471386" spans="27:27">
      <c r="AA471386" s="613"/>
    </row>
    <row r="471387" spans="27:27">
      <c r="AA471387" s="613"/>
    </row>
    <row r="471532" spans="27:27">
      <c r="AA471532" s="613"/>
    </row>
    <row r="471533" spans="27:27">
      <c r="AA471533" s="613"/>
    </row>
    <row r="471678" spans="27:27">
      <c r="AA471678" s="613"/>
    </row>
    <row r="471679" spans="27:27">
      <c r="AA471679" s="613"/>
    </row>
    <row r="471824" spans="27:27">
      <c r="AA471824" s="613"/>
    </row>
    <row r="471825" spans="27:27">
      <c r="AA471825" s="613"/>
    </row>
    <row r="471970" spans="27:27">
      <c r="AA471970" s="613"/>
    </row>
    <row r="471971" spans="27:27">
      <c r="AA471971" s="613"/>
    </row>
    <row r="472116" spans="27:27">
      <c r="AA472116" s="613"/>
    </row>
    <row r="472117" spans="27:27">
      <c r="AA472117" s="613"/>
    </row>
    <row r="472262" spans="27:27">
      <c r="AA472262" s="613"/>
    </row>
    <row r="472263" spans="27:27">
      <c r="AA472263" s="613"/>
    </row>
    <row r="472408" spans="27:27">
      <c r="AA472408" s="613"/>
    </row>
    <row r="472409" spans="27:27">
      <c r="AA472409" s="613"/>
    </row>
    <row r="472554" spans="27:27">
      <c r="AA472554" s="613"/>
    </row>
    <row r="472555" spans="27:27">
      <c r="AA472555" s="613"/>
    </row>
    <row r="472700" spans="27:27">
      <c r="AA472700" s="613"/>
    </row>
    <row r="472701" spans="27:27">
      <c r="AA472701" s="613"/>
    </row>
    <row r="472846" spans="27:27">
      <c r="AA472846" s="613"/>
    </row>
    <row r="472847" spans="27:27">
      <c r="AA472847" s="613"/>
    </row>
    <row r="472992" spans="27:27">
      <c r="AA472992" s="613"/>
    </row>
    <row r="472993" spans="27:27">
      <c r="AA472993" s="613"/>
    </row>
    <row r="473138" spans="27:27">
      <c r="AA473138" s="613"/>
    </row>
    <row r="473139" spans="27:27">
      <c r="AA473139" s="613"/>
    </row>
    <row r="473284" spans="27:27">
      <c r="AA473284" s="613"/>
    </row>
    <row r="473285" spans="27:27">
      <c r="AA473285" s="613"/>
    </row>
    <row r="473430" spans="27:27">
      <c r="AA473430" s="613"/>
    </row>
    <row r="473431" spans="27:27">
      <c r="AA473431" s="613"/>
    </row>
    <row r="473576" spans="27:27">
      <c r="AA473576" s="613"/>
    </row>
    <row r="473577" spans="27:27">
      <c r="AA473577" s="613"/>
    </row>
    <row r="473722" spans="27:27">
      <c r="AA473722" s="613"/>
    </row>
    <row r="473723" spans="27:27">
      <c r="AA473723" s="613"/>
    </row>
    <row r="473868" spans="27:27">
      <c r="AA473868" s="613"/>
    </row>
    <row r="473869" spans="27:27">
      <c r="AA473869" s="613"/>
    </row>
    <row r="474014" spans="27:27">
      <c r="AA474014" s="613"/>
    </row>
    <row r="474015" spans="27:27">
      <c r="AA474015" s="613"/>
    </row>
    <row r="474160" spans="27:27">
      <c r="AA474160" s="613"/>
    </row>
    <row r="474161" spans="27:27">
      <c r="AA474161" s="613"/>
    </row>
    <row r="474306" spans="27:27">
      <c r="AA474306" s="613"/>
    </row>
    <row r="474307" spans="27:27">
      <c r="AA474307" s="613"/>
    </row>
    <row r="474452" spans="27:27">
      <c r="AA474452" s="613"/>
    </row>
    <row r="474453" spans="27:27">
      <c r="AA474453" s="613"/>
    </row>
    <row r="474598" spans="27:27">
      <c r="AA474598" s="613"/>
    </row>
    <row r="474599" spans="27:27">
      <c r="AA474599" s="613"/>
    </row>
    <row r="474744" spans="27:27">
      <c r="AA474744" s="613"/>
    </row>
    <row r="474745" spans="27:27">
      <c r="AA474745" s="613"/>
    </row>
    <row r="474890" spans="27:27">
      <c r="AA474890" s="613"/>
    </row>
    <row r="474891" spans="27:27">
      <c r="AA474891" s="613"/>
    </row>
    <row r="475036" spans="27:27">
      <c r="AA475036" s="613"/>
    </row>
    <row r="475037" spans="27:27">
      <c r="AA475037" s="613"/>
    </row>
    <row r="475182" spans="27:27">
      <c r="AA475182" s="613"/>
    </row>
    <row r="475183" spans="27:27">
      <c r="AA475183" s="613"/>
    </row>
    <row r="475328" spans="27:27">
      <c r="AA475328" s="613"/>
    </row>
    <row r="475329" spans="27:27">
      <c r="AA475329" s="613"/>
    </row>
    <row r="475474" spans="27:27">
      <c r="AA475474" s="613"/>
    </row>
    <row r="475475" spans="27:27">
      <c r="AA475475" s="613"/>
    </row>
    <row r="475620" spans="27:27">
      <c r="AA475620" s="613"/>
    </row>
    <row r="475621" spans="27:27">
      <c r="AA475621" s="613"/>
    </row>
    <row r="475766" spans="27:27">
      <c r="AA475766" s="613"/>
    </row>
    <row r="475767" spans="27:27">
      <c r="AA475767" s="613"/>
    </row>
    <row r="475912" spans="27:27">
      <c r="AA475912" s="613"/>
    </row>
    <row r="475913" spans="27:27">
      <c r="AA475913" s="613"/>
    </row>
    <row r="476058" spans="27:27">
      <c r="AA476058" s="613"/>
    </row>
    <row r="476059" spans="27:27">
      <c r="AA476059" s="613"/>
    </row>
    <row r="476204" spans="27:27">
      <c r="AA476204" s="613"/>
    </row>
    <row r="476205" spans="27:27">
      <c r="AA476205" s="613"/>
    </row>
    <row r="476350" spans="27:27">
      <c r="AA476350" s="613"/>
    </row>
    <row r="476351" spans="27:27">
      <c r="AA476351" s="613"/>
    </row>
    <row r="476496" spans="27:27">
      <c r="AA476496" s="613"/>
    </row>
    <row r="476497" spans="27:27">
      <c r="AA476497" s="613"/>
    </row>
    <row r="476642" spans="27:27">
      <c r="AA476642" s="613"/>
    </row>
    <row r="476643" spans="27:27">
      <c r="AA476643" s="613"/>
    </row>
    <row r="476788" spans="27:27">
      <c r="AA476788" s="613"/>
    </row>
    <row r="476789" spans="27:27">
      <c r="AA476789" s="613"/>
    </row>
    <row r="476934" spans="27:27">
      <c r="AA476934" s="613"/>
    </row>
    <row r="476935" spans="27:27">
      <c r="AA476935" s="613"/>
    </row>
    <row r="477080" spans="27:27">
      <c r="AA477080" s="613"/>
    </row>
    <row r="477081" spans="27:27">
      <c r="AA477081" s="613"/>
    </row>
    <row r="477226" spans="27:27">
      <c r="AA477226" s="613"/>
    </row>
    <row r="477227" spans="27:27">
      <c r="AA477227" s="613"/>
    </row>
    <row r="477372" spans="27:27">
      <c r="AA477372" s="613"/>
    </row>
    <row r="477373" spans="27:27">
      <c r="AA477373" s="613"/>
    </row>
    <row r="477518" spans="27:27">
      <c r="AA477518" s="613"/>
    </row>
    <row r="477519" spans="27:27">
      <c r="AA477519" s="613"/>
    </row>
    <row r="477664" spans="27:27">
      <c r="AA477664" s="613"/>
    </row>
    <row r="477665" spans="27:27">
      <c r="AA477665" s="613"/>
    </row>
    <row r="477810" spans="27:27">
      <c r="AA477810" s="613"/>
    </row>
    <row r="477811" spans="27:27">
      <c r="AA477811" s="613"/>
    </row>
    <row r="477956" spans="27:27">
      <c r="AA477956" s="613"/>
    </row>
    <row r="477957" spans="27:27">
      <c r="AA477957" s="613"/>
    </row>
    <row r="478102" spans="27:27">
      <c r="AA478102" s="613"/>
    </row>
    <row r="478103" spans="27:27">
      <c r="AA478103" s="613"/>
    </row>
    <row r="478248" spans="27:27">
      <c r="AA478248" s="613"/>
    </row>
    <row r="478249" spans="27:27">
      <c r="AA478249" s="613"/>
    </row>
    <row r="478394" spans="27:27">
      <c r="AA478394" s="613"/>
    </row>
    <row r="478395" spans="27:27">
      <c r="AA478395" s="613"/>
    </row>
    <row r="478540" spans="27:27">
      <c r="AA478540" s="613"/>
    </row>
    <row r="478541" spans="27:27">
      <c r="AA478541" s="613"/>
    </row>
    <row r="478686" spans="27:27">
      <c r="AA478686" s="613"/>
    </row>
    <row r="478687" spans="27:27">
      <c r="AA478687" s="613"/>
    </row>
    <row r="478832" spans="27:27">
      <c r="AA478832" s="613"/>
    </row>
    <row r="478833" spans="27:27">
      <c r="AA478833" s="613"/>
    </row>
    <row r="478978" spans="27:27">
      <c r="AA478978" s="613"/>
    </row>
    <row r="478979" spans="27:27">
      <c r="AA478979" s="613"/>
    </row>
    <row r="479124" spans="27:27">
      <c r="AA479124" s="613"/>
    </row>
    <row r="479125" spans="27:27">
      <c r="AA479125" s="613"/>
    </row>
    <row r="479270" spans="27:27">
      <c r="AA479270" s="613"/>
    </row>
    <row r="479271" spans="27:27">
      <c r="AA479271" s="613"/>
    </row>
    <row r="479416" spans="27:27">
      <c r="AA479416" s="613"/>
    </row>
    <row r="479417" spans="27:27">
      <c r="AA479417" s="613"/>
    </row>
    <row r="479562" spans="27:27">
      <c r="AA479562" s="613"/>
    </row>
    <row r="479563" spans="27:27">
      <c r="AA479563" s="613"/>
    </row>
    <row r="479708" spans="27:27">
      <c r="AA479708" s="613"/>
    </row>
    <row r="479709" spans="27:27">
      <c r="AA479709" s="613"/>
    </row>
    <row r="479854" spans="27:27">
      <c r="AA479854" s="613"/>
    </row>
    <row r="479855" spans="27:27">
      <c r="AA479855" s="613"/>
    </row>
    <row r="480000" spans="27:27">
      <c r="AA480000" s="613"/>
    </row>
    <row r="480001" spans="27:27">
      <c r="AA480001" s="613"/>
    </row>
    <row r="480146" spans="27:27">
      <c r="AA480146" s="613"/>
    </row>
    <row r="480147" spans="27:27">
      <c r="AA480147" s="613"/>
    </row>
    <row r="480292" spans="27:27">
      <c r="AA480292" s="613"/>
    </row>
    <row r="480293" spans="27:27">
      <c r="AA480293" s="613"/>
    </row>
    <row r="480438" spans="27:27">
      <c r="AA480438" s="613"/>
    </row>
    <row r="480439" spans="27:27">
      <c r="AA480439" s="613"/>
    </row>
    <row r="480584" spans="27:27">
      <c r="AA480584" s="613"/>
    </row>
    <row r="480585" spans="27:27">
      <c r="AA480585" s="613"/>
    </row>
    <row r="480730" spans="27:27">
      <c r="AA480730" s="613"/>
    </row>
    <row r="480731" spans="27:27">
      <c r="AA480731" s="613"/>
    </row>
    <row r="480876" spans="27:27">
      <c r="AA480876" s="613"/>
    </row>
    <row r="480877" spans="27:27">
      <c r="AA480877" s="613"/>
    </row>
    <row r="481022" spans="27:27">
      <c r="AA481022" s="613"/>
    </row>
    <row r="481023" spans="27:27">
      <c r="AA481023" s="613"/>
    </row>
    <row r="481168" spans="27:27">
      <c r="AA481168" s="613"/>
    </row>
    <row r="481169" spans="27:27">
      <c r="AA481169" s="613"/>
    </row>
    <row r="481314" spans="27:27">
      <c r="AA481314" s="613"/>
    </row>
    <row r="481315" spans="27:27">
      <c r="AA481315" s="613"/>
    </row>
    <row r="481460" spans="27:27">
      <c r="AA481460" s="613"/>
    </row>
    <row r="481461" spans="27:27">
      <c r="AA481461" s="613"/>
    </row>
    <row r="481606" spans="27:27">
      <c r="AA481606" s="613"/>
    </row>
    <row r="481607" spans="27:27">
      <c r="AA481607" s="613"/>
    </row>
    <row r="481752" spans="27:27">
      <c r="AA481752" s="613"/>
    </row>
    <row r="481753" spans="27:27">
      <c r="AA481753" s="613"/>
    </row>
    <row r="481898" spans="27:27">
      <c r="AA481898" s="613"/>
    </row>
    <row r="481899" spans="27:27">
      <c r="AA481899" s="613"/>
    </row>
    <row r="482044" spans="27:27">
      <c r="AA482044" s="613"/>
    </row>
    <row r="482045" spans="27:27">
      <c r="AA482045" s="613"/>
    </row>
    <row r="482190" spans="27:27">
      <c r="AA482190" s="613"/>
    </row>
    <row r="482191" spans="27:27">
      <c r="AA482191" s="613"/>
    </row>
    <row r="482336" spans="27:27">
      <c r="AA482336" s="613"/>
    </row>
    <row r="482337" spans="27:27">
      <c r="AA482337" s="613"/>
    </row>
    <row r="482482" spans="27:27">
      <c r="AA482482" s="613"/>
    </row>
    <row r="482483" spans="27:27">
      <c r="AA482483" s="613"/>
    </row>
    <row r="482628" spans="27:27">
      <c r="AA482628" s="613"/>
    </row>
    <row r="482629" spans="27:27">
      <c r="AA482629" s="613"/>
    </row>
    <row r="482774" spans="27:27">
      <c r="AA482774" s="613"/>
    </row>
    <row r="482775" spans="27:27">
      <c r="AA482775" s="613"/>
    </row>
    <row r="482920" spans="27:27">
      <c r="AA482920" s="613"/>
    </row>
    <row r="482921" spans="27:27">
      <c r="AA482921" s="613"/>
    </row>
    <row r="483066" spans="27:27">
      <c r="AA483066" s="613"/>
    </row>
    <row r="483067" spans="27:27">
      <c r="AA483067" s="613"/>
    </row>
    <row r="483212" spans="27:27">
      <c r="AA483212" s="613"/>
    </row>
    <row r="483213" spans="27:27">
      <c r="AA483213" s="613"/>
    </row>
    <row r="483358" spans="27:27">
      <c r="AA483358" s="613"/>
    </row>
    <row r="483359" spans="27:27">
      <c r="AA483359" s="613"/>
    </row>
    <row r="483504" spans="27:27">
      <c r="AA483504" s="613"/>
    </row>
    <row r="483505" spans="27:27">
      <c r="AA483505" s="613"/>
    </row>
    <row r="483650" spans="27:27">
      <c r="AA483650" s="613"/>
    </row>
    <row r="483651" spans="27:27">
      <c r="AA483651" s="613"/>
    </row>
    <row r="483796" spans="27:27">
      <c r="AA483796" s="613"/>
    </row>
    <row r="483797" spans="27:27">
      <c r="AA483797" s="613"/>
    </row>
    <row r="483942" spans="27:27">
      <c r="AA483942" s="613"/>
    </row>
    <row r="483943" spans="27:27">
      <c r="AA483943" s="613"/>
    </row>
    <row r="484088" spans="27:27">
      <c r="AA484088" s="613"/>
    </row>
    <row r="484089" spans="27:27">
      <c r="AA484089" s="613"/>
    </row>
    <row r="484234" spans="27:27">
      <c r="AA484234" s="613"/>
    </row>
    <row r="484235" spans="27:27">
      <c r="AA484235" s="613"/>
    </row>
    <row r="484380" spans="27:27">
      <c r="AA484380" s="613"/>
    </row>
    <row r="484381" spans="27:27">
      <c r="AA484381" s="613"/>
    </row>
    <row r="484526" spans="27:27">
      <c r="AA484526" s="613"/>
    </row>
    <row r="484527" spans="27:27">
      <c r="AA484527" s="613"/>
    </row>
    <row r="484672" spans="27:27">
      <c r="AA484672" s="613"/>
    </row>
    <row r="484673" spans="27:27">
      <c r="AA484673" s="613"/>
    </row>
    <row r="484818" spans="27:27">
      <c r="AA484818" s="613"/>
    </row>
    <row r="484819" spans="27:27">
      <c r="AA484819" s="613"/>
    </row>
    <row r="484964" spans="27:27">
      <c r="AA484964" s="613"/>
    </row>
    <row r="484965" spans="27:27">
      <c r="AA484965" s="613"/>
    </row>
    <row r="485110" spans="27:27">
      <c r="AA485110" s="613"/>
    </row>
    <row r="485111" spans="27:27">
      <c r="AA485111" s="613"/>
    </row>
    <row r="485256" spans="27:27">
      <c r="AA485256" s="613"/>
    </row>
    <row r="485257" spans="27:27">
      <c r="AA485257" s="613"/>
    </row>
    <row r="485402" spans="27:27">
      <c r="AA485402" s="613"/>
    </row>
    <row r="485403" spans="27:27">
      <c r="AA485403" s="613"/>
    </row>
    <row r="485548" spans="27:27">
      <c r="AA485548" s="613"/>
    </row>
    <row r="485549" spans="27:27">
      <c r="AA485549" s="613"/>
    </row>
    <row r="485694" spans="27:27">
      <c r="AA485694" s="613"/>
    </row>
    <row r="485695" spans="27:27">
      <c r="AA485695" s="613"/>
    </row>
    <row r="485840" spans="27:27">
      <c r="AA485840" s="613"/>
    </row>
    <row r="485841" spans="27:27">
      <c r="AA485841" s="613"/>
    </row>
    <row r="485986" spans="27:27">
      <c r="AA485986" s="613"/>
    </row>
    <row r="485987" spans="27:27">
      <c r="AA485987" s="613"/>
    </row>
    <row r="486132" spans="27:27">
      <c r="AA486132" s="613"/>
    </row>
    <row r="486133" spans="27:27">
      <c r="AA486133" s="613"/>
    </row>
    <row r="486278" spans="27:27">
      <c r="AA486278" s="613"/>
    </row>
    <row r="486279" spans="27:27">
      <c r="AA486279" s="613"/>
    </row>
    <row r="486424" spans="27:27">
      <c r="AA486424" s="613"/>
    </row>
    <row r="486425" spans="27:27">
      <c r="AA486425" s="613"/>
    </row>
    <row r="486570" spans="27:27">
      <c r="AA486570" s="613"/>
    </row>
    <row r="486571" spans="27:27">
      <c r="AA486571" s="613"/>
    </row>
    <row r="486716" spans="27:27">
      <c r="AA486716" s="613"/>
    </row>
    <row r="486717" spans="27:27">
      <c r="AA486717" s="613"/>
    </row>
    <row r="486862" spans="27:27">
      <c r="AA486862" s="613"/>
    </row>
    <row r="486863" spans="27:27">
      <c r="AA486863" s="613"/>
    </row>
    <row r="487008" spans="27:27">
      <c r="AA487008" s="613"/>
    </row>
    <row r="487009" spans="27:27">
      <c r="AA487009" s="613"/>
    </row>
    <row r="487154" spans="27:27">
      <c r="AA487154" s="613"/>
    </row>
    <row r="487155" spans="27:27">
      <c r="AA487155" s="613"/>
    </row>
    <row r="487300" spans="27:27">
      <c r="AA487300" s="613"/>
    </row>
    <row r="487301" spans="27:27">
      <c r="AA487301" s="613"/>
    </row>
    <row r="487446" spans="27:27">
      <c r="AA487446" s="613"/>
    </row>
    <row r="487447" spans="27:27">
      <c r="AA487447" s="613"/>
    </row>
    <row r="487592" spans="27:27">
      <c r="AA487592" s="613"/>
    </row>
    <row r="487593" spans="27:27">
      <c r="AA487593" s="613"/>
    </row>
    <row r="487738" spans="27:27">
      <c r="AA487738" s="613"/>
    </row>
    <row r="487739" spans="27:27">
      <c r="AA487739" s="613"/>
    </row>
    <row r="487884" spans="27:27">
      <c r="AA487884" s="613"/>
    </row>
    <row r="487885" spans="27:27">
      <c r="AA487885" s="613"/>
    </row>
    <row r="488030" spans="27:27">
      <c r="AA488030" s="613"/>
    </row>
    <row r="488031" spans="27:27">
      <c r="AA488031" s="613"/>
    </row>
    <row r="488176" spans="27:27">
      <c r="AA488176" s="613"/>
    </row>
    <row r="488177" spans="27:27">
      <c r="AA488177" s="613"/>
    </row>
    <row r="488322" spans="27:27">
      <c r="AA488322" s="613"/>
    </row>
    <row r="488323" spans="27:27">
      <c r="AA488323" s="613"/>
    </row>
    <row r="488468" spans="27:27">
      <c r="AA488468" s="613"/>
    </row>
    <row r="488469" spans="27:27">
      <c r="AA488469" s="613"/>
    </row>
    <row r="488614" spans="27:27">
      <c r="AA488614" s="613"/>
    </row>
    <row r="488615" spans="27:27">
      <c r="AA488615" s="613"/>
    </row>
    <row r="488760" spans="27:27">
      <c r="AA488760" s="613"/>
    </row>
    <row r="488761" spans="27:27">
      <c r="AA488761" s="613"/>
    </row>
    <row r="488906" spans="27:27">
      <c r="AA488906" s="613"/>
    </row>
    <row r="488907" spans="27:27">
      <c r="AA488907" s="613"/>
    </row>
    <row r="489052" spans="27:27">
      <c r="AA489052" s="613"/>
    </row>
    <row r="489053" spans="27:27">
      <c r="AA489053" s="613"/>
    </row>
    <row r="489198" spans="27:27">
      <c r="AA489198" s="613"/>
    </row>
    <row r="489199" spans="27:27">
      <c r="AA489199" s="613"/>
    </row>
    <row r="489344" spans="27:27">
      <c r="AA489344" s="613"/>
    </row>
    <row r="489345" spans="27:27">
      <c r="AA489345" s="613"/>
    </row>
    <row r="489490" spans="27:27">
      <c r="AA489490" s="613"/>
    </row>
    <row r="489491" spans="27:27">
      <c r="AA489491" s="613"/>
    </row>
    <row r="489636" spans="27:27">
      <c r="AA489636" s="613"/>
    </row>
    <row r="489637" spans="27:27">
      <c r="AA489637" s="613"/>
    </row>
    <row r="489782" spans="27:27">
      <c r="AA489782" s="613"/>
    </row>
    <row r="489783" spans="27:27">
      <c r="AA489783" s="613"/>
    </row>
    <row r="489928" spans="27:27">
      <c r="AA489928" s="613"/>
    </row>
    <row r="489929" spans="27:27">
      <c r="AA489929" s="613"/>
    </row>
    <row r="490074" spans="27:27">
      <c r="AA490074" s="613"/>
    </row>
    <row r="490075" spans="27:27">
      <c r="AA490075" s="613"/>
    </row>
    <row r="490220" spans="27:27">
      <c r="AA490220" s="613"/>
    </row>
    <row r="490221" spans="27:27">
      <c r="AA490221" s="613"/>
    </row>
    <row r="490366" spans="27:27">
      <c r="AA490366" s="613"/>
    </row>
    <row r="490367" spans="27:27">
      <c r="AA490367" s="613"/>
    </row>
    <row r="490512" spans="27:27">
      <c r="AA490512" s="613"/>
    </row>
    <row r="490513" spans="27:27">
      <c r="AA490513" s="613"/>
    </row>
    <row r="490658" spans="27:27">
      <c r="AA490658" s="613"/>
    </row>
    <row r="490659" spans="27:27">
      <c r="AA490659" s="613"/>
    </row>
    <row r="490804" spans="27:27">
      <c r="AA490804" s="613"/>
    </row>
    <row r="490805" spans="27:27">
      <c r="AA490805" s="613"/>
    </row>
    <row r="490950" spans="27:27">
      <c r="AA490950" s="613"/>
    </row>
    <row r="490951" spans="27:27">
      <c r="AA490951" s="613"/>
    </row>
    <row r="491096" spans="27:27">
      <c r="AA491096" s="613"/>
    </row>
    <row r="491097" spans="27:27">
      <c r="AA491097" s="613"/>
    </row>
    <row r="491242" spans="27:27">
      <c r="AA491242" s="613"/>
    </row>
    <row r="491243" spans="27:27">
      <c r="AA491243" s="613"/>
    </row>
    <row r="491388" spans="27:27">
      <c r="AA491388" s="613"/>
    </row>
    <row r="491389" spans="27:27">
      <c r="AA491389" s="613"/>
    </row>
    <row r="491534" spans="27:27">
      <c r="AA491534" s="613"/>
    </row>
    <row r="491535" spans="27:27">
      <c r="AA491535" s="613"/>
    </row>
    <row r="491680" spans="27:27">
      <c r="AA491680" s="613"/>
    </row>
    <row r="491681" spans="27:27">
      <c r="AA491681" s="613"/>
    </row>
    <row r="491826" spans="27:27">
      <c r="AA491826" s="613"/>
    </row>
    <row r="491827" spans="27:27">
      <c r="AA491827" s="613"/>
    </row>
    <row r="491972" spans="27:27">
      <c r="AA491972" s="613"/>
    </row>
    <row r="491973" spans="27:27">
      <c r="AA491973" s="613"/>
    </row>
    <row r="492118" spans="27:27">
      <c r="AA492118" s="613"/>
    </row>
    <row r="492119" spans="27:27">
      <c r="AA492119" s="613"/>
    </row>
    <row r="492264" spans="27:27">
      <c r="AA492264" s="613"/>
    </row>
    <row r="492265" spans="27:27">
      <c r="AA492265" s="613"/>
    </row>
    <row r="492410" spans="27:27">
      <c r="AA492410" s="613"/>
    </row>
    <row r="492411" spans="27:27">
      <c r="AA492411" s="613"/>
    </row>
    <row r="492556" spans="27:27">
      <c r="AA492556" s="613"/>
    </row>
    <row r="492557" spans="27:27">
      <c r="AA492557" s="613"/>
    </row>
    <row r="492702" spans="27:27">
      <c r="AA492702" s="613"/>
    </row>
    <row r="492703" spans="27:27">
      <c r="AA492703" s="613"/>
    </row>
    <row r="492848" spans="27:27">
      <c r="AA492848" s="613"/>
    </row>
    <row r="492849" spans="27:27">
      <c r="AA492849" s="613"/>
    </row>
    <row r="492994" spans="27:27">
      <c r="AA492994" s="613"/>
    </row>
    <row r="492995" spans="27:27">
      <c r="AA492995" s="613"/>
    </row>
    <row r="493140" spans="27:27">
      <c r="AA493140" s="613"/>
    </row>
    <row r="493141" spans="27:27">
      <c r="AA493141" s="613"/>
    </row>
    <row r="493286" spans="27:27">
      <c r="AA493286" s="613"/>
    </row>
    <row r="493287" spans="27:27">
      <c r="AA493287" s="613"/>
    </row>
    <row r="493432" spans="27:27">
      <c r="AA493432" s="613"/>
    </row>
    <row r="493433" spans="27:27">
      <c r="AA493433" s="613"/>
    </row>
    <row r="493578" spans="27:27">
      <c r="AA493578" s="613"/>
    </row>
    <row r="493579" spans="27:27">
      <c r="AA493579" s="613"/>
    </row>
    <row r="493724" spans="27:27">
      <c r="AA493724" s="613"/>
    </row>
    <row r="493725" spans="27:27">
      <c r="AA493725" s="613"/>
    </row>
    <row r="493870" spans="27:27">
      <c r="AA493870" s="613"/>
    </row>
    <row r="493871" spans="27:27">
      <c r="AA493871" s="613"/>
    </row>
    <row r="494016" spans="27:27">
      <c r="AA494016" s="613"/>
    </row>
    <row r="494017" spans="27:27">
      <c r="AA494017" s="613"/>
    </row>
    <row r="494162" spans="27:27">
      <c r="AA494162" s="613"/>
    </row>
    <row r="494163" spans="27:27">
      <c r="AA494163" s="613"/>
    </row>
    <row r="494308" spans="27:27">
      <c r="AA494308" s="613"/>
    </row>
    <row r="494309" spans="27:27">
      <c r="AA494309" s="613"/>
    </row>
    <row r="494454" spans="27:27">
      <c r="AA494454" s="613"/>
    </row>
    <row r="494455" spans="27:27">
      <c r="AA494455" s="613"/>
    </row>
    <row r="494600" spans="27:27">
      <c r="AA494600" s="613"/>
    </row>
    <row r="494601" spans="27:27">
      <c r="AA494601" s="613"/>
    </row>
    <row r="494746" spans="27:27">
      <c r="AA494746" s="613"/>
    </row>
    <row r="494747" spans="27:27">
      <c r="AA494747" s="613"/>
    </row>
    <row r="494892" spans="27:27">
      <c r="AA494892" s="613"/>
    </row>
    <row r="494893" spans="27:27">
      <c r="AA494893" s="613"/>
    </row>
    <row r="495038" spans="27:27">
      <c r="AA495038" s="613"/>
    </row>
    <row r="495039" spans="27:27">
      <c r="AA495039" s="613"/>
    </row>
    <row r="495184" spans="27:27">
      <c r="AA495184" s="613"/>
    </row>
    <row r="495185" spans="27:27">
      <c r="AA495185" s="613"/>
    </row>
    <row r="495330" spans="27:27">
      <c r="AA495330" s="613"/>
    </row>
    <row r="495331" spans="27:27">
      <c r="AA495331" s="613"/>
    </row>
    <row r="495476" spans="27:27">
      <c r="AA495476" s="613"/>
    </row>
    <row r="495477" spans="27:27">
      <c r="AA495477" s="613"/>
    </row>
    <row r="495622" spans="27:27">
      <c r="AA495622" s="613"/>
    </row>
    <row r="495623" spans="27:27">
      <c r="AA495623" s="613"/>
    </row>
    <row r="495768" spans="27:27">
      <c r="AA495768" s="613"/>
    </row>
    <row r="495769" spans="27:27">
      <c r="AA495769" s="613"/>
    </row>
    <row r="495914" spans="27:27">
      <c r="AA495914" s="613"/>
    </row>
    <row r="495915" spans="27:27">
      <c r="AA495915" s="613"/>
    </row>
    <row r="496060" spans="27:27">
      <c r="AA496060" s="613"/>
    </row>
    <row r="496061" spans="27:27">
      <c r="AA496061" s="613"/>
    </row>
    <row r="496206" spans="27:27">
      <c r="AA496206" s="613"/>
    </row>
    <row r="496207" spans="27:27">
      <c r="AA496207" s="613"/>
    </row>
    <row r="496352" spans="27:27">
      <c r="AA496352" s="613"/>
    </row>
    <row r="496353" spans="27:27">
      <c r="AA496353" s="613"/>
    </row>
    <row r="496498" spans="27:27">
      <c r="AA496498" s="613"/>
    </row>
    <row r="496499" spans="27:27">
      <c r="AA496499" s="613"/>
    </row>
    <row r="496644" spans="27:27">
      <c r="AA496644" s="613"/>
    </row>
    <row r="496645" spans="27:27">
      <c r="AA496645" s="613"/>
    </row>
    <row r="496790" spans="27:27">
      <c r="AA496790" s="613"/>
    </row>
    <row r="496791" spans="27:27">
      <c r="AA496791" s="613"/>
    </row>
    <row r="496936" spans="27:27">
      <c r="AA496936" s="613"/>
    </row>
    <row r="496937" spans="27:27">
      <c r="AA496937" s="613"/>
    </row>
    <row r="497082" spans="27:27">
      <c r="AA497082" s="613"/>
    </row>
    <row r="497083" spans="27:27">
      <c r="AA497083" s="613"/>
    </row>
    <row r="497228" spans="27:27">
      <c r="AA497228" s="613"/>
    </row>
    <row r="497229" spans="27:27">
      <c r="AA497229" s="613"/>
    </row>
    <row r="497374" spans="27:27">
      <c r="AA497374" s="613"/>
    </row>
    <row r="497375" spans="27:27">
      <c r="AA497375" s="613"/>
    </row>
    <row r="497520" spans="27:27">
      <c r="AA497520" s="613"/>
    </row>
    <row r="497521" spans="27:27">
      <c r="AA497521" s="613"/>
    </row>
    <row r="497666" spans="27:27">
      <c r="AA497666" s="613"/>
    </row>
    <row r="497667" spans="27:27">
      <c r="AA497667" s="613"/>
    </row>
    <row r="497812" spans="27:27">
      <c r="AA497812" s="613"/>
    </row>
    <row r="497813" spans="27:27">
      <c r="AA497813" s="613"/>
    </row>
    <row r="497958" spans="27:27">
      <c r="AA497958" s="613"/>
    </row>
    <row r="497959" spans="27:27">
      <c r="AA497959" s="613"/>
    </row>
    <row r="498104" spans="27:27">
      <c r="AA498104" s="613"/>
    </row>
    <row r="498105" spans="27:27">
      <c r="AA498105" s="613"/>
    </row>
    <row r="498250" spans="27:27">
      <c r="AA498250" s="613"/>
    </row>
    <row r="498251" spans="27:27">
      <c r="AA498251" s="613"/>
    </row>
    <row r="498396" spans="27:27">
      <c r="AA498396" s="613"/>
    </row>
    <row r="498397" spans="27:27">
      <c r="AA498397" s="613"/>
    </row>
    <row r="498542" spans="27:27">
      <c r="AA498542" s="613"/>
    </row>
    <row r="498543" spans="27:27">
      <c r="AA498543" s="613"/>
    </row>
    <row r="498688" spans="27:27">
      <c r="AA498688" s="613"/>
    </row>
    <row r="498689" spans="27:27">
      <c r="AA498689" s="613"/>
    </row>
    <row r="498834" spans="27:27">
      <c r="AA498834" s="613"/>
    </row>
    <row r="498835" spans="27:27">
      <c r="AA498835" s="613"/>
    </row>
    <row r="498980" spans="27:27">
      <c r="AA498980" s="613"/>
    </row>
    <row r="498981" spans="27:27">
      <c r="AA498981" s="613"/>
    </row>
    <row r="499126" spans="27:27">
      <c r="AA499126" s="613"/>
    </row>
    <row r="499127" spans="27:27">
      <c r="AA499127" s="613"/>
    </row>
    <row r="499272" spans="27:27">
      <c r="AA499272" s="613"/>
    </row>
    <row r="499273" spans="27:27">
      <c r="AA499273" s="613"/>
    </row>
    <row r="499418" spans="27:27">
      <c r="AA499418" s="613"/>
    </row>
    <row r="499419" spans="27:27">
      <c r="AA499419" s="613"/>
    </row>
    <row r="499564" spans="27:27">
      <c r="AA499564" s="613"/>
    </row>
    <row r="499565" spans="27:27">
      <c r="AA499565" s="613"/>
    </row>
    <row r="499710" spans="27:27">
      <c r="AA499710" s="613"/>
    </row>
    <row r="499711" spans="27:27">
      <c r="AA499711" s="613"/>
    </row>
    <row r="499856" spans="27:27">
      <c r="AA499856" s="613"/>
    </row>
    <row r="499857" spans="27:27">
      <c r="AA499857" s="613"/>
    </row>
    <row r="500002" spans="27:27">
      <c r="AA500002" s="613"/>
    </row>
    <row r="500003" spans="27:27">
      <c r="AA500003" s="613"/>
    </row>
    <row r="500148" spans="27:27">
      <c r="AA500148" s="613"/>
    </row>
    <row r="500149" spans="27:27">
      <c r="AA500149" s="613"/>
    </row>
    <row r="500294" spans="27:27">
      <c r="AA500294" s="613"/>
    </row>
    <row r="500295" spans="27:27">
      <c r="AA500295" s="613"/>
    </row>
    <row r="500440" spans="27:27">
      <c r="AA500440" s="613"/>
    </row>
    <row r="500441" spans="27:27">
      <c r="AA500441" s="613"/>
    </row>
    <row r="500586" spans="27:27">
      <c r="AA500586" s="613"/>
    </row>
    <row r="500587" spans="27:27">
      <c r="AA500587" s="613"/>
    </row>
    <row r="500732" spans="27:27">
      <c r="AA500732" s="613"/>
    </row>
    <row r="500733" spans="27:27">
      <c r="AA500733" s="613"/>
    </row>
    <row r="500878" spans="27:27">
      <c r="AA500878" s="613"/>
    </row>
    <row r="500879" spans="27:27">
      <c r="AA500879" s="613"/>
    </row>
    <row r="501024" spans="27:27">
      <c r="AA501024" s="613"/>
    </row>
    <row r="501025" spans="27:27">
      <c r="AA501025" s="613"/>
    </row>
    <row r="501170" spans="27:27">
      <c r="AA501170" s="613"/>
    </row>
    <row r="501171" spans="27:27">
      <c r="AA501171" s="613"/>
    </row>
    <row r="501316" spans="27:27">
      <c r="AA501316" s="613"/>
    </row>
    <row r="501317" spans="27:27">
      <c r="AA501317" s="613"/>
    </row>
    <row r="501462" spans="27:27">
      <c r="AA501462" s="613"/>
    </row>
    <row r="501463" spans="27:27">
      <c r="AA501463" s="613"/>
    </row>
    <row r="501608" spans="27:27">
      <c r="AA501608" s="613"/>
    </row>
    <row r="501609" spans="27:27">
      <c r="AA501609" s="613"/>
    </row>
    <row r="501754" spans="27:27">
      <c r="AA501754" s="613"/>
    </row>
    <row r="501755" spans="27:27">
      <c r="AA501755" s="613"/>
    </row>
    <row r="501900" spans="27:27">
      <c r="AA501900" s="613"/>
    </row>
    <row r="501901" spans="27:27">
      <c r="AA501901" s="613"/>
    </row>
    <row r="502046" spans="27:27">
      <c r="AA502046" s="613"/>
    </row>
    <row r="502047" spans="27:27">
      <c r="AA502047" s="613"/>
    </row>
    <row r="502192" spans="27:27">
      <c r="AA502192" s="613"/>
    </row>
    <row r="502193" spans="27:27">
      <c r="AA502193" s="613"/>
    </row>
    <row r="502338" spans="27:27">
      <c r="AA502338" s="613"/>
    </row>
    <row r="502339" spans="27:27">
      <c r="AA502339" s="613"/>
    </row>
    <row r="502484" spans="27:27">
      <c r="AA502484" s="613"/>
    </row>
    <row r="502485" spans="27:27">
      <c r="AA502485" s="613"/>
    </row>
    <row r="502630" spans="27:27">
      <c r="AA502630" s="613"/>
    </row>
    <row r="502631" spans="27:27">
      <c r="AA502631" s="613"/>
    </row>
    <row r="502776" spans="27:27">
      <c r="AA502776" s="613"/>
    </row>
    <row r="502777" spans="27:27">
      <c r="AA502777" s="613"/>
    </row>
    <row r="502922" spans="27:27">
      <c r="AA502922" s="613"/>
    </row>
    <row r="502923" spans="27:27">
      <c r="AA502923" s="613"/>
    </row>
    <row r="503068" spans="27:27">
      <c r="AA503068" s="613"/>
    </row>
    <row r="503069" spans="27:27">
      <c r="AA503069" s="613"/>
    </row>
    <row r="503214" spans="27:27">
      <c r="AA503214" s="613"/>
    </row>
    <row r="503215" spans="27:27">
      <c r="AA503215" s="613"/>
    </row>
    <row r="503360" spans="27:27">
      <c r="AA503360" s="613"/>
    </row>
    <row r="503361" spans="27:27">
      <c r="AA503361" s="613"/>
    </row>
    <row r="503506" spans="27:27">
      <c r="AA503506" s="613"/>
    </row>
    <row r="503507" spans="27:27">
      <c r="AA503507" s="613"/>
    </row>
    <row r="503652" spans="27:27">
      <c r="AA503652" s="613"/>
    </row>
    <row r="503653" spans="27:27">
      <c r="AA503653" s="613"/>
    </row>
    <row r="503798" spans="27:27">
      <c r="AA503798" s="613"/>
    </row>
    <row r="503799" spans="27:27">
      <c r="AA503799" s="613"/>
    </row>
    <row r="503944" spans="27:27">
      <c r="AA503944" s="613"/>
    </row>
    <row r="503945" spans="27:27">
      <c r="AA503945" s="613"/>
    </row>
    <row r="504090" spans="27:27">
      <c r="AA504090" s="613"/>
    </row>
    <row r="504091" spans="27:27">
      <c r="AA504091" s="613"/>
    </row>
    <row r="504236" spans="27:27">
      <c r="AA504236" s="613"/>
    </row>
    <row r="504237" spans="27:27">
      <c r="AA504237" s="613"/>
    </row>
    <row r="504382" spans="27:27">
      <c r="AA504382" s="613"/>
    </row>
    <row r="504383" spans="27:27">
      <c r="AA504383" s="613"/>
    </row>
    <row r="504528" spans="27:27">
      <c r="AA504528" s="613"/>
    </row>
    <row r="504529" spans="27:27">
      <c r="AA504529" s="613"/>
    </row>
    <row r="504674" spans="27:27">
      <c r="AA504674" s="613"/>
    </row>
    <row r="504675" spans="27:27">
      <c r="AA504675" s="613"/>
    </row>
    <row r="504820" spans="27:27">
      <c r="AA504820" s="613"/>
    </row>
    <row r="504821" spans="27:27">
      <c r="AA504821" s="613"/>
    </row>
    <row r="504966" spans="27:27">
      <c r="AA504966" s="613"/>
    </row>
    <row r="504967" spans="27:27">
      <c r="AA504967" s="613"/>
    </row>
    <row r="505112" spans="27:27">
      <c r="AA505112" s="613"/>
    </row>
    <row r="505113" spans="27:27">
      <c r="AA505113" s="613"/>
    </row>
    <row r="505258" spans="27:27">
      <c r="AA505258" s="613"/>
    </row>
    <row r="505259" spans="27:27">
      <c r="AA505259" s="613"/>
    </row>
    <row r="505404" spans="27:27">
      <c r="AA505404" s="613"/>
    </row>
    <row r="505405" spans="27:27">
      <c r="AA505405" s="613"/>
    </row>
    <row r="505550" spans="27:27">
      <c r="AA505550" s="613"/>
    </row>
    <row r="505551" spans="27:27">
      <c r="AA505551" s="613"/>
    </row>
    <row r="505696" spans="27:27">
      <c r="AA505696" s="613"/>
    </row>
    <row r="505697" spans="27:27">
      <c r="AA505697" s="613"/>
    </row>
    <row r="505842" spans="27:27">
      <c r="AA505842" s="613"/>
    </row>
    <row r="505843" spans="27:27">
      <c r="AA505843" s="613"/>
    </row>
    <row r="505988" spans="27:27">
      <c r="AA505988" s="613"/>
    </row>
    <row r="505989" spans="27:27">
      <c r="AA505989" s="613"/>
    </row>
    <row r="506134" spans="27:27">
      <c r="AA506134" s="613"/>
    </row>
    <row r="506135" spans="27:27">
      <c r="AA506135" s="613"/>
    </row>
    <row r="506280" spans="27:27">
      <c r="AA506280" s="613"/>
    </row>
    <row r="506281" spans="27:27">
      <c r="AA506281" s="613"/>
    </row>
    <row r="506426" spans="27:27">
      <c r="AA506426" s="613"/>
    </row>
    <row r="506427" spans="27:27">
      <c r="AA506427" s="613"/>
    </row>
    <row r="506572" spans="27:27">
      <c r="AA506572" s="613"/>
    </row>
    <row r="506573" spans="27:27">
      <c r="AA506573" s="613"/>
    </row>
    <row r="506718" spans="27:27">
      <c r="AA506718" s="613"/>
    </row>
    <row r="506719" spans="27:27">
      <c r="AA506719" s="613"/>
    </row>
    <row r="506864" spans="27:27">
      <c r="AA506864" s="613"/>
    </row>
    <row r="506865" spans="27:27">
      <c r="AA506865" s="613"/>
    </row>
    <row r="507010" spans="27:27">
      <c r="AA507010" s="613"/>
    </row>
    <row r="507011" spans="27:27">
      <c r="AA507011" s="613"/>
    </row>
    <row r="507156" spans="27:27">
      <c r="AA507156" s="613"/>
    </row>
    <row r="507157" spans="27:27">
      <c r="AA507157" s="613"/>
    </row>
    <row r="507302" spans="27:27">
      <c r="AA507302" s="613"/>
    </row>
    <row r="507303" spans="27:27">
      <c r="AA507303" s="613"/>
    </row>
    <row r="507448" spans="27:27">
      <c r="AA507448" s="613"/>
    </row>
    <row r="507449" spans="27:27">
      <c r="AA507449" s="613"/>
    </row>
    <row r="507594" spans="27:27">
      <c r="AA507594" s="613"/>
    </row>
    <row r="507595" spans="27:27">
      <c r="AA507595" s="613"/>
    </row>
    <row r="507740" spans="27:27">
      <c r="AA507740" s="613"/>
    </row>
    <row r="507741" spans="27:27">
      <c r="AA507741" s="613"/>
    </row>
    <row r="507886" spans="27:27">
      <c r="AA507886" s="613"/>
    </row>
    <row r="507887" spans="27:27">
      <c r="AA507887" s="613"/>
    </row>
    <row r="508032" spans="27:27">
      <c r="AA508032" s="613"/>
    </row>
    <row r="508033" spans="27:27">
      <c r="AA508033" s="613"/>
    </row>
    <row r="508178" spans="27:27">
      <c r="AA508178" s="613"/>
    </row>
    <row r="508179" spans="27:27">
      <c r="AA508179" s="613"/>
    </row>
    <row r="508324" spans="27:27">
      <c r="AA508324" s="613"/>
    </row>
    <row r="508325" spans="27:27">
      <c r="AA508325" s="613"/>
    </row>
    <row r="508470" spans="27:27">
      <c r="AA508470" s="613"/>
    </row>
    <row r="508471" spans="27:27">
      <c r="AA508471" s="613"/>
    </row>
    <row r="508616" spans="27:27">
      <c r="AA508616" s="613"/>
    </row>
    <row r="508617" spans="27:27">
      <c r="AA508617" s="613"/>
    </row>
    <row r="508762" spans="27:27">
      <c r="AA508762" s="613"/>
    </row>
    <row r="508763" spans="27:27">
      <c r="AA508763" s="613"/>
    </row>
    <row r="508908" spans="27:27">
      <c r="AA508908" s="613"/>
    </row>
    <row r="508909" spans="27:27">
      <c r="AA508909" s="613"/>
    </row>
    <row r="509054" spans="27:27">
      <c r="AA509054" s="613"/>
    </row>
    <row r="509055" spans="27:27">
      <c r="AA509055" s="613"/>
    </row>
    <row r="509200" spans="27:27">
      <c r="AA509200" s="613"/>
    </row>
    <row r="509201" spans="27:27">
      <c r="AA509201" s="613"/>
    </row>
    <row r="509346" spans="27:27">
      <c r="AA509346" s="613"/>
    </row>
    <row r="509347" spans="27:27">
      <c r="AA509347" s="613"/>
    </row>
    <row r="509492" spans="27:27">
      <c r="AA509492" s="613"/>
    </row>
    <row r="509493" spans="27:27">
      <c r="AA509493" s="613"/>
    </row>
    <row r="509638" spans="27:27">
      <c r="AA509638" s="613"/>
    </row>
    <row r="509639" spans="27:27">
      <c r="AA509639" s="613"/>
    </row>
    <row r="509784" spans="27:27">
      <c r="AA509784" s="613"/>
    </row>
    <row r="509785" spans="27:27">
      <c r="AA509785" s="613"/>
    </row>
    <row r="509930" spans="27:27">
      <c r="AA509930" s="613"/>
    </row>
    <row r="509931" spans="27:27">
      <c r="AA509931" s="613"/>
    </row>
    <row r="510076" spans="27:27">
      <c r="AA510076" s="613"/>
    </row>
    <row r="510077" spans="27:27">
      <c r="AA510077" s="613"/>
    </row>
    <row r="510222" spans="27:27">
      <c r="AA510222" s="613"/>
    </row>
    <row r="510223" spans="27:27">
      <c r="AA510223" s="613"/>
    </row>
    <row r="510368" spans="27:27">
      <c r="AA510368" s="613"/>
    </row>
    <row r="510369" spans="27:27">
      <c r="AA510369" s="613"/>
    </row>
    <row r="510514" spans="27:27">
      <c r="AA510514" s="613"/>
    </row>
    <row r="510515" spans="27:27">
      <c r="AA510515" s="613"/>
    </row>
    <row r="510660" spans="27:27">
      <c r="AA510660" s="613"/>
    </row>
    <row r="510661" spans="27:27">
      <c r="AA510661" s="613"/>
    </row>
    <row r="510806" spans="27:27">
      <c r="AA510806" s="613"/>
    </row>
    <row r="510807" spans="27:27">
      <c r="AA510807" s="613"/>
    </row>
    <row r="510952" spans="27:27">
      <c r="AA510952" s="613"/>
    </row>
    <row r="510953" spans="27:27">
      <c r="AA510953" s="613"/>
    </row>
    <row r="511098" spans="27:27">
      <c r="AA511098" s="613"/>
    </row>
    <row r="511099" spans="27:27">
      <c r="AA511099" s="613"/>
    </row>
    <row r="511244" spans="27:27">
      <c r="AA511244" s="613"/>
    </row>
    <row r="511245" spans="27:27">
      <c r="AA511245" s="613"/>
    </row>
    <row r="511390" spans="27:27">
      <c r="AA511390" s="613"/>
    </row>
    <row r="511391" spans="27:27">
      <c r="AA511391" s="613"/>
    </row>
    <row r="511536" spans="27:27">
      <c r="AA511536" s="613"/>
    </row>
    <row r="511537" spans="27:27">
      <c r="AA511537" s="613"/>
    </row>
    <row r="511682" spans="27:27">
      <c r="AA511682" s="613"/>
    </row>
    <row r="511683" spans="27:27">
      <c r="AA511683" s="613"/>
    </row>
    <row r="511828" spans="27:27">
      <c r="AA511828" s="613"/>
    </row>
    <row r="511829" spans="27:27">
      <c r="AA511829" s="613"/>
    </row>
    <row r="511974" spans="27:27">
      <c r="AA511974" s="613"/>
    </row>
    <row r="511975" spans="27:27">
      <c r="AA511975" s="613"/>
    </row>
    <row r="512120" spans="27:27">
      <c r="AA512120" s="613"/>
    </row>
    <row r="512121" spans="27:27">
      <c r="AA512121" s="613"/>
    </row>
    <row r="512266" spans="27:27">
      <c r="AA512266" s="613"/>
    </row>
    <row r="512267" spans="27:27">
      <c r="AA512267" s="613"/>
    </row>
    <row r="512412" spans="27:27">
      <c r="AA512412" s="613"/>
    </row>
    <row r="512413" spans="27:27">
      <c r="AA512413" s="613"/>
    </row>
    <row r="512558" spans="27:27">
      <c r="AA512558" s="613"/>
    </row>
    <row r="512559" spans="27:27">
      <c r="AA512559" s="613"/>
    </row>
    <row r="512704" spans="27:27">
      <c r="AA512704" s="613"/>
    </row>
    <row r="512705" spans="27:27">
      <c r="AA512705" s="613"/>
    </row>
    <row r="512850" spans="27:27">
      <c r="AA512850" s="613"/>
    </row>
    <row r="512851" spans="27:27">
      <c r="AA512851" s="613"/>
    </row>
    <row r="512996" spans="27:27">
      <c r="AA512996" s="613"/>
    </row>
    <row r="512997" spans="27:27">
      <c r="AA512997" s="613"/>
    </row>
    <row r="513142" spans="27:27">
      <c r="AA513142" s="613"/>
    </row>
    <row r="513143" spans="27:27">
      <c r="AA513143" s="613"/>
    </row>
    <row r="513288" spans="27:27">
      <c r="AA513288" s="613"/>
    </row>
    <row r="513289" spans="27:27">
      <c r="AA513289" s="613"/>
    </row>
    <row r="513434" spans="27:27">
      <c r="AA513434" s="613"/>
    </row>
    <row r="513435" spans="27:27">
      <c r="AA513435" s="613"/>
    </row>
    <row r="513580" spans="27:27">
      <c r="AA513580" s="613"/>
    </row>
    <row r="513581" spans="27:27">
      <c r="AA513581" s="613"/>
    </row>
    <row r="513726" spans="27:27">
      <c r="AA513726" s="613"/>
    </row>
    <row r="513727" spans="27:27">
      <c r="AA513727" s="613"/>
    </row>
    <row r="513872" spans="27:27">
      <c r="AA513872" s="613"/>
    </row>
    <row r="513873" spans="27:27">
      <c r="AA513873" s="613"/>
    </row>
    <row r="514018" spans="27:27">
      <c r="AA514018" s="613"/>
    </row>
    <row r="514019" spans="27:27">
      <c r="AA514019" s="613"/>
    </row>
    <row r="514164" spans="27:27">
      <c r="AA514164" s="613"/>
    </row>
    <row r="514165" spans="27:27">
      <c r="AA514165" s="613"/>
    </row>
    <row r="514310" spans="27:27">
      <c r="AA514310" s="613"/>
    </row>
    <row r="514311" spans="27:27">
      <c r="AA514311" s="613"/>
    </row>
    <row r="514456" spans="27:27">
      <c r="AA514456" s="613"/>
    </row>
    <row r="514457" spans="27:27">
      <c r="AA514457" s="613"/>
    </row>
    <row r="514602" spans="27:27">
      <c r="AA514602" s="613"/>
    </row>
    <row r="514603" spans="27:27">
      <c r="AA514603" s="613"/>
    </row>
    <row r="514748" spans="27:27">
      <c r="AA514748" s="613"/>
    </row>
    <row r="514749" spans="27:27">
      <c r="AA514749" s="613"/>
    </row>
    <row r="514894" spans="27:27">
      <c r="AA514894" s="613"/>
    </row>
    <row r="514895" spans="27:27">
      <c r="AA514895" s="613"/>
    </row>
    <row r="515040" spans="27:27">
      <c r="AA515040" s="613"/>
    </row>
    <row r="515041" spans="27:27">
      <c r="AA515041" s="613"/>
    </row>
    <row r="515186" spans="27:27">
      <c r="AA515186" s="613"/>
    </row>
    <row r="515187" spans="27:27">
      <c r="AA515187" s="613"/>
    </row>
    <row r="515332" spans="27:27">
      <c r="AA515332" s="613"/>
    </row>
    <row r="515333" spans="27:27">
      <c r="AA515333" s="613"/>
    </row>
    <row r="515478" spans="27:27">
      <c r="AA515478" s="613"/>
    </row>
    <row r="515479" spans="27:27">
      <c r="AA515479" s="613"/>
    </row>
    <row r="515624" spans="27:27">
      <c r="AA515624" s="613"/>
    </row>
    <row r="515625" spans="27:27">
      <c r="AA515625" s="613"/>
    </row>
    <row r="515770" spans="27:27">
      <c r="AA515770" s="613"/>
    </row>
    <row r="515771" spans="27:27">
      <c r="AA515771" s="613"/>
    </row>
    <row r="515916" spans="27:27">
      <c r="AA515916" s="613"/>
    </row>
    <row r="515917" spans="27:27">
      <c r="AA515917" s="613"/>
    </row>
    <row r="516062" spans="27:27">
      <c r="AA516062" s="613"/>
    </row>
    <row r="516063" spans="27:27">
      <c r="AA516063" s="613"/>
    </row>
    <row r="516208" spans="27:27">
      <c r="AA516208" s="613"/>
    </row>
    <row r="516209" spans="27:27">
      <c r="AA516209" s="613"/>
    </row>
    <row r="516354" spans="27:27">
      <c r="AA516354" s="613"/>
    </row>
    <row r="516355" spans="27:27">
      <c r="AA516355" s="613"/>
    </row>
    <row r="516500" spans="27:27">
      <c r="AA516500" s="613"/>
    </row>
    <row r="516501" spans="27:27">
      <c r="AA516501" s="613"/>
    </row>
    <row r="516646" spans="27:27">
      <c r="AA516646" s="613"/>
    </row>
    <row r="516647" spans="27:27">
      <c r="AA516647" s="613"/>
    </row>
    <row r="516792" spans="27:27">
      <c r="AA516792" s="613"/>
    </row>
    <row r="516793" spans="27:27">
      <c r="AA516793" s="613"/>
    </row>
    <row r="516938" spans="27:27">
      <c r="AA516938" s="613"/>
    </row>
    <row r="516939" spans="27:27">
      <c r="AA516939" s="613"/>
    </row>
    <row r="517084" spans="27:27">
      <c r="AA517084" s="613"/>
    </row>
    <row r="517085" spans="27:27">
      <c r="AA517085" s="613"/>
    </row>
    <row r="517230" spans="27:27">
      <c r="AA517230" s="613"/>
    </row>
    <row r="517231" spans="27:27">
      <c r="AA517231" s="613"/>
    </row>
    <row r="517376" spans="27:27">
      <c r="AA517376" s="613"/>
    </row>
    <row r="517377" spans="27:27">
      <c r="AA517377" s="613"/>
    </row>
    <row r="517522" spans="27:27">
      <c r="AA517522" s="613"/>
    </row>
    <row r="517523" spans="27:27">
      <c r="AA517523" s="613"/>
    </row>
    <row r="517668" spans="27:27">
      <c r="AA517668" s="613"/>
    </row>
    <row r="517669" spans="27:27">
      <c r="AA517669" s="613"/>
    </row>
    <row r="517814" spans="27:27">
      <c r="AA517814" s="613"/>
    </row>
    <row r="517815" spans="27:27">
      <c r="AA517815" s="613"/>
    </row>
    <row r="517960" spans="27:27">
      <c r="AA517960" s="613"/>
    </row>
    <row r="517961" spans="27:27">
      <c r="AA517961" s="613"/>
    </row>
    <row r="518106" spans="27:27">
      <c r="AA518106" s="613"/>
    </row>
    <row r="518107" spans="27:27">
      <c r="AA518107" s="613"/>
    </row>
    <row r="518252" spans="27:27">
      <c r="AA518252" s="613"/>
    </row>
    <row r="518253" spans="27:27">
      <c r="AA518253" s="613"/>
    </row>
    <row r="518398" spans="27:27">
      <c r="AA518398" s="613"/>
    </row>
    <row r="518399" spans="27:27">
      <c r="AA518399" s="613"/>
    </row>
    <row r="518544" spans="27:27">
      <c r="AA518544" s="613"/>
    </row>
    <row r="518545" spans="27:27">
      <c r="AA518545" s="613"/>
    </row>
    <row r="518690" spans="27:27">
      <c r="AA518690" s="613"/>
    </row>
    <row r="518691" spans="27:27">
      <c r="AA518691" s="613"/>
    </row>
    <row r="518836" spans="27:27">
      <c r="AA518836" s="613"/>
    </row>
    <row r="518837" spans="27:27">
      <c r="AA518837" s="613"/>
    </row>
    <row r="518982" spans="27:27">
      <c r="AA518982" s="613"/>
    </row>
    <row r="518983" spans="27:27">
      <c r="AA518983" s="613"/>
    </row>
    <row r="519128" spans="27:27">
      <c r="AA519128" s="613"/>
    </row>
    <row r="519129" spans="27:27">
      <c r="AA519129" s="613"/>
    </row>
    <row r="519274" spans="27:27">
      <c r="AA519274" s="613"/>
    </row>
    <row r="519275" spans="27:27">
      <c r="AA519275" s="613"/>
    </row>
    <row r="519420" spans="27:27">
      <c r="AA519420" s="613"/>
    </row>
    <row r="519421" spans="27:27">
      <c r="AA519421" s="613"/>
    </row>
    <row r="519566" spans="27:27">
      <c r="AA519566" s="613"/>
    </row>
    <row r="519567" spans="27:27">
      <c r="AA519567" s="613"/>
    </row>
    <row r="519712" spans="27:27">
      <c r="AA519712" s="613"/>
    </row>
    <row r="519713" spans="27:27">
      <c r="AA519713" s="613"/>
    </row>
    <row r="519858" spans="27:27">
      <c r="AA519858" s="613"/>
    </row>
    <row r="519859" spans="27:27">
      <c r="AA519859" s="613"/>
    </row>
    <row r="520004" spans="27:27">
      <c r="AA520004" s="613"/>
    </row>
    <row r="520005" spans="27:27">
      <c r="AA520005" s="613"/>
    </row>
    <row r="520150" spans="27:27">
      <c r="AA520150" s="613"/>
    </row>
    <row r="520151" spans="27:27">
      <c r="AA520151" s="613"/>
    </row>
    <row r="520296" spans="27:27">
      <c r="AA520296" s="613"/>
    </row>
    <row r="520297" spans="27:27">
      <c r="AA520297" s="613"/>
    </row>
    <row r="520442" spans="27:27">
      <c r="AA520442" s="613"/>
    </row>
    <row r="520443" spans="27:27">
      <c r="AA520443" s="613"/>
    </row>
    <row r="520588" spans="27:27">
      <c r="AA520588" s="613"/>
    </row>
    <row r="520589" spans="27:27">
      <c r="AA520589" s="613"/>
    </row>
    <row r="520734" spans="27:27">
      <c r="AA520734" s="613"/>
    </row>
    <row r="520735" spans="27:27">
      <c r="AA520735" s="613"/>
    </row>
    <row r="520880" spans="27:27">
      <c r="AA520880" s="613"/>
    </row>
    <row r="520881" spans="27:27">
      <c r="AA520881" s="613"/>
    </row>
    <row r="521026" spans="27:27">
      <c r="AA521026" s="613"/>
    </row>
    <row r="521027" spans="27:27">
      <c r="AA521027" s="613"/>
    </row>
    <row r="521172" spans="27:27">
      <c r="AA521172" s="613"/>
    </row>
    <row r="521173" spans="27:27">
      <c r="AA521173" s="613"/>
    </row>
    <row r="521318" spans="27:27">
      <c r="AA521318" s="613"/>
    </row>
    <row r="521319" spans="27:27">
      <c r="AA521319" s="613"/>
    </row>
    <row r="521464" spans="27:27">
      <c r="AA521464" s="613"/>
    </row>
    <row r="521465" spans="27:27">
      <c r="AA521465" s="613"/>
    </row>
    <row r="521610" spans="27:27">
      <c r="AA521610" s="613"/>
    </row>
    <row r="521611" spans="27:27">
      <c r="AA521611" s="613"/>
    </row>
    <row r="521756" spans="27:27">
      <c r="AA521756" s="613"/>
    </row>
    <row r="521757" spans="27:27">
      <c r="AA521757" s="613"/>
    </row>
    <row r="521902" spans="27:27">
      <c r="AA521902" s="613"/>
    </row>
    <row r="521903" spans="27:27">
      <c r="AA521903" s="613"/>
    </row>
    <row r="522048" spans="27:27">
      <c r="AA522048" s="613"/>
    </row>
    <row r="522049" spans="27:27">
      <c r="AA522049" s="613"/>
    </row>
    <row r="522194" spans="27:27">
      <c r="AA522194" s="613"/>
    </row>
    <row r="522195" spans="27:27">
      <c r="AA522195" s="613"/>
    </row>
    <row r="522340" spans="27:27">
      <c r="AA522340" s="613"/>
    </row>
    <row r="522341" spans="27:27">
      <c r="AA522341" s="613"/>
    </row>
    <row r="522486" spans="27:27">
      <c r="AA522486" s="613"/>
    </row>
    <row r="522487" spans="27:27">
      <c r="AA522487" s="613"/>
    </row>
    <row r="522632" spans="27:27">
      <c r="AA522632" s="613"/>
    </row>
    <row r="522633" spans="27:27">
      <c r="AA522633" s="613"/>
    </row>
    <row r="522778" spans="27:27">
      <c r="AA522778" s="613"/>
    </row>
    <row r="522779" spans="27:27">
      <c r="AA522779" s="613"/>
    </row>
    <row r="522924" spans="27:27">
      <c r="AA522924" s="613"/>
    </row>
    <row r="522925" spans="27:27">
      <c r="AA522925" s="613"/>
    </row>
    <row r="523070" spans="27:27">
      <c r="AA523070" s="613"/>
    </row>
    <row r="523071" spans="27:27">
      <c r="AA523071" s="613"/>
    </row>
    <row r="523216" spans="27:27">
      <c r="AA523216" s="613"/>
    </row>
    <row r="523217" spans="27:27">
      <c r="AA523217" s="613"/>
    </row>
    <row r="523362" spans="27:27">
      <c r="AA523362" s="613"/>
    </row>
    <row r="523363" spans="27:27">
      <c r="AA523363" s="613"/>
    </row>
    <row r="523508" spans="27:27">
      <c r="AA523508" s="613"/>
    </row>
    <row r="523509" spans="27:27">
      <c r="AA523509" s="613"/>
    </row>
    <row r="523654" spans="27:27">
      <c r="AA523654" s="613"/>
    </row>
    <row r="523655" spans="27:27">
      <c r="AA523655" s="613"/>
    </row>
    <row r="523800" spans="27:27">
      <c r="AA523800" s="613"/>
    </row>
    <row r="523801" spans="27:27">
      <c r="AA523801" s="613"/>
    </row>
    <row r="523946" spans="27:27">
      <c r="AA523946" s="613"/>
    </row>
    <row r="523947" spans="27:27">
      <c r="AA523947" s="613"/>
    </row>
    <row r="524092" spans="27:27">
      <c r="AA524092" s="613"/>
    </row>
    <row r="524093" spans="27:27">
      <c r="AA524093" s="613"/>
    </row>
    <row r="524238" spans="27:27">
      <c r="AA524238" s="613"/>
    </row>
    <row r="524239" spans="27:27">
      <c r="AA524239" s="613"/>
    </row>
    <row r="524384" spans="27:27">
      <c r="AA524384" s="613"/>
    </row>
    <row r="524385" spans="27:27">
      <c r="AA524385" s="613"/>
    </row>
    <row r="524530" spans="27:27">
      <c r="AA524530" s="613"/>
    </row>
    <row r="524531" spans="27:27">
      <c r="AA524531" s="613"/>
    </row>
    <row r="524676" spans="27:27">
      <c r="AA524676" s="613"/>
    </row>
    <row r="524677" spans="27:27">
      <c r="AA524677" s="613"/>
    </row>
    <row r="524822" spans="27:27">
      <c r="AA524822" s="613"/>
    </row>
    <row r="524823" spans="27:27">
      <c r="AA524823" s="613"/>
    </row>
    <row r="524968" spans="27:27">
      <c r="AA524968" s="613"/>
    </row>
    <row r="524969" spans="27:27">
      <c r="AA524969" s="613"/>
    </row>
    <row r="525114" spans="27:27">
      <c r="AA525114" s="613"/>
    </row>
    <row r="525115" spans="27:27">
      <c r="AA525115" s="613"/>
    </row>
    <row r="525260" spans="27:27">
      <c r="AA525260" s="613"/>
    </row>
    <row r="525261" spans="27:27">
      <c r="AA525261" s="613"/>
    </row>
    <row r="525406" spans="27:27">
      <c r="AA525406" s="613"/>
    </row>
    <row r="525407" spans="27:27">
      <c r="AA525407" s="613"/>
    </row>
    <row r="525552" spans="27:27">
      <c r="AA525552" s="613"/>
    </row>
    <row r="525553" spans="27:27">
      <c r="AA525553" s="613"/>
    </row>
    <row r="525698" spans="27:27">
      <c r="AA525698" s="613"/>
    </row>
    <row r="525699" spans="27:27">
      <c r="AA525699" s="613"/>
    </row>
    <row r="525844" spans="27:27">
      <c r="AA525844" s="613"/>
    </row>
    <row r="525845" spans="27:27">
      <c r="AA525845" s="613"/>
    </row>
    <row r="525990" spans="27:27">
      <c r="AA525990" s="613"/>
    </row>
    <row r="525991" spans="27:27">
      <c r="AA525991" s="613"/>
    </row>
    <row r="526136" spans="27:27">
      <c r="AA526136" s="613"/>
    </row>
    <row r="526137" spans="27:27">
      <c r="AA526137" s="613"/>
    </row>
    <row r="526282" spans="27:27">
      <c r="AA526282" s="613"/>
    </row>
    <row r="526283" spans="27:27">
      <c r="AA526283" s="613"/>
    </row>
    <row r="526428" spans="27:27">
      <c r="AA526428" s="613"/>
    </row>
    <row r="526429" spans="27:27">
      <c r="AA526429" s="613"/>
    </row>
    <row r="526574" spans="27:27">
      <c r="AA526574" s="613"/>
    </row>
    <row r="526575" spans="27:27">
      <c r="AA526575" s="613"/>
    </row>
    <row r="526720" spans="27:27">
      <c r="AA526720" s="613"/>
    </row>
    <row r="526721" spans="27:27">
      <c r="AA526721" s="613"/>
    </row>
    <row r="526866" spans="27:27">
      <c r="AA526866" s="613"/>
    </row>
    <row r="526867" spans="27:27">
      <c r="AA526867" s="613"/>
    </row>
    <row r="527012" spans="27:27">
      <c r="AA527012" s="613"/>
    </row>
    <row r="527013" spans="27:27">
      <c r="AA527013" s="613"/>
    </row>
    <row r="527158" spans="27:27">
      <c r="AA527158" s="613"/>
    </row>
    <row r="527159" spans="27:27">
      <c r="AA527159" s="613"/>
    </row>
    <row r="527304" spans="27:27">
      <c r="AA527304" s="613"/>
    </row>
    <row r="527305" spans="27:27">
      <c r="AA527305" s="613"/>
    </row>
    <row r="527450" spans="27:27">
      <c r="AA527450" s="613"/>
    </row>
    <row r="527451" spans="27:27">
      <c r="AA527451" s="613"/>
    </row>
    <row r="527596" spans="27:27">
      <c r="AA527596" s="613"/>
    </row>
    <row r="527597" spans="27:27">
      <c r="AA527597" s="613"/>
    </row>
    <row r="527742" spans="27:27">
      <c r="AA527742" s="613"/>
    </row>
    <row r="527743" spans="27:27">
      <c r="AA527743" s="613"/>
    </row>
    <row r="527888" spans="27:27">
      <c r="AA527888" s="613"/>
    </row>
    <row r="527889" spans="27:27">
      <c r="AA527889" s="613"/>
    </row>
    <row r="528034" spans="27:27">
      <c r="AA528034" s="613"/>
    </row>
    <row r="528035" spans="27:27">
      <c r="AA528035" s="613"/>
    </row>
    <row r="528180" spans="27:27">
      <c r="AA528180" s="613"/>
    </row>
    <row r="528181" spans="27:27">
      <c r="AA528181" s="613"/>
    </row>
    <row r="528326" spans="27:27">
      <c r="AA528326" s="613"/>
    </row>
    <row r="528327" spans="27:27">
      <c r="AA528327" s="613"/>
    </row>
    <row r="528472" spans="27:27">
      <c r="AA528472" s="613"/>
    </row>
    <row r="528473" spans="27:27">
      <c r="AA528473" s="613"/>
    </row>
    <row r="528618" spans="27:27">
      <c r="AA528618" s="613"/>
    </row>
    <row r="528619" spans="27:27">
      <c r="AA528619" s="613"/>
    </row>
    <row r="528764" spans="27:27">
      <c r="AA528764" s="613"/>
    </row>
    <row r="528765" spans="27:27">
      <c r="AA528765" s="613"/>
    </row>
    <row r="528910" spans="27:27">
      <c r="AA528910" s="613"/>
    </row>
    <row r="528911" spans="27:27">
      <c r="AA528911" s="613"/>
    </row>
    <row r="529056" spans="27:27">
      <c r="AA529056" s="613"/>
    </row>
    <row r="529057" spans="27:27">
      <c r="AA529057" s="613"/>
    </row>
    <row r="529202" spans="27:27">
      <c r="AA529202" s="613"/>
    </row>
    <row r="529203" spans="27:27">
      <c r="AA529203" s="613"/>
    </row>
    <row r="529348" spans="27:27">
      <c r="AA529348" s="613"/>
    </row>
    <row r="529349" spans="27:27">
      <c r="AA529349" s="613"/>
    </row>
    <row r="529494" spans="27:27">
      <c r="AA529494" s="613"/>
    </row>
    <row r="529495" spans="27:27">
      <c r="AA529495" s="613"/>
    </row>
    <row r="529640" spans="27:27">
      <c r="AA529640" s="613"/>
    </row>
    <row r="529641" spans="27:27">
      <c r="AA529641" s="613"/>
    </row>
    <row r="529786" spans="27:27">
      <c r="AA529786" s="613"/>
    </row>
    <row r="529787" spans="27:27">
      <c r="AA529787" s="613"/>
    </row>
    <row r="529932" spans="27:27">
      <c r="AA529932" s="613"/>
    </row>
    <row r="529933" spans="27:27">
      <c r="AA529933" s="613"/>
    </row>
    <row r="530078" spans="27:27">
      <c r="AA530078" s="613"/>
    </row>
    <row r="530079" spans="27:27">
      <c r="AA530079" s="613"/>
    </row>
    <row r="530224" spans="27:27">
      <c r="AA530224" s="613"/>
    </row>
    <row r="530225" spans="27:27">
      <c r="AA530225" s="613"/>
    </row>
    <row r="530370" spans="27:27">
      <c r="AA530370" s="613"/>
    </row>
    <row r="530371" spans="27:27">
      <c r="AA530371" s="613"/>
    </row>
    <row r="530516" spans="27:27">
      <c r="AA530516" s="613"/>
    </row>
    <row r="530517" spans="27:27">
      <c r="AA530517" s="613"/>
    </row>
    <row r="530662" spans="27:27">
      <c r="AA530662" s="613"/>
    </row>
    <row r="530663" spans="27:27">
      <c r="AA530663" s="613"/>
    </row>
    <row r="530808" spans="27:27">
      <c r="AA530808" s="613"/>
    </row>
    <row r="530809" spans="27:27">
      <c r="AA530809" s="613"/>
    </row>
    <row r="530954" spans="27:27">
      <c r="AA530954" s="613"/>
    </row>
    <row r="530955" spans="27:27">
      <c r="AA530955" s="613"/>
    </row>
    <row r="531100" spans="27:27">
      <c r="AA531100" s="613"/>
    </row>
    <row r="531101" spans="27:27">
      <c r="AA531101" s="613"/>
    </row>
    <row r="531246" spans="27:27">
      <c r="AA531246" s="613"/>
    </row>
    <row r="531247" spans="27:27">
      <c r="AA531247" s="613"/>
    </row>
    <row r="531392" spans="27:27">
      <c r="AA531392" s="613"/>
    </row>
    <row r="531393" spans="27:27">
      <c r="AA531393" s="613"/>
    </row>
    <row r="531538" spans="27:27">
      <c r="AA531538" s="613"/>
    </row>
    <row r="531539" spans="27:27">
      <c r="AA531539" s="613"/>
    </row>
    <row r="531684" spans="27:27">
      <c r="AA531684" s="613"/>
    </row>
    <row r="531685" spans="27:27">
      <c r="AA531685" s="613"/>
    </row>
    <row r="531830" spans="27:27">
      <c r="AA531830" s="613"/>
    </row>
    <row r="531831" spans="27:27">
      <c r="AA531831" s="613"/>
    </row>
    <row r="531976" spans="27:27">
      <c r="AA531976" s="613"/>
    </row>
    <row r="531977" spans="27:27">
      <c r="AA531977" s="613"/>
    </row>
    <row r="532122" spans="27:27">
      <c r="AA532122" s="613"/>
    </row>
    <row r="532123" spans="27:27">
      <c r="AA532123" s="613"/>
    </row>
    <row r="532268" spans="27:27">
      <c r="AA532268" s="613"/>
    </row>
    <row r="532269" spans="27:27">
      <c r="AA532269" s="613"/>
    </row>
    <row r="532414" spans="27:27">
      <c r="AA532414" s="613"/>
    </row>
    <row r="532415" spans="27:27">
      <c r="AA532415" s="613"/>
    </row>
    <row r="532560" spans="27:27">
      <c r="AA532560" s="613"/>
    </row>
    <row r="532561" spans="27:27">
      <c r="AA532561" s="613"/>
    </row>
    <row r="532706" spans="27:27">
      <c r="AA532706" s="613"/>
    </row>
    <row r="532707" spans="27:27">
      <c r="AA532707" s="613"/>
    </row>
    <row r="532852" spans="27:27">
      <c r="AA532852" s="613"/>
    </row>
    <row r="532853" spans="27:27">
      <c r="AA532853" s="613"/>
    </row>
    <row r="532998" spans="27:27">
      <c r="AA532998" s="613"/>
    </row>
    <row r="532999" spans="27:27">
      <c r="AA532999" s="613"/>
    </row>
    <row r="533144" spans="27:27">
      <c r="AA533144" s="613"/>
    </row>
    <row r="533145" spans="27:27">
      <c r="AA533145" s="613"/>
    </row>
    <row r="533290" spans="27:27">
      <c r="AA533290" s="613"/>
    </row>
    <row r="533291" spans="27:27">
      <c r="AA533291" s="613"/>
    </row>
    <row r="533436" spans="27:27">
      <c r="AA533436" s="613"/>
    </row>
    <row r="533437" spans="27:27">
      <c r="AA533437" s="613"/>
    </row>
    <row r="533582" spans="27:27">
      <c r="AA533582" s="613"/>
    </row>
    <row r="533583" spans="27:27">
      <c r="AA533583" s="613"/>
    </row>
    <row r="533728" spans="27:27">
      <c r="AA533728" s="613"/>
    </row>
    <row r="533729" spans="27:27">
      <c r="AA533729" s="613"/>
    </row>
    <row r="533874" spans="27:27">
      <c r="AA533874" s="613"/>
    </row>
    <row r="533875" spans="27:27">
      <c r="AA533875" s="613"/>
    </row>
    <row r="534020" spans="27:27">
      <c r="AA534020" s="613"/>
    </row>
    <row r="534021" spans="27:27">
      <c r="AA534021" s="613"/>
    </row>
    <row r="534166" spans="27:27">
      <c r="AA534166" s="613"/>
    </row>
    <row r="534167" spans="27:27">
      <c r="AA534167" s="613"/>
    </row>
    <row r="534312" spans="27:27">
      <c r="AA534312" s="613"/>
    </row>
    <row r="534313" spans="27:27">
      <c r="AA534313" s="613"/>
    </row>
    <row r="534458" spans="27:27">
      <c r="AA534458" s="613"/>
    </row>
    <row r="534459" spans="27:27">
      <c r="AA534459" s="613"/>
    </row>
    <row r="534604" spans="27:27">
      <c r="AA534604" s="613"/>
    </row>
    <row r="534605" spans="27:27">
      <c r="AA534605" s="613"/>
    </row>
    <row r="534750" spans="27:27">
      <c r="AA534750" s="613"/>
    </row>
    <row r="534751" spans="27:27">
      <c r="AA534751" s="613"/>
    </row>
    <row r="534896" spans="27:27">
      <c r="AA534896" s="613"/>
    </row>
    <row r="534897" spans="27:27">
      <c r="AA534897" s="613"/>
    </row>
    <row r="535042" spans="27:27">
      <c r="AA535042" s="613"/>
    </row>
    <row r="535043" spans="27:27">
      <c r="AA535043" s="613"/>
    </row>
    <row r="535188" spans="27:27">
      <c r="AA535188" s="613"/>
    </row>
    <row r="535189" spans="27:27">
      <c r="AA535189" s="613"/>
    </row>
    <row r="535334" spans="27:27">
      <c r="AA535334" s="613"/>
    </row>
    <row r="535335" spans="27:27">
      <c r="AA535335" s="613"/>
    </row>
    <row r="535480" spans="27:27">
      <c r="AA535480" s="613"/>
    </row>
    <row r="535481" spans="27:27">
      <c r="AA535481" s="613"/>
    </row>
    <row r="535626" spans="27:27">
      <c r="AA535626" s="613"/>
    </row>
    <row r="535627" spans="27:27">
      <c r="AA535627" s="613"/>
    </row>
    <row r="535772" spans="27:27">
      <c r="AA535772" s="613"/>
    </row>
    <row r="535773" spans="27:27">
      <c r="AA535773" s="613"/>
    </row>
    <row r="535918" spans="27:27">
      <c r="AA535918" s="613"/>
    </row>
    <row r="535919" spans="27:27">
      <c r="AA535919" s="613"/>
    </row>
    <row r="536064" spans="27:27">
      <c r="AA536064" s="613"/>
    </row>
    <row r="536065" spans="27:27">
      <c r="AA536065" s="613"/>
    </row>
    <row r="536210" spans="27:27">
      <c r="AA536210" s="613"/>
    </row>
    <row r="536211" spans="27:27">
      <c r="AA536211" s="613"/>
    </row>
    <row r="536356" spans="27:27">
      <c r="AA536356" s="613"/>
    </row>
    <row r="536357" spans="27:27">
      <c r="AA536357" s="613"/>
    </row>
    <row r="536502" spans="27:27">
      <c r="AA536502" s="613"/>
    </row>
    <row r="536503" spans="27:27">
      <c r="AA536503" s="613"/>
    </row>
    <row r="536648" spans="27:27">
      <c r="AA536648" s="613"/>
    </row>
    <row r="536649" spans="27:27">
      <c r="AA536649" s="613"/>
    </row>
    <row r="536794" spans="27:27">
      <c r="AA536794" s="613"/>
    </row>
    <row r="536795" spans="27:27">
      <c r="AA536795" s="613"/>
    </row>
    <row r="536940" spans="27:27">
      <c r="AA536940" s="613"/>
    </row>
    <row r="536941" spans="27:27">
      <c r="AA536941" s="613"/>
    </row>
    <row r="537086" spans="27:27">
      <c r="AA537086" s="613"/>
    </row>
    <row r="537087" spans="27:27">
      <c r="AA537087" s="613"/>
    </row>
    <row r="537232" spans="27:27">
      <c r="AA537232" s="613"/>
    </row>
    <row r="537233" spans="27:27">
      <c r="AA537233" s="613"/>
    </row>
    <row r="537378" spans="27:27">
      <c r="AA537378" s="613"/>
    </row>
    <row r="537379" spans="27:27">
      <c r="AA537379" s="613"/>
    </row>
    <row r="537524" spans="27:27">
      <c r="AA537524" s="613"/>
    </row>
    <row r="537525" spans="27:27">
      <c r="AA537525" s="613"/>
    </row>
    <row r="537670" spans="27:27">
      <c r="AA537670" s="613"/>
    </row>
    <row r="537671" spans="27:27">
      <c r="AA537671" s="613"/>
    </row>
    <row r="537816" spans="27:27">
      <c r="AA537816" s="613"/>
    </row>
    <row r="537817" spans="27:27">
      <c r="AA537817" s="613"/>
    </row>
    <row r="537962" spans="27:27">
      <c r="AA537962" s="613"/>
    </row>
    <row r="537963" spans="27:27">
      <c r="AA537963" s="613"/>
    </row>
    <row r="538108" spans="27:27">
      <c r="AA538108" s="613"/>
    </row>
    <row r="538109" spans="27:27">
      <c r="AA538109" s="613"/>
    </row>
    <row r="538254" spans="27:27">
      <c r="AA538254" s="613"/>
    </row>
    <row r="538255" spans="27:27">
      <c r="AA538255" s="613"/>
    </row>
    <row r="538400" spans="27:27">
      <c r="AA538400" s="613"/>
    </row>
    <row r="538401" spans="27:27">
      <c r="AA538401" s="613"/>
    </row>
    <row r="538546" spans="27:27">
      <c r="AA538546" s="613"/>
    </row>
    <row r="538547" spans="27:27">
      <c r="AA538547" s="613"/>
    </row>
    <row r="538692" spans="27:27">
      <c r="AA538692" s="613"/>
    </row>
    <row r="538693" spans="27:27">
      <c r="AA538693" s="613"/>
    </row>
    <row r="538838" spans="27:27">
      <c r="AA538838" s="613"/>
    </row>
    <row r="538839" spans="27:27">
      <c r="AA538839" s="613"/>
    </row>
    <row r="538984" spans="27:27">
      <c r="AA538984" s="613"/>
    </row>
    <row r="538985" spans="27:27">
      <c r="AA538985" s="613"/>
    </row>
    <row r="539130" spans="27:27">
      <c r="AA539130" s="613"/>
    </row>
    <row r="539131" spans="27:27">
      <c r="AA539131" s="613"/>
    </row>
    <row r="539276" spans="27:27">
      <c r="AA539276" s="613"/>
    </row>
    <row r="539277" spans="27:27">
      <c r="AA539277" s="613"/>
    </row>
    <row r="539422" spans="27:27">
      <c r="AA539422" s="613"/>
    </row>
    <row r="539423" spans="27:27">
      <c r="AA539423" s="613"/>
    </row>
    <row r="539568" spans="27:27">
      <c r="AA539568" s="613"/>
    </row>
    <row r="539569" spans="27:27">
      <c r="AA539569" s="613"/>
    </row>
    <row r="539714" spans="27:27">
      <c r="AA539714" s="613"/>
    </row>
    <row r="539715" spans="27:27">
      <c r="AA539715" s="613"/>
    </row>
    <row r="539860" spans="27:27">
      <c r="AA539860" s="613"/>
    </row>
    <row r="539861" spans="27:27">
      <c r="AA539861" s="613"/>
    </row>
    <row r="540006" spans="27:27">
      <c r="AA540006" s="613"/>
    </row>
    <row r="540007" spans="27:27">
      <c r="AA540007" s="613"/>
    </row>
    <row r="540152" spans="27:27">
      <c r="AA540152" s="613"/>
    </row>
    <row r="540153" spans="27:27">
      <c r="AA540153" s="613"/>
    </row>
    <row r="540298" spans="27:27">
      <c r="AA540298" s="613"/>
    </row>
    <row r="540299" spans="27:27">
      <c r="AA540299" s="613"/>
    </row>
    <row r="540444" spans="27:27">
      <c r="AA540444" s="613"/>
    </row>
    <row r="540445" spans="27:27">
      <c r="AA540445" s="613"/>
    </row>
    <row r="540590" spans="27:27">
      <c r="AA540590" s="613"/>
    </row>
    <row r="540591" spans="27:27">
      <c r="AA540591" s="613"/>
    </row>
    <row r="540736" spans="27:27">
      <c r="AA540736" s="613"/>
    </row>
    <row r="540737" spans="27:27">
      <c r="AA540737" s="613"/>
    </row>
    <row r="540882" spans="27:27">
      <c r="AA540882" s="613"/>
    </row>
    <row r="540883" spans="27:27">
      <c r="AA540883" s="613"/>
    </row>
    <row r="541028" spans="27:27">
      <c r="AA541028" s="613"/>
    </row>
    <row r="541029" spans="27:27">
      <c r="AA541029" s="613"/>
    </row>
    <row r="541174" spans="27:27">
      <c r="AA541174" s="613"/>
    </row>
    <row r="541175" spans="27:27">
      <c r="AA541175" s="613"/>
    </row>
    <row r="541320" spans="27:27">
      <c r="AA541320" s="613"/>
    </row>
    <row r="541321" spans="27:27">
      <c r="AA541321" s="613"/>
    </row>
    <row r="541466" spans="27:27">
      <c r="AA541466" s="613"/>
    </row>
    <row r="541467" spans="27:27">
      <c r="AA541467" s="613"/>
    </row>
    <row r="541612" spans="27:27">
      <c r="AA541612" s="613"/>
    </row>
    <row r="541613" spans="27:27">
      <c r="AA541613" s="613"/>
    </row>
    <row r="541758" spans="27:27">
      <c r="AA541758" s="613"/>
    </row>
    <row r="541759" spans="27:27">
      <c r="AA541759" s="613"/>
    </row>
    <row r="541904" spans="27:27">
      <c r="AA541904" s="613"/>
    </row>
    <row r="541905" spans="27:27">
      <c r="AA541905" s="613"/>
    </row>
    <row r="542050" spans="27:27">
      <c r="AA542050" s="613"/>
    </row>
    <row r="542051" spans="27:27">
      <c r="AA542051" s="613"/>
    </row>
    <row r="542196" spans="27:27">
      <c r="AA542196" s="613"/>
    </row>
    <row r="542197" spans="27:27">
      <c r="AA542197" s="613"/>
    </row>
    <row r="542342" spans="27:27">
      <c r="AA542342" s="613"/>
    </row>
    <row r="542343" spans="27:27">
      <c r="AA542343" s="613"/>
    </row>
    <row r="542488" spans="27:27">
      <c r="AA542488" s="613"/>
    </row>
    <row r="542489" spans="27:27">
      <c r="AA542489" s="613"/>
    </row>
    <row r="542634" spans="27:27">
      <c r="AA542634" s="613"/>
    </row>
    <row r="542635" spans="27:27">
      <c r="AA542635" s="613"/>
    </row>
    <row r="542780" spans="27:27">
      <c r="AA542780" s="613"/>
    </row>
    <row r="542781" spans="27:27">
      <c r="AA542781" s="613"/>
    </row>
    <row r="542926" spans="27:27">
      <c r="AA542926" s="613"/>
    </row>
    <row r="542927" spans="27:27">
      <c r="AA542927" s="613"/>
    </row>
    <row r="543072" spans="27:27">
      <c r="AA543072" s="613"/>
    </row>
    <row r="543073" spans="27:27">
      <c r="AA543073" s="613"/>
    </row>
    <row r="543218" spans="27:27">
      <c r="AA543218" s="613"/>
    </row>
    <row r="543219" spans="27:27">
      <c r="AA543219" s="613"/>
    </row>
    <row r="543364" spans="27:27">
      <c r="AA543364" s="613"/>
    </row>
    <row r="543365" spans="27:27">
      <c r="AA543365" s="613"/>
    </row>
    <row r="543510" spans="27:27">
      <c r="AA543510" s="613"/>
    </row>
    <row r="543511" spans="27:27">
      <c r="AA543511" s="613"/>
    </row>
    <row r="543656" spans="27:27">
      <c r="AA543656" s="613"/>
    </row>
    <row r="543657" spans="27:27">
      <c r="AA543657" s="613"/>
    </row>
    <row r="543802" spans="27:27">
      <c r="AA543802" s="613"/>
    </row>
    <row r="543803" spans="27:27">
      <c r="AA543803" s="613"/>
    </row>
    <row r="543948" spans="27:27">
      <c r="AA543948" s="613"/>
    </row>
    <row r="543949" spans="27:27">
      <c r="AA543949" s="613"/>
    </row>
    <row r="544094" spans="27:27">
      <c r="AA544094" s="613"/>
    </row>
    <row r="544095" spans="27:27">
      <c r="AA544095" s="613"/>
    </row>
    <row r="544240" spans="27:27">
      <c r="AA544240" s="613"/>
    </row>
    <row r="544241" spans="27:27">
      <c r="AA544241" s="613"/>
    </row>
    <row r="544386" spans="27:27">
      <c r="AA544386" s="613"/>
    </row>
    <row r="544387" spans="27:27">
      <c r="AA544387" s="613"/>
    </row>
    <row r="544532" spans="27:27">
      <c r="AA544532" s="613"/>
    </row>
    <row r="544533" spans="27:27">
      <c r="AA544533" s="613"/>
    </row>
    <row r="544678" spans="27:27">
      <c r="AA544678" s="613"/>
    </row>
    <row r="544679" spans="27:27">
      <c r="AA544679" s="613"/>
    </row>
    <row r="544824" spans="27:27">
      <c r="AA544824" s="613"/>
    </row>
    <row r="544825" spans="27:27">
      <c r="AA544825" s="613"/>
    </row>
    <row r="544970" spans="27:27">
      <c r="AA544970" s="613"/>
    </row>
    <row r="544971" spans="27:27">
      <c r="AA544971" s="613"/>
    </row>
    <row r="545116" spans="27:27">
      <c r="AA545116" s="613"/>
    </row>
    <row r="545117" spans="27:27">
      <c r="AA545117" s="613"/>
    </row>
    <row r="545262" spans="27:27">
      <c r="AA545262" s="613"/>
    </row>
    <row r="545263" spans="27:27">
      <c r="AA545263" s="613"/>
    </row>
    <row r="545408" spans="27:27">
      <c r="AA545408" s="613"/>
    </row>
    <row r="545409" spans="27:27">
      <c r="AA545409" s="613"/>
    </row>
    <row r="545554" spans="27:27">
      <c r="AA545554" s="613"/>
    </row>
    <row r="545555" spans="27:27">
      <c r="AA545555" s="613"/>
    </row>
    <row r="545700" spans="27:27">
      <c r="AA545700" s="613"/>
    </row>
    <row r="545701" spans="27:27">
      <c r="AA545701" s="613"/>
    </row>
    <row r="545846" spans="27:27">
      <c r="AA545846" s="613"/>
    </row>
    <row r="545847" spans="27:27">
      <c r="AA545847" s="613"/>
    </row>
    <row r="545992" spans="27:27">
      <c r="AA545992" s="613"/>
    </row>
    <row r="545993" spans="27:27">
      <c r="AA545993" s="613"/>
    </row>
    <row r="546138" spans="27:27">
      <c r="AA546138" s="613"/>
    </row>
    <row r="546139" spans="27:27">
      <c r="AA546139" s="613"/>
    </row>
    <row r="546284" spans="27:27">
      <c r="AA546284" s="613"/>
    </row>
    <row r="546285" spans="27:27">
      <c r="AA546285" s="613"/>
    </row>
    <row r="546430" spans="27:27">
      <c r="AA546430" s="613"/>
    </row>
    <row r="546431" spans="27:27">
      <c r="AA546431" s="613"/>
    </row>
    <row r="546576" spans="27:27">
      <c r="AA546576" s="613"/>
    </row>
    <row r="546577" spans="27:27">
      <c r="AA546577" s="613"/>
    </row>
    <row r="546722" spans="27:27">
      <c r="AA546722" s="613"/>
    </row>
    <row r="546723" spans="27:27">
      <c r="AA546723" s="613"/>
    </row>
    <row r="546868" spans="27:27">
      <c r="AA546868" s="613"/>
    </row>
    <row r="546869" spans="27:27">
      <c r="AA546869" s="613"/>
    </row>
    <row r="547014" spans="27:27">
      <c r="AA547014" s="613"/>
    </row>
    <row r="547015" spans="27:27">
      <c r="AA547015" s="613"/>
    </row>
    <row r="547160" spans="27:27">
      <c r="AA547160" s="613"/>
    </row>
    <row r="547161" spans="27:27">
      <c r="AA547161" s="613"/>
    </row>
    <row r="547306" spans="27:27">
      <c r="AA547306" s="613"/>
    </row>
    <row r="547307" spans="27:27">
      <c r="AA547307" s="613"/>
    </row>
    <row r="547452" spans="27:27">
      <c r="AA547452" s="613"/>
    </row>
    <row r="547453" spans="27:27">
      <c r="AA547453" s="613"/>
    </row>
    <row r="547598" spans="27:27">
      <c r="AA547598" s="613"/>
    </row>
    <row r="547599" spans="27:27">
      <c r="AA547599" s="613"/>
    </row>
    <row r="547744" spans="27:27">
      <c r="AA547744" s="613"/>
    </row>
    <row r="547745" spans="27:27">
      <c r="AA547745" s="613"/>
    </row>
    <row r="547890" spans="27:27">
      <c r="AA547890" s="613"/>
    </row>
    <row r="547891" spans="27:27">
      <c r="AA547891" s="613"/>
    </row>
    <row r="548036" spans="27:27">
      <c r="AA548036" s="613"/>
    </row>
    <row r="548037" spans="27:27">
      <c r="AA548037" s="613"/>
    </row>
    <row r="548182" spans="27:27">
      <c r="AA548182" s="613"/>
    </row>
    <row r="548183" spans="27:27">
      <c r="AA548183" s="613"/>
    </row>
    <row r="548328" spans="27:27">
      <c r="AA548328" s="613"/>
    </row>
    <row r="548329" spans="27:27">
      <c r="AA548329" s="613"/>
    </row>
    <row r="548474" spans="27:27">
      <c r="AA548474" s="613"/>
    </row>
    <row r="548475" spans="27:27">
      <c r="AA548475" s="613"/>
    </row>
    <row r="548620" spans="27:27">
      <c r="AA548620" s="613"/>
    </row>
    <row r="548621" spans="27:27">
      <c r="AA548621" s="613"/>
    </row>
    <row r="548766" spans="27:27">
      <c r="AA548766" s="613"/>
    </row>
    <row r="548767" spans="27:27">
      <c r="AA548767" s="613"/>
    </row>
    <row r="548912" spans="27:27">
      <c r="AA548912" s="613"/>
    </row>
    <row r="548913" spans="27:27">
      <c r="AA548913" s="613"/>
    </row>
    <row r="549058" spans="27:27">
      <c r="AA549058" s="613"/>
    </row>
    <row r="549059" spans="27:27">
      <c r="AA549059" s="613"/>
    </row>
    <row r="549204" spans="27:27">
      <c r="AA549204" s="613"/>
    </row>
    <row r="549205" spans="27:27">
      <c r="AA549205" s="613"/>
    </row>
    <row r="549350" spans="27:27">
      <c r="AA549350" s="613"/>
    </row>
    <row r="549351" spans="27:27">
      <c r="AA549351" s="613"/>
    </row>
    <row r="549496" spans="27:27">
      <c r="AA549496" s="613"/>
    </row>
    <row r="549497" spans="27:27">
      <c r="AA549497" s="613"/>
    </row>
    <row r="549642" spans="27:27">
      <c r="AA549642" s="613"/>
    </row>
    <row r="549643" spans="27:27">
      <c r="AA549643" s="613"/>
    </row>
    <row r="549788" spans="27:27">
      <c r="AA549788" s="613"/>
    </row>
    <row r="549789" spans="27:27">
      <c r="AA549789" s="613"/>
    </row>
    <row r="549934" spans="27:27">
      <c r="AA549934" s="613"/>
    </row>
    <row r="549935" spans="27:27">
      <c r="AA549935" s="613"/>
    </row>
    <row r="550080" spans="27:27">
      <c r="AA550080" s="613"/>
    </row>
    <row r="550081" spans="27:27">
      <c r="AA550081" s="613"/>
    </row>
    <row r="550226" spans="27:27">
      <c r="AA550226" s="613"/>
    </row>
    <row r="550227" spans="27:27">
      <c r="AA550227" s="613"/>
    </row>
    <row r="550372" spans="27:27">
      <c r="AA550372" s="613"/>
    </row>
    <row r="550373" spans="27:27">
      <c r="AA550373" s="613"/>
    </row>
    <row r="550518" spans="27:27">
      <c r="AA550518" s="613"/>
    </row>
    <row r="550519" spans="27:27">
      <c r="AA550519" s="613"/>
    </row>
    <row r="550664" spans="27:27">
      <c r="AA550664" s="613"/>
    </row>
    <row r="550665" spans="27:27">
      <c r="AA550665" s="613"/>
    </row>
    <row r="550810" spans="27:27">
      <c r="AA550810" s="613"/>
    </row>
    <row r="550811" spans="27:27">
      <c r="AA550811" s="613"/>
    </row>
    <row r="550956" spans="27:27">
      <c r="AA550956" s="613"/>
    </row>
    <row r="550957" spans="27:27">
      <c r="AA550957" s="613"/>
    </row>
    <row r="551102" spans="27:27">
      <c r="AA551102" s="613"/>
    </row>
    <row r="551103" spans="27:27">
      <c r="AA551103" s="613"/>
    </row>
    <row r="551248" spans="27:27">
      <c r="AA551248" s="613"/>
    </row>
    <row r="551249" spans="27:27">
      <c r="AA551249" s="613"/>
    </row>
    <row r="551394" spans="27:27">
      <c r="AA551394" s="613"/>
    </row>
    <row r="551395" spans="27:27">
      <c r="AA551395" s="613"/>
    </row>
    <row r="551540" spans="27:27">
      <c r="AA551540" s="613"/>
    </row>
    <row r="551541" spans="27:27">
      <c r="AA551541" s="613"/>
    </row>
    <row r="551686" spans="27:27">
      <c r="AA551686" s="613"/>
    </row>
    <row r="551687" spans="27:27">
      <c r="AA551687" s="613"/>
    </row>
    <row r="551832" spans="27:27">
      <c r="AA551832" s="613"/>
    </row>
    <row r="551833" spans="27:27">
      <c r="AA551833" s="613"/>
    </row>
    <row r="551978" spans="27:27">
      <c r="AA551978" s="613"/>
    </row>
    <row r="551979" spans="27:27">
      <c r="AA551979" s="613"/>
    </row>
    <row r="552124" spans="27:27">
      <c r="AA552124" s="613"/>
    </row>
    <row r="552125" spans="27:27">
      <c r="AA552125" s="613"/>
    </row>
    <row r="552270" spans="27:27">
      <c r="AA552270" s="613"/>
    </row>
    <row r="552271" spans="27:27">
      <c r="AA552271" s="613"/>
    </row>
    <row r="552416" spans="27:27">
      <c r="AA552416" s="613"/>
    </row>
    <row r="552417" spans="27:27">
      <c r="AA552417" s="613"/>
    </row>
    <row r="552562" spans="27:27">
      <c r="AA552562" s="613"/>
    </row>
    <row r="552563" spans="27:27">
      <c r="AA552563" s="613"/>
    </row>
    <row r="552708" spans="27:27">
      <c r="AA552708" s="613"/>
    </row>
    <row r="552709" spans="27:27">
      <c r="AA552709" s="613"/>
    </row>
    <row r="552854" spans="27:27">
      <c r="AA552854" s="613"/>
    </row>
    <row r="552855" spans="27:27">
      <c r="AA552855" s="613"/>
    </row>
    <row r="553000" spans="27:27">
      <c r="AA553000" s="613"/>
    </row>
    <row r="553001" spans="27:27">
      <c r="AA553001" s="613"/>
    </row>
    <row r="553146" spans="27:27">
      <c r="AA553146" s="613"/>
    </row>
    <row r="553147" spans="27:27">
      <c r="AA553147" s="613"/>
    </row>
    <row r="553292" spans="27:27">
      <c r="AA553292" s="613"/>
    </row>
    <row r="553293" spans="27:27">
      <c r="AA553293" s="613"/>
    </row>
    <row r="553438" spans="27:27">
      <c r="AA553438" s="613"/>
    </row>
    <row r="553439" spans="27:27">
      <c r="AA553439" s="613"/>
    </row>
    <row r="553584" spans="27:27">
      <c r="AA553584" s="613"/>
    </row>
    <row r="553585" spans="27:27">
      <c r="AA553585" s="613"/>
    </row>
    <row r="553730" spans="27:27">
      <c r="AA553730" s="613"/>
    </row>
    <row r="553731" spans="27:27">
      <c r="AA553731" s="613"/>
    </row>
    <row r="553876" spans="27:27">
      <c r="AA553876" s="613"/>
    </row>
    <row r="553877" spans="27:27">
      <c r="AA553877" s="613"/>
    </row>
    <row r="554022" spans="27:27">
      <c r="AA554022" s="613"/>
    </row>
    <row r="554023" spans="27:27">
      <c r="AA554023" s="613"/>
    </row>
    <row r="554168" spans="27:27">
      <c r="AA554168" s="613"/>
    </row>
    <row r="554169" spans="27:27">
      <c r="AA554169" s="613"/>
    </row>
    <row r="554314" spans="27:27">
      <c r="AA554314" s="613"/>
    </row>
    <row r="554315" spans="27:27">
      <c r="AA554315" s="613"/>
    </row>
    <row r="554460" spans="27:27">
      <c r="AA554460" s="613"/>
    </row>
    <row r="554461" spans="27:27">
      <c r="AA554461" s="613"/>
    </row>
    <row r="554606" spans="27:27">
      <c r="AA554606" s="613"/>
    </row>
    <row r="554607" spans="27:27">
      <c r="AA554607" s="613"/>
    </row>
    <row r="554752" spans="27:27">
      <c r="AA554752" s="613"/>
    </row>
    <row r="554753" spans="27:27">
      <c r="AA554753" s="613"/>
    </row>
    <row r="554898" spans="27:27">
      <c r="AA554898" s="613"/>
    </row>
    <row r="554899" spans="27:27">
      <c r="AA554899" s="613"/>
    </row>
    <row r="555044" spans="27:27">
      <c r="AA555044" s="613"/>
    </row>
    <row r="555045" spans="27:27">
      <c r="AA555045" s="613"/>
    </row>
    <row r="555190" spans="27:27">
      <c r="AA555190" s="613"/>
    </row>
    <row r="555191" spans="27:27">
      <c r="AA555191" s="613"/>
    </row>
    <row r="555336" spans="27:27">
      <c r="AA555336" s="613"/>
    </row>
    <row r="555337" spans="27:27">
      <c r="AA555337" s="613"/>
    </row>
    <row r="555482" spans="27:27">
      <c r="AA555482" s="613"/>
    </row>
    <row r="555483" spans="27:27">
      <c r="AA555483" s="613"/>
    </row>
    <row r="555628" spans="27:27">
      <c r="AA555628" s="613"/>
    </row>
    <row r="555629" spans="27:27">
      <c r="AA555629" s="613"/>
    </row>
    <row r="555774" spans="27:27">
      <c r="AA555774" s="613"/>
    </row>
    <row r="555775" spans="27:27">
      <c r="AA555775" s="613"/>
    </row>
    <row r="555920" spans="27:27">
      <c r="AA555920" s="613"/>
    </row>
    <row r="555921" spans="27:27">
      <c r="AA555921" s="613"/>
    </row>
    <row r="556066" spans="27:27">
      <c r="AA556066" s="613"/>
    </row>
    <row r="556067" spans="27:27">
      <c r="AA556067" s="613"/>
    </row>
    <row r="556212" spans="27:27">
      <c r="AA556212" s="613"/>
    </row>
    <row r="556213" spans="27:27">
      <c r="AA556213" s="613"/>
    </row>
    <row r="556358" spans="27:27">
      <c r="AA556358" s="613"/>
    </row>
    <row r="556359" spans="27:27">
      <c r="AA556359" s="613"/>
    </row>
    <row r="556504" spans="27:27">
      <c r="AA556504" s="613"/>
    </row>
    <row r="556505" spans="27:27">
      <c r="AA556505" s="613"/>
    </row>
    <row r="556650" spans="27:27">
      <c r="AA556650" s="613"/>
    </row>
    <row r="556651" spans="27:27">
      <c r="AA556651" s="613"/>
    </row>
    <row r="556796" spans="27:27">
      <c r="AA556796" s="613"/>
    </row>
    <row r="556797" spans="27:27">
      <c r="AA556797" s="613"/>
    </row>
    <row r="556942" spans="27:27">
      <c r="AA556942" s="613"/>
    </row>
    <row r="556943" spans="27:27">
      <c r="AA556943" s="613"/>
    </row>
    <row r="557088" spans="27:27">
      <c r="AA557088" s="613"/>
    </row>
    <row r="557089" spans="27:27">
      <c r="AA557089" s="613"/>
    </row>
    <row r="557234" spans="27:27">
      <c r="AA557234" s="613"/>
    </row>
    <row r="557235" spans="27:27">
      <c r="AA557235" s="613"/>
    </row>
    <row r="557380" spans="27:27">
      <c r="AA557380" s="613"/>
    </row>
    <row r="557381" spans="27:27">
      <c r="AA557381" s="613"/>
    </row>
    <row r="557526" spans="27:27">
      <c r="AA557526" s="613"/>
    </row>
    <row r="557527" spans="27:27">
      <c r="AA557527" s="613"/>
    </row>
    <row r="557672" spans="27:27">
      <c r="AA557672" s="613"/>
    </row>
    <row r="557673" spans="27:27">
      <c r="AA557673" s="613"/>
    </row>
    <row r="557818" spans="27:27">
      <c r="AA557818" s="613"/>
    </row>
    <row r="557819" spans="27:27">
      <c r="AA557819" s="613"/>
    </row>
    <row r="557964" spans="27:27">
      <c r="AA557964" s="613"/>
    </row>
    <row r="557965" spans="27:27">
      <c r="AA557965" s="613"/>
    </row>
    <row r="558110" spans="27:27">
      <c r="AA558110" s="613"/>
    </row>
    <row r="558111" spans="27:27">
      <c r="AA558111" s="613"/>
    </row>
    <row r="558256" spans="27:27">
      <c r="AA558256" s="613"/>
    </row>
    <row r="558257" spans="27:27">
      <c r="AA558257" s="613"/>
    </row>
    <row r="558402" spans="27:27">
      <c r="AA558402" s="613"/>
    </row>
    <row r="558403" spans="27:27">
      <c r="AA558403" s="613"/>
    </row>
    <row r="558548" spans="27:27">
      <c r="AA558548" s="613"/>
    </row>
    <row r="558549" spans="27:27">
      <c r="AA558549" s="613"/>
    </row>
    <row r="558694" spans="27:27">
      <c r="AA558694" s="613"/>
    </row>
    <row r="558695" spans="27:27">
      <c r="AA558695" s="613"/>
    </row>
    <row r="558840" spans="27:27">
      <c r="AA558840" s="613"/>
    </row>
    <row r="558841" spans="27:27">
      <c r="AA558841" s="613"/>
    </row>
    <row r="558986" spans="27:27">
      <c r="AA558986" s="613"/>
    </row>
    <row r="558987" spans="27:27">
      <c r="AA558987" s="613"/>
    </row>
    <row r="559132" spans="27:27">
      <c r="AA559132" s="613"/>
    </row>
    <row r="559133" spans="27:27">
      <c r="AA559133" s="613"/>
    </row>
    <row r="559278" spans="27:27">
      <c r="AA559278" s="613"/>
    </row>
    <row r="559279" spans="27:27">
      <c r="AA559279" s="613"/>
    </row>
    <row r="559424" spans="27:27">
      <c r="AA559424" s="613"/>
    </row>
    <row r="559425" spans="27:27">
      <c r="AA559425" s="613"/>
    </row>
    <row r="559570" spans="27:27">
      <c r="AA559570" s="613"/>
    </row>
    <row r="559571" spans="27:27">
      <c r="AA559571" s="613"/>
    </row>
    <row r="559716" spans="27:27">
      <c r="AA559716" s="613"/>
    </row>
    <row r="559717" spans="27:27">
      <c r="AA559717" s="613"/>
    </row>
    <row r="559862" spans="27:27">
      <c r="AA559862" s="613"/>
    </row>
    <row r="559863" spans="27:27">
      <c r="AA559863" s="613"/>
    </row>
    <row r="560008" spans="27:27">
      <c r="AA560008" s="613"/>
    </row>
    <row r="560009" spans="27:27">
      <c r="AA560009" s="613"/>
    </row>
    <row r="560154" spans="27:27">
      <c r="AA560154" s="613"/>
    </row>
    <row r="560155" spans="27:27">
      <c r="AA560155" s="613"/>
    </row>
    <row r="560300" spans="27:27">
      <c r="AA560300" s="613"/>
    </row>
    <row r="560301" spans="27:27">
      <c r="AA560301" s="613"/>
    </row>
    <row r="560446" spans="27:27">
      <c r="AA560446" s="613"/>
    </row>
    <row r="560447" spans="27:27">
      <c r="AA560447" s="613"/>
    </row>
    <row r="560592" spans="27:27">
      <c r="AA560592" s="613"/>
    </row>
    <row r="560593" spans="27:27">
      <c r="AA560593" s="613"/>
    </row>
    <row r="560738" spans="27:27">
      <c r="AA560738" s="613"/>
    </row>
    <row r="560739" spans="27:27">
      <c r="AA560739" s="613"/>
    </row>
    <row r="560884" spans="27:27">
      <c r="AA560884" s="613"/>
    </row>
    <row r="560885" spans="27:27">
      <c r="AA560885" s="613"/>
    </row>
    <row r="561030" spans="27:27">
      <c r="AA561030" s="613"/>
    </row>
    <row r="561031" spans="27:27">
      <c r="AA561031" s="613"/>
    </row>
    <row r="561176" spans="27:27">
      <c r="AA561176" s="613"/>
    </row>
    <row r="561177" spans="27:27">
      <c r="AA561177" s="613"/>
    </row>
    <row r="561322" spans="27:27">
      <c r="AA561322" s="613"/>
    </row>
    <row r="561323" spans="27:27">
      <c r="AA561323" s="613"/>
    </row>
    <row r="561468" spans="27:27">
      <c r="AA561468" s="613"/>
    </row>
    <row r="561469" spans="27:27">
      <c r="AA561469" s="613"/>
    </row>
    <row r="561614" spans="27:27">
      <c r="AA561614" s="613"/>
    </row>
    <row r="561615" spans="27:27">
      <c r="AA561615" s="613"/>
    </row>
    <row r="561760" spans="27:27">
      <c r="AA561760" s="613"/>
    </row>
    <row r="561761" spans="27:27">
      <c r="AA561761" s="613"/>
    </row>
    <row r="561906" spans="27:27">
      <c r="AA561906" s="613"/>
    </row>
    <row r="561907" spans="27:27">
      <c r="AA561907" s="613"/>
    </row>
    <row r="562052" spans="27:27">
      <c r="AA562052" s="613"/>
    </row>
    <row r="562053" spans="27:27">
      <c r="AA562053" s="613"/>
    </row>
    <row r="562198" spans="27:27">
      <c r="AA562198" s="613"/>
    </row>
    <row r="562199" spans="27:27">
      <c r="AA562199" s="613"/>
    </row>
    <row r="562344" spans="27:27">
      <c r="AA562344" s="613"/>
    </row>
    <row r="562345" spans="27:27">
      <c r="AA562345" s="613"/>
    </row>
    <row r="562490" spans="27:27">
      <c r="AA562490" s="613"/>
    </row>
    <row r="562491" spans="27:27">
      <c r="AA562491" s="613"/>
    </row>
    <row r="562636" spans="27:27">
      <c r="AA562636" s="613"/>
    </row>
    <row r="562637" spans="27:27">
      <c r="AA562637" s="613"/>
    </row>
    <row r="562782" spans="27:27">
      <c r="AA562782" s="613"/>
    </row>
    <row r="562783" spans="27:27">
      <c r="AA562783" s="613"/>
    </row>
    <row r="562928" spans="27:27">
      <c r="AA562928" s="613"/>
    </row>
    <row r="562929" spans="27:27">
      <c r="AA562929" s="613"/>
    </row>
    <row r="563074" spans="27:27">
      <c r="AA563074" s="613"/>
    </row>
    <row r="563075" spans="27:27">
      <c r="AA563075" s="613"/>
    </row>
    <row r="563220" spans="27:27">
      <c r="AA563220" s="613"/>
    </row>
    <row r="563221" spans="27:27">
      <c r="AA563221" s="613"/>
    </row>
    <row r="563366" spans="27:27">
      <c r="AA563366" s="613"/>
    </row>
    <row r="563367" spans="27:27">
      <c r="AA563367" s="613"/>
    </row>
    <row r="563512" spans="27:27">
      <c r="AA563512" s="613"/>
    </row>
    <row r="563513" spans="27:27">
      <c r="AA563513" s="613"/>
    </row>
    <row r="563658" spans="27:27">
      <c r="AA563658" s="613"/>
    </row>
    <row r="563659" spans="27:27">
      <c r="AA563659" s="613"/>
    </row>
    <row r="563804" spans="27:27">
      <c r="AA563804" s="613"/>
    </row>
    <row r="563805" spans="27:27">
      <c r="AA563805" s="613"/>
    </row>
    <row r="563950" spans="27:27">
      <c r="AA563950" s="613"/>
    </row>
    <row r="563951" spans="27:27">
      <c r="AA563951" s="613"/>
    </row>
    <row r="564096" spans="27:27">
      <c r="AA564096" s="613"/>
    </row>
    <row r="564097" spans="27:27">
      <c r="AA564097" s="613"/>
    </row>
    <row r="564242" spans="27:27">
      <c r="AA564242" s="613"/>
    </row>
    <row r="564243" spans="27:27">
      <c r="AA564243" s="613"/>
    </row>
    <row r="564388" spans="27:27">
      <c r="AA564388" s="613"/>
    </row>
    <row r="564389" spans="27:27">
      <c r="AA564389" s="613"/>
    </row>
    <row r="564534" spans="27:27">
      <c r="AA564534" s="613"/>
    </row>
    <row r="564535" spans="27:27">
      <c r="AA564535" s="613"/>
    </row>
    <row r="564680" spans="27:27">
      <c r="AA564680" s="613"/>
    </row>
    <row r="564681" spans="27:27">
      <c r="AA564681" s="613"/>
    </row>
    <row r="564826" spans="27:27">
      <c r="AA564826" s="613"/>
    </row>
    <row r="564827" spans="27:27">
      <c r="AA564827" s="613"/>
    </row>
    <row r="564972" spans="27:27">
      <c r="AA564972" s="613"/>
    </row>
    <row r="564973" spans="27:27">
      <c r="AA564973" s="613"/>
    </row>
    <row r="565118" spans="27:27">
      <c r="AA565118" s="613"/>
    </row>
    <row r="565119" spans="27:27">
      <c r="AA565119" s="613"/>
    </row>
    <row r="565264" spans="27:27">
      <c r="AA565264" s="613"/>
    </row>
    <row r="565265" spans="27:27">
      <c r="AA565265" s="613"/>
    </row>
    <row r="565410" spans="27:27">
      <c r="AA565410" s="613"/>
    </row>
    <row r="565411" spans="27:27">
      <c r="AA565411" s="613"/>
    </row>
    <row r="565556" spans="27:27">
      <c r="AA565556" s="613"/>
    </row>
    <row r="565557" spans="27:27">
      <c r="AA565557" s="613"/>
    </row>
    <row r="565702" spans="27:27">
      <c r="AA565702" s="613"/>
    </row>
    <row r="565703" spans="27:27">
      <c r="AA565703" s="613"/>
    </row>
    <row r="565848" spans="27:27">
      <c r="AA565848" s="613"/>
    </row>
    <row r="565849" spans="27:27">
      <c r="AA565849" s="613"/>
    </row>
    <row r="565994" spans="27:27">
      <c r="AA565994" s="613"/>
    </row>
    <row r="565995" spans="27:27">
      <c r="AA565995" s="613"/>
    </row>
    <row r="566140" spans="27:27">
      <c r="AA566140" s="613"/>
    </row>
    <row r="566141" spans="27:27">
      <c r="AA566141" s="613"/>
    </row>
    <row r="566286" spans="27:27">
      <c r="AA566286" s="613"/>
    </row>
    <row r="566287" spans="27:27">
      <c r="AA566287" s="613"/>
    </row>
    <row r="566432" spans="27:27">
      <c r="AA566432" s="613"/>
    </row>
    <row r="566433" spans="27:27">
      <c r="AA566433" s="613"/>
    </row>
    <row r="566578" spans="27:27">
      <c r="AA566578" s="613"/>
    </row>
    <row r="566579" spans="27:27">
      <c r="AA566579" s="613"/>
    </row>
    <row r="566724" spans="27:27">
      <c r="AA566724" s="613"/>
    </row>
    <row r="566725" spans="27:27">
      <c r="AA566725" s="613"/>
    </row>
    <row r="566870" spans="27:27">
      <c r="AA566870" s="613"/>
    </row>
    <row r="566871" spans="27:27">
      <c r="AA566871" s="613"/>
    </row>
    <row r="567016" spans="27:27">
      <c r="AA567016" s="613"/>
    </row>
    <row r="567017" spans="27:27">
      <c r="AA567017" s="613"/>
    </row>
    <row r="567162" spans="27:27">
      <c r="AA567162" s="613"/>
    </row>
    <row r="567163" spans="27:27">
      <c r="AA567163" s="613"/>
    </row>
    <row r="567308" spans="27:27">
      <c r="AA567308" s="613"/>
    </row>
    <row r="567309" spans="27:27">
      <c r="AA567309" s="613"/>
    </row>
    <row r="567454" spans="27:27">
      <c r="AA567454" s="613"/>
    </row>
    <row r="567455" spans="27:27">
      <c r="AA567455" s="613"/>
    </row>
    <row r="567600" spans="27:27">
      <c r="AA567600" s="613"/>
    </row>
    <row r="567601" spans="27:27">
      <c r="AA567601" s="613"/>
    </row>
    <row r="567746" spans="27:27">
      <c r="AA567746" s="613"/>
    </row>
    <row r="567747" spans="27:27">
      <c r="AA567747" s="613"/>
    </row>
    <row r="567892" spans="27:27">
      <c r="AA567892" s="613"/>
    </row>
    <row r="567893" spans="27:27">
      <c r="AA567893" s="613"/>
    </row>
    <row r="568038" spans="27:27">
      <c r="AA568038" s="613"/>
    </row>
    <row r="568039" spans="27:27">
      <c r="AA568039" s="613"/>
    </row>
    <row r="568184" spans="27:27">
      <c r="AA568184" s="613"/>
    </row>
    <row r="568185" spans="27:27">
      <c r="AA568185" s="613"/>
    </row>
    <row r="568330" spans="27:27">
      <c r="AA568330" s="613"/>
    </row>
    <row r="568331" spans="27:27">
      <c r="AA568331" s="613"/>
    </row>
    <row r="568476" spans="27:27">
      <c r="AA568476" s="613"/>
    </row>
    <row r="568477" spans="27:27">
      <c r="AA568477" s="613"/>
    </row>
    <row r="568622" spans="27:27">
      <c r="AA568622" s="613"/>
    </row>
    <row r="568623" spans="27:27">
      <c r="AA568623" s="613"/>
    </row>
    <row r="568768" spans="27:27">
      <c r="AA568768" s="613"/>
    </row>
    <row r="568769" spans="27:27">
      <c r="AA568769" s="613"/>
    </row>
    <row r="568914" spans="27:27">
      <c r="AA568914" s="613"/>
    </row>
    <row r="568915" spans="27:27">
      <c r="AA568915" s="613"/>
    </row>
    <row r="569060" spans="27:27">
      <c r="AA569060" s="613"/>
    </row>
    <row r="569061" spans="27:27">
      <c r="AA569061" s="613"/>
    </row>
    <row r="569206" spans="27:27">
      <c r="AA569206" s="613"/>
    </row>
    <row r="569207" spans="27:27">
      <c r="AA569207" s="613"/>
    </row>
    <row r="569352" spans="27:27">
      <c r="AA569352" s="613"/>
    </row>
    <row r="569353" spans="27:27">
      <c r="AA569353" s="613"/>
    </row>
    <row r="569498" spans="27:27">
      <c r="AA569498" s="613"/>
    </row>
    <row r="569499" spans="27:27">
      <c r="AA569499" s="613"/>
    </row>
    <row r="569644" spans="27:27">
      <c r="AA569644" s="613"/>
    </row>
    <row r="569645" spans="27:27">
      <c r="AA569645" s="613"/>
    </row>
    <row r="569790" spans="27:27">
      <c r="AA569790" s="613"/>
    </row>
    <row r="569791" spans="27:27">
      <c r="AA569791" s="613"/>
    </row>
    <row r="569936" spans="27:27">
      <c r="AA569936" s="613"/>
    </row>
    <row r="569937" spans="27:27">
      <c r="AA569937" s="613"/>
    </row>
    <row r="570082" spans="27:27">
      <c r="AA570082" s="613"/>
    </row>
    <row r="570083" spans="27:27">
      <c r="AA570083" s="613"/>
    </row>
    <row r="570228" spans="27:27">
      <c r="AA570228" s="613"/>
    </row>
    <row r="570229" spans="27:27">
      <c r="AA570229" s="613"/>
    </row>
    <row r="570374" spans="27:27">
      <c r="AA570374" s="613"/>
    </row>
    <row r="570375" spans="27:27">
      <c r="AA570375" s="613"/>
    </row>
    <row r="570520" spans="27:27">
      <c r="AA570520" s="613"/>
    </row>
    <row r="570521" spans="27:27">
      <c r="AA570521" s="613"/>
    </row>
    <row r="570666" spans="27:27">
      <c r="AA570666" s="613"/>
    </row>
    <row r="570667" spans="27:27">
      <c r="AA570667" s="613"/>
    </row>
    <row r="570812" spans="27:27">
      <c r="AA570812" s="613"/>
    </row>
    <row r="570813" spans="27:27">
      <c r="AA570813" s="613"/>
    </row>
    <row r="570958" spans="27:27">
      <c r="AA570958" s="613"/>
    </row>
    <row r="570959" spans="27:27">
      <c r="AA570959" s="613"/>
    </row>
    <row r="571104" spans="27:27">
      <c r="AA571104" s="613"/>
    </row>
    <row r="571105" spans="27:27">
      <c r="AA571105" s="613"/>
    </row>
    <row r="571250" spans="27:27">
      <c r="AA571250" s="613"/>
    </row>
    <row r="571251" spans="27:27">
      <c r="AA571251" s="613"/>
    </row>
    <row r="571396" spans="27:27">
      <c r="AA571396" s="613"/>
    </row>
    <row r="571397" spans="27:27">
      <c r="AA571397" s="613"/>
    </row>
    <row r="571542" spans="27:27">
      <c r="AA571542" s="613"/>
    </row>
    <row r="571543" spans="27:27">
      <c r="AA571543" s="613"/>
    </row>
    <row r="571688" spans="27:27">
      <c r="AA571688" s="613"/>
    </row>
    <row r="571689" spans="27:27">
      <c r="AA571689" s="613"/>
    </row>
    <row r="571834" spans="27:27">
      <c r="AA571834" s="613"/>
    </row>
    <row r="571835" spans="27:27">
      <c r="AA571835" s="613"/>
    </row>
    <row r="571980" spans="27:27">
      <c r="AA571980" s="613"/>
    </row>
    <row r="571981" spans="27:27">
      <c r="AA571981" s="613"/>
    </row>
    <row r="572126" spans="27:27">
      <c r="AA572126" s="613"/>
    </row>
    <row r="572127" spans="27:27">
      <c r="AA572127" s="613"/>
    </row>
    <row r="572272" spans="27:27">
      <c r="AA572272" s="613"/>
    </row>
    <row r="572273" spans="27:27">
      <c r="AA572273" s="613"/>
    </row>
    <row r="572418" spans="27:27">
      <c r="AA572418" s="613"/>
    </row>
    <row r="572419" spans="27:27">
      <c r="AA572419" s="613"/>
    </row>
    <row r="572564" spans="27:27">
      <c r="AA572564" s="613"/>
    </row>
    <row r="572565" spans="27:27">
      <c r="AA572565" s="613"/>
    </row>
    <row r="572710" spans="27:27">
      <c r="AA572710" s="613"/>
    </row>
    <row r="572711" spans="27:27">
      <c r="AA572711" s="613"/>
    </row>
    <row r="572856" spans="27:27">
      <c r="AA572856" s="613"/>
    </row>
    <row r="572857" spans="27:27">
      <c r="AA572857" s="613"/>
    </row>
    <row r="573002" spans="27:27">
      <c r="AA573002" s="613"/>
    </row>
    <row r="573003" spans="27:27">
      <c r="AA573003" s="613"/>
    </row>
    <row r="573148" spans="27:27">
      <c r="AA573148" s="613"/>
    </row>
    <row r="573149" spans="27:27">
      <c r="AA573149" s="613"/>
    </row>
    <row r="573294" spans="27:27">
      <c r="AA573294" s="613"/>
    </row>
    <row r="573295" spans="27:27">
      <c r="AA573295" s="613"/>
    </row>
    <row r="573440" spans="27:27">
      <c r="AA573440" s="613"/>
    </row>
    <row r="573441" spans="27:27">
      <c r="AA573441" s="613"/>
    </row>
    <row r="573586" spans="27:27">
      <c r="AA573586" s="613"/>
    </row>
    <row r="573587" spans="27:27">
      <c r="AA573587" s="613"/>
    </row>
    <row r="573732" spans="27:27">
      <c r="AA573732" s="613"/>
    </row>
    <row r="573733" spans="27:27">
      <c r="AA573733" s="613"/>
    </row>
    <row r="573878" spans="27:27">
      <c r="AA573878" s="613"/>
    </row>
    <row r="573879" spans="27:27">
      <c r="AA573879" s="613"/>
    </row>
    <row r="574024" spans="27:27">
      <c r="AA574024" s="613"/>
    </row>
    <row r="574025" spans="27:27">
      <c r="AA574025" s="613"/>
    </row>
    <row r="574170" spans="27:27">
      <c r="AA574170" s="613"/>
    </row>
    <row r="574171" spans="27:27">
      <c r="AA574171" s="613"/>
    </row>
    <row r="574316" spans="27:27">
      <c r="AA574316" s="613"/>
    </row>
    <row r="574317" spans="27:27">
      <c r="AA574317" s="613"/>
    </row>
    <row r="574462" spans="27:27">
      <c r="AA574462" s="613"/>
    </row>
    <row r="574463" spans="27:27">
      <c r="AA574463" s="613"/>
    </row>
    <row r="574608" spans="27:27">
      <c r="AA574608" s="613"/>
    </row>
    <row r="574609" spans="27:27">
      <c r="AA574609" s="613"/>
    </row>
    <row r="574754" spans="27:27">
      <c r="AA574754" s="613"/>
    </row>
    <row r="574755" spans="27:27">
      <c r="AA574755" s="613"/>
    </row>
    <row r="574900" spans="27:27">
      <c r="AA574900" s="613"/>
    </row>
    <row r="574901" spans="27:27">
      <c r="AA574901" s="613"/>
    </row>
    <row r="575046" spans="27:27">
      <c r="AA575046" s="613"/>
    </row>
    <row r="575047" spans="27:27">
      <c r="AA575047" s="613"/>
    </row>
    <row r="575192" spans="27:27">
      <c r="AA575192" s="613"/>
    </row>
    <row r="575193" spans="27:27">
      <c r="AA575193" s="613"/>
    </row>
    <row r="575338" spans="27:27">
      <c r="AA575338" s="613"/>
    </row>
    <row r="575339" spans="27:27">
      <c r="AA575339" s="613"/>
    </row>
    <row r="575484" spans="27:27">
      <c r="AA575484" s="613"/>
    </row>
    <row r="575485" spans="27:27">
      <c r="AA575485" s="613"/>
    </row>
    <row r="575630" spans="27:27">
      <c r="AA575630" s="613"/>
    </row>
    <row r="575631" spans="27:27">
      <c r="AA575631" s="613"/>
    </row>
    <row r="575776" spans="27:27">
      <c r="AA575776" s="613"/>
    </row>
    <row r="575777" spans="27:27">
      <c r="AA575777" s="613"/>
    </row>
    <row r="575922" spans="27:27">
      <c r="AA575922" s="613"/>
    </row>
    <row r="575923" spans="27:27">
      <c r="AA575923" s="613"/>
    </row>
    <row r="576068" spans="27:27">
      <c r="AA576068" s="613"/>
    </row>
    <row r="576069" spans="27:27">
      <c r="AA576069" s="613"/>
    </row>
    <row r="576214" spans="27:27">
      <c r="AA576214" s="613"/>
    </row>
    <row r="576215" spans="27:27">
      <c r="AA576215" s="613"/>
    </row>
    <row r="576360" spans="27:27">
      <c r="AA576360" s="613"/>
    </row>
    <row r="576361" spans="27:27">
      <c r="AA576361" s="613"/>
    </row>
    <row r="576506" spans="27:27">
      <c r="AA576506" s="613"/>
    </row>
    <row r="576507" spans="27:27">
      <c r="AA576507" s="613"/>
    </row>
    <row r="576652" spans="27:27">
      <c r="AA576652" s="613"/>
    </row>
    <row r="576653" spans="27:27">
      <c r="AA576653" s="613"/>
    </row>
    <row r="576798" spans="27:27">
      <c r="AA576798" s="613"/>
    </row>
    <row r="576799" spans="27:27">
      <c r="AA576799" s="613"/>
    </row>
    <row r="576944" spans="27:27">
      <c r="AA576944" s="613"/>
    </row>
    <row r="576945" spans="27:27">
      <c r="AA576945" s="613"/>
    </row>
    <row r="577090" spans="27:27">
      <c r="AA577090" s="613"/>
    </row>
    <row r="577091" spans="27:27">
      <c r="AA577091" s="613"/>
    </row>
    <row r="577236" spans="27:27">
      <c r="AA577236" s="613"/>
    </row>
    <row r="577237" spans="27:27">
      <c r="AA577237" s="613"/>
    </row>
    <row r="577382" spans="27:27">
      <c r="AA577382" s="613"/>
    </row>
    <row r="577383" spans="27:27">
      <c r="AA577383" s="613"/>
    </row>
    <row r="577528" spans="27:27">
      <c r="AA577528" s="613"/>
    </row>
    <row r="577529" spans="27:27">
      <c r="AA577529" s="613"/>
    </row>
    <row r="577674" spans="27:27">
      <c r="AA577674" s="613"/>
    </row>
    <row r="577675" spans="27:27">
      <c r="AA577675" s="613"/>
    </row>
    <row r="577820" spans="27:27">
      <c r="AA577820" s="613"/>
    </row>
    <row r="577821" spans="27:27">
      <c r="AA577821" s="613"/>
    </row>
    <row r="577966" spans="27:27">
      <c r="AA577966" s="613"/>
    </row>
    <row r="577967" spans="27:27">
      <c r="AA577967" s="613"/>
    </row>
    <row r="578112" spans="27:27">
      <c r="AA578112" s="613"/>
    </row>
    <row r="578113" spans="27:27">
      <c r="AA578113" s="613"/>
    </row>
    <row r="578258" spans="27:27">
      <c r="AA578258" s="613"/>
    </row>
    <row r="578259" spans="27:27">
      <c r="AA578259" s="613"/>
    </row>
    <row r="578404" spans="27:27">
      <c r="AA578404" s="613"/>
    </row>
    <row r="578405" spans="27:27">
      <c r="AA578405" s="613"/>
    </row>
    <row r="578550" spans="27:27">
      <c r="AA578550" s="613"/>
    </row>
    <row r="578551" spans="27:27">
      <c r="AA578551" s="613"/>
    </row>
    <row r="578696" spans="27:27">
      <c r="AA578696" s="613"/>
    </row>
    <row r="578697" spans="27:27">
      <c r="AA578697" s="613"/>
    </row>
    <row r="578842" spans="27:27">
      <c r="AA578842" s="613"/>
    </row>
    <row r="578843" spans="27:27">
      <c r="AA578843" s="613"/>
    </row>
    <row r="578988" spans="27:27">
      <c r="AA578988" s="613"/>
    </row>
    <row r="578989" spans="27:27">
      <c r="AA578989" s="613"/>
    </row>
    <row r="579134" spans="27:27">
      <c r="AA579134" s="613"/>
    </row>
    <row r="579135" spans="27:27">
      <c r="AA579135" s="613"/>
    </row>
    <row r="579280" spans="27:27">
      <c r="AA579280" s="613"/>
    </row>
    <row r="579281" spans="27:27">
      <c r="AA579281" s="613"/>
    </row>
    <row r="579426" spans="27:27">
      <c r="AA579426" s="613"/>
    </row>
    <row r="579427" spans="27:27">
      <c r="AA579427" s="613"/>
    </row>
    <row r="579572" spans="27:27">
      <c r="AA579572" s="613"/>
    </row>
    <row r="579573" spans="27:27">
      <c r="AA579573" s="613"/>
    </row>
    <row r="579718" spans="27:27">
      <c r="AA579718" s="613"/>
    </row>
    <row r="579719" spans="27:27">
      <c r="AA579719" s="613"/>
    </row>
    <row r="579864" spans="27:27">
      <c r="AA579864" s="613"/>
    </row>
    <row r="579865" spans="27:27">
      <c r="AA579865" s="613"/>
    </row>
    <row r="580010" spans="27:27">
      <c r="AA580010" s="613"/>
    </row>
    <row r="580011" spans="27:27">
      <c r="AA580011" s="613"/>
    </row>
    <row r="580156" spans="27:27">
      <c r="AA580156" s="613"/>
    </row>
    <row r="580157" spans="27:27">
      <c r="AA580157" s="613"/>
    </row>
    <row r="580302" spans="27:27">
      <c r="AA580302" s="613"/>
    </row>
    <row r="580303" spans="27:27">
      <c r="AA580303" s="613"/>
    </row>
    <row r="580448" spans="27:27">
      <c r="AA580448" s="613"/>
    </row>
    <row r="580449" spans="27:27">
      <c r="AA580449" s="613"/>
    </row>
    <row r="580594" spans="27:27">
      <c r="AA580594" s="613"/>
    </row>
    <row r="580595" spans="27:27">
      <c r="AA580595" s="613"/>
    </row>
    <row r="580740" spans="27:27">
      <c r="AA580740" s="613"/>
    </row>
    <row r="580741" spans="27:27">
      <c r="AA580741" s="613"/>
    </row>
    <row r="580886" spans="27:27">
      <c r="AA580886" s="613"/>
    </row>
    <row r="580887" spans="27:27">
      <c r="AA580887" s="613"/>
    </row>
    <row r="581032" spans="27:27">
      <c r="AA581032" s="613"/>
    </row>
    <row r="581033" spans="27:27">
      <c r="AA581033" s="613"/>
    </row>
    <row r="581178" spans="27:27">
      <c r="AA581178" s="613"/>
    </row>
    <row r="581179" spans="27:27">
      <c r="AA581179" s="613"/>
    </row>
    <row r="581324" spans="27:27">
      <c r="AA581324" s="613"/>
    </row>
    <row r="581325" spans="27:27">
      <c r="AA581325" s="613"/>
    </row>
    <row r="581470" spans="27:27">
      <c r="AA581470" s="613"/>
    </row>
    <row r="581471" spans="27:27">
      <c r="AA581471" s="613"/>
    </row>
    <row r="581616" spans="27:27">
      <c r="AA581616" s="613"/>
    </row>
    <row r="581617" spans="27:27">
      <c r="AA581617" s="613"/>
    </row>
    <row r="581762" spans="27:27">
      <c r="AA581762" s="613"/>
    </row>
    <row r="581763" spans="27:27">
      <c r="AA581763" s="613"/>
    </row>
    <row r="581908" spans="27:27">
      <c r="AA581908" s="613"/>
    </row>
    <row r="581909" spans="27:27">
      <c r="AA581909" s="613"/>
    </row>
    <row r="582054" spans="27:27">
      <c r="AA582054" s="613"/>
    </row>
    <row r="582055" spans="27:27">
      <c r="AA582055" s="613"/>
    </row>
    <row r="582200" spans="27:27">
      <c r="AA582200" s="613"/>
    </row>
    <row r="582201" spans="27:27">
      <c r="AA582201" s="613"/>
    </row>
    <row r="582346" spans="27:27">
      <c r="AA582346" s="613"/>
    </row>
    <row r="582347" spans="27:27">
      <c r="AA582347" s="613"/>
    </row>
    <row r="582492" spans="27:27">
      <c r="AA582492" s="613"/>
    </row>
    <row r="582493" spans="27:27">
      <c r="AA582493" s="613"/>
    </row>
    <row r="582638" spans="27:27">
      <c r="AA582638" s="613"/>
    </row>
    <row r="582639" spans="27:27">
      <c r="AA582639" s="613"/>
    </row>
    <row r="582784" spans="27:27">
      <c r="AA582784" s="613"/>
    </row>
    <row r="582785" spans="27:27">
      <c r="AA582785" s="613"/>
    </row>
    <row r="582930" spans="27:27">
      <c r="AA582930" s="613"/>
    </row>
    <row r="582931" spans="27:27">
      <c r="AA582931" s="613"/>
    </row>
    <row r="583076" spans="27:27">
      <c r="AA583076" s="613"/>
    </row>
    <row r="583077" spans="27:27">
      <c r="AA583077" s="613"/>
    </row>
    <row r="583222" spans="27:27">
      <c r="AA583222" s="613"/>
    </row>
    <row r="583223" spans="27:27">
      <c r="AA583223" s="613"/>
    </row>
    <row r="583368" spans="27:27">
      <c r="AA583368" s="613"/>
    </row>
    <row r="583369" spans="27:27">
      <c r="AA583369" s="613"/>
    </row>
    <row r="583514" spans="27:27">
      <c r="AA583514" s="613"/>
    </row>
    <row r="583515" spans="27:27">
      <c r="AA583515" s="613"/>
    </row>
    <row r="583660" spans="27:27">
      <c r="AA583660" s="613"/>
    </row>
    <row r="583661" spans="27:27">
      <c r="AA583661" s="613"/>
    </row>
    <row r="583806" spans="27:27">
      <c r="AA583806" s="613"/>
    </row>
    <row r="583807" spans="27:27">
      <c r="AA583807" s="613"/>
    </row>
    <row r="583952" spans="27:27">
      <c r="AA583952" s="613"/>
    </row>
    <row r="583953" spans="27:27">
      <c r="AA583953" s="613"/>
    </row>
    <row r="584098" spans="27:27">
      <c r="AA584098" s="613"/>
    </row>
    <row r="584099" spans="27:27">
      <c r="AA584099" s="613"/>
    </row>
    <row r="584244" spans="27:27">
      <c r="AA584244" s="613"/>
    </row>
    <row r="584245" spans="27:27">
      <c r="AA584245" s="613"/>
    </row>
    <row r="584390" spans="27:27">
      <c r="AA584390" s="613"/>
    </row>
    <row r="584391" spans="27:27">
      <c r="AA584391" s="613"/>
    </row>
    <row r="584536" spans="27:27">
      <c r="AA584536" s="613"/>
    </row>
    <row r="584537" spans="27:27">
      <c r="AA584537" s="613"/>
    </row>
    <row r="584682" spans="27:27">
      <c r="AA584682" s="613"/>
    </row>
    <row r="584683" spans="27:27">
      <c r="AA584683" s="613"/>
    </row>
    <row r="584828" spans="27:27">
      <c r="AA584828" s="613"/>
    </row>
    <row r="584829" spans="27:27">
      <c r="AA584829" s="613"/>
    </row>
    <row r="584974" spans="27:27">
      <c r="AA584974" s="613"/>
    </row>
    <row r="584975" spans="27:27">
      <c r="AA584975" s="613"/>
    </row>
    <row r="585120" spans="27:27">
      <c r="AA585120" s="613"/>
    </row>
    <row r="585121" spans="27:27">
      <c r="AA585121" s="613"/>
    </row>
    <row r="585266" spans="27:27">
      <c r="AA585266" s="613"/>
    </row>
    <row r="585267" spans="27:27">
      <c r="AA585267" s="613"/>
    </row>
    <row r="585412" spans="27:27">
      <c r="AA585412" s="613"/>
    </row>
    <row r="585413" spans="27:27">
      <c r="AA585413" s="613"/>
    </row>
    <row r="585558" spans="27:27">
      <c r="AA585558" s="613"/>
    </row>
    <row r="585559" spans="27:27">
      <c r="AA585559" s="613"/>
    </row>
    <row r="585704" spans="27:27">
      <c r="AA585704" s="613"/>
    </row>
    <row r="585705" spans="27:27">
      <c r="AA585705" s="613"/>
    </row>
    <row r="585850" spans="27:27">
      <c r="AA585850" s="613"/>
    </row>
    <row r="585851" spans="27:27">
      <c r="AA585851" s="613"/>
    </row>
    <row r="585996" spans="27:27">
      <c r="AA585996" s="613"/>
    </row>
    <row r="585997" spans="27:27">
      <c r="AA585997" s="613"/>
    </row>
    <row r="586142" spans="27:27">
      <c r="AA586142" s="613"/>
    </row>
    <row r="586143" spans="27:27">
      <c r="AA586143" s="613"/>
    </row>
    <row r="586288" spans="27:27">
      <c r="AA586288" s="613"/>
    </row>
    <row r="586289" spans="27:27">
      <c r="AA586289" s="613"/>
    </row>
    <row r="586434" spans="27:27">
      <c r="AA586434" s="613"/>
    </row>
    <row r="586435" spans="27:27">
      <c r="AA586435" s="613"/>
    </row>
    <row r="586580" spans="27:27">
      <c r="AA586580" s="613"/>
    </row>
    <row r="586581" spans="27:27">
      <c r="AA586581" s="613"/>
    </row>
    <row r="586726" spans="27:27">
      <c r="AA586726" s="613"/>
    </row>
    <row r="586727" spans="27:27">
      <c r="AA586727" s="613"/>
    </row>
    <row r="586872" spans="27:27">
      <c r="AA586872" s="613"/>
    </row>
    <row r="586873" spans="27:27">
      <c r="AA586873" s="613"/>
    </row>
    <row r="587018" spans="27:27">
      <c r="AA587018" s="613"/>
    </row>
    <row r="587019" spans="27:27">
      <c r="AA587019" s="613"/>
    </row>
    <row r="587164" spans="27:27">
      <c r="AA587164" s="613"/>
    </row>
    <row r="587165" spans="27:27">
      <c r="AA587165" s="613"/>
    </row>
    <row r="587310" spans="27:27">
      <c r="AA587310" s="613"/>
    </row>
    <row r="587311" spans="27:27">
      <c r="AA587311" s="613"/>
    </row>
    <row r="587456" spans="27:27">
      <c r="AA587456" s="613"/>
    </row>
    <row r="587457" spans="27:27">
      <c r="AA587457" s="613"/>
    </row>
    <row r="587602" spans="27:27">
      <c r="AA587602" s="613"/>
    </row>
    <row r="587603" spans="27:27">
      <c r="AA587603" s="613"/>
    </row>
    <row r="587748" spans="27:27">
      <c r="AA587748" s="613"/>
    </row>
    <row r="587749" spans="27:27">
      <c r="AA587749" s="613"/>
    </row>
    <row r="587894" spans="27:27">
      <c r="AA587894" s="613"/>
    </row>
    <row r="587895" spans="27:27">
      <c r="AA587895" s="613"/>
    </row>
    <row r="588040" spans="27:27">
      <c r="AA588040" s="613"/>
    </row>
    <row r="588041" spans="27:27">
      <c r="AA588041" s="613"/>
    </row>
    <row r="588186" spans="27:27">
      <c r="AA588186" s="613"/>
    </row>
    <row r="588187" spans="27:27">
      <c r="AA588187" s="613"/>
    </row>
    <row r="588332" spans="27:27">
      <c r="AA588332" s="613"/>
    </row>
    <row r="588333" spans="27:27">
      <c r="AA588333" s="613"/>
    </row>
    <row r="588478" spans="27:27">
      <c r="AA588478" s="613"/>
    </row>
    <row r="588479" spans="27:27">
      <c r="AA588479" s="613"/>
    </row>
    <row r="588624" spans="27:27">
      <c r="AA588624" s="613"/>
    </row>
    <row r="588625" spans="27:27">
      <c r="AA588625" s="613"/>
    </row>
    <row r="588770" spans="27:27">
      <c r="AA588770" s="613"/>
    </row>
    <row r="588771" spans="27:27">
      <c r="AA588771" s="613"/>
    </row>
    <row r="588916" spans="27:27">
      <c r="AA588916" s="613"/>
    </row>
    <row r="588917" spans="27:27">
      <c r="AA588917" s="613"/>
    </row>
    <row r="589062" spans="27:27">
      <c r="AA589062" s="613"/>
    </row>
    <row r="589063" spans="27:27">
      <c r="AA589063" s="613"/>
    </row>
    <row r="589208" spans="27:27">
      <c r="AA589208" s="613"/>
    </row>
    <row r="589209" spans="27:27">
      <c r="AA589209" s="613"/>
    </row>
    <row r="589354" spans="27:27">
      <c r="AA589354" s="613"/>
    </row>
    <row r="589355" spans="27:27">
      <c r="AA589355" s="613"/>
    </row>
    <row r="589500" spans="27:27">
      <c r="AA589500" s="613"/>
    </row>
    <row r="589501" spans="27:27">
      <c r="AA589501" s="613"/>
    </row>
    <row r="589646" spans="27:27">
      <c r="AA589646" s="613"/>
    </row>
    <row r="589647" spans="27:27">
      <c r="AA589647" s="613"/>
    </row>
    <row r="589792" spans="27:27">
      <c r="AA589792" s="613"/>
    </row>
    <row r="589793" spans="27:27">
      <c r="AA589793" s="613"/>
    </row>
    <row r="589938" spans="27:27">
      <c r="AA589938" s="613"/>
    </row>
    <row r="589939" spans="27:27">
      <c r="AA589939" s="613"/>
    </row>
    <row r="590084" spans="27:27">
      <c r="AA590084" s="613"/>
    </row>
    <row r="590085" spans="27:27">
      <c r="AA590085" s="613"/>
    </row>
    <row r="590230" spans="27:27">
      <c r="AA590230" s="613"/>
    </row>
    <row r="590231" spans="27:27">
      <c r="AA590231" s="613"/>
    </row>
    <row r="590376" spans="27:27">
      <c r="AA590376" s="613"/>
    </row>
    <row r="590377" spans="27:27">
      <c r="AA590377" s="613"/>
    </row>
    <row r="590522" spans="27:27">
      <c r="AA590522" s="613"/>
    </row>
    <row r="590523" spans="27:27">
      <c r="AA590523" s="613"/>
    </row>
    <row r="590668" spans="27:27">
      <c r="AA590668" s="613"/>
    </row>
    <row r="590669" spans="27:27">
      <c r="AA590669" s="613"/>
    </row>
    <row r="590814" spans="27:27">
      <c r="AA590814" s="613"/>
    </row>
    <row r="590815" spans="27:27">
      <c r="AA590815" s="613"/>
    </row>
    <row r="590960" spans="27:27">
      <c r="AA590960" s="613"/>
    </row>
    <row r="590961" spans="27:27">
      <c r="AA590961" s="613"/>
    </row>
    <row r="591106" spans="27:27">
      <c r="AA591106" s="613"/>
    </row>
    <row r="591107" spans="27:27">
      <c r="AA591107" s="613"/>
    </row>
    <row r="591252" spans="27:27">
      <c r="AA591252" s="613"/>
    </row>
    <row r="591253" spans="27:27">
      <c r="AA591253" s="613"/>
    </row>
    <row r="591398" spans="27:27">
      <c r="AA591398" s="613"/>
    </row>
    <row r="591399" spans="27:27">
      <c r="AA591399" s="613"/>
    </row>
    <row r="591544" spans="27:27">
      <c r="AA591544" s="613"/>
    </row>
    <row r="591545" spans="27:27">
      <c r="AA591545" s="613"/>
    </row>
    <row r="591690" spans="27:27">
      <c r="AA591690" s="613"/>
    </row>
    <row r="591691" spans="27:27">
      <c r="AA591691" s="613"/>
    </row>
    <row r="591836" spans="27:27">
      <c r="AA591836" s="613"/>
    </row>
    <row r="591837" spans="27:27">
      <c r="AA591837" s="613"/>
    </row>
    <row r="591982" spans="27:27">
      <c r="AA591982" s="613"/>
    </row>
    <row r="591983" spans="27:27">
      <c r="AA591983" s="613"/>
    </row>
    <row r="592128" spans="27:27">
      <c r="AA592128" s="613"/>
    </row>
    <row r="592129" spans="27:27">
      <c r="AA592129" s="613"/>
    </row>
    <row r="592274" spans="27:27">
      <c r="AA592274" s="613"/>
    </row>
    <row r="592275" spans="27:27">
      <c r="AA592275" s="613"/>
    </row>
    <row r="592420" spans="27:27">
      <c r="AA592420" s="613"/>
    </row>
    <row r="592421" spans="27:27">
      <c r="AA592421" s="613"/>
    </row>
    <row r="592566" spans="27:27">
      <c r="AA592566" s="613"/>
    </row>
    <row r="592567" spans="27:27">
      <c r="AA592567" s="613"/>
    </row>
    <row r="592712" spans="27:27">
      <c r="AA592712" s="613"/>
    </row>
    <row r="592713" spans="27:27">
      <c r="AA592713" s="613"/>
    </row>
    <row r="592858" spans="27:27">
      <c r="AA592858" s="613"/>
    </row>
    <row r="592859" spans="27:27">
      <c r="AA592859" s="613"/>
    </row>
    <row r="593004" spans="27:27">
      <c r="AA593004" s="613"/>
    </row>
    <row r="593005" spans="27:27">
      <c r="AA593005" s="613"/>
    </row>
    <row r="593150" spans="27:27">
      <c r="AA593150" s="613"/>
    </row>
    <row r="593151" spans="27:27">
      <c r="AA593151" s="613"/>
    </row>
    <row r="593296" spans="27:27">
      <c r="AA593296" s="613"/>
    </row>
    <row r="593297" spans="27:27">
      <c r="AA593297" s="613"/>
    </row>
    <row r="593442" spans="27:27">
      <c r="AA593442" s="613"/>
    </row>
    <row r="593443" spans="27:27">
      <c r="AA593443" s="613"/>
    </row>
    <row r="593588" spans="27:27">
      <c r="AA593588" s="613"/>
    </row>
    <row r="593589" spans="27:27">
      <c r="AA593589" s="613"/>
    </row>
    <row r="593734" spans="27:27">
      <c r="AA593734" s="613"/>
    </row>
    <row r="593735" spans="27:27">
      <c r="AA593735" s="613"/>
    </row>
    <row r="593880" spans="27:27">
      <c r="AA593880" s="613"/>
    </row>
    <row r="593881" spans="27:27">
      <c r="AA593881" s="613"/>
    </row>
    <row r="594026" spans="27:27">
      <c r="AA594026" s="613"/>
    </row>
    <row r="594027" spans="27:27">
      <c r="AA594027" s="613"/>
    </row>
    <row r="594172" spans="27:27">
      <c r="AA594172" s="613"/>
    </row>
    <row r="594173" spans="27:27">
      <c r="AA594173" s="613"/>
    </row>
    <row r="594318" spans="27:27">
      <c r="AA594318" s="613"/>
    </row>
    <row r="594319" spans="27:27">
      <c r="AA594319" s="613"/>
    </row>
    <row r="594464" spans="27:27">
      <c r="AA594464" s="613"/>
    </row>
    <row r="594465" spans="27:27">
      <c r="AA594465" s="613"/>
    </row>
    <row r="594610" spans="27:27">
      <c r="AA594610" s="613"/>
    </row>
    <row r="594611" spans="27:27">
      <c r="AA594611" s="613"/>
    </row>
    <row r="594756" spans="27:27">
      <c r="AA594756" s="613"/>
    </row>
    <row r="594757" spans="27:27">
      <c r="AA594757" s="613"/>
    </row>
    <row r="594902" spans="27:27">
      <c r="AA594902" s="613"/>
    </row>
    <row r="594903" spans="27:27">
      <c r="AA594903" s="613"/>
    </row>
    <row r="595048" spans="27:27">
      <c r="AA595048" s="613"/>
    </row>
    <row r="595049" spans="27:27">
      <c r="AA595049" s="613"/>
    </row>
    <row r="595194" spans="27:27">
      <c r="AA595194" s="613"/>
    </row>
    <row r="595195" spans="27:27">
      <c r="AA595195" s="613"/>
    </row>
    <row r="595340" spans="27:27">
      <c r="AA595340" s="613"/>
    </row>
    <row r="595341" spans="27:27">
      <c r="AA595341" s="613"/>
    </row>
    <row r="595486" spans="27:27">
      <c r="AA595486" s="613"/>
    </row>
    <row r="595487" spans="27:27">
      <c r="AA595487" s="613"/>
    </row>
    <row r="595632" spans="27:27">
      <c r="AA595632" s="613"/>
    </row>
    <row r="595633" spans="27:27">
      <c r="AA595633" s="613"/>
    </row>
    <row r="595778" spans="27:27">
      <c r="AA595778" s="613"/>
    </row>
    <row r="595779" spans="27:27">
      <c r="AA595779" s="613"/>
    </row>
    <row r="595924" spans="27:27">
      <c r="AA595924" s="613"/>
    </row>
    <row r="595925" spans="27:27">
      <c r="AA595925" s="613"/>
    </row>
    <row r="596070" spans="27:27">
      <c r="AA596070" s="613"/>
    </row>
    <row r="596071" spans="27:27">
      <c r="AA596071" s="613"/>
    </row>
    <row r="596216" spans="27:27">
      <c r="AA596216" s="613"/>
    </row>
    <row r="596217" spans="27:27">
      <c r="AA596217" s="613"/>
    </row>
    <row r="596362" spans="27:27">
      <c r="AA596362" s="613"/>
    </row>
    <row r="596363" spans="27:27">
      <c r="AA596363" s="613"/>
    </row>
    <row r="596508" spans="27:27">
      <c r="AA596508" s="613"/>
    </row>
    <row r="596509" spans="27:27">
      <c r="AA596509" s="613"/>
    </row>
    <row r="596654" spans="27:27">
      <c r="AA596654" s="613"/>
    </row>
    <row r="596655" spans="27:27">
      <c r="AA596655" s="613"/>
    </row>
    <row r="596800" spans="27:27">
      <c r="AA596800" s="613"/>
    </row>
    <row r="596801" spans="27:27">
      <c r="AA596801" s="613"/>
    </row>
    <row r="596946" spans="27:27">
      <c r="AA596946" s="613"/>
    </row>
    <row r="596947" spans="27:27">
      <c r="AA596947" s="613"/>
    </row>
    <row r="597092" spans="27:27">
      <c r="AA597092" s="613"/>
    </row>
    <row r="597093" spans="27:27">
      <c r="AA597093" s="613"/>
    </row>
    <row r="597238" spans="27:27">
      <c r="AA597238" s="613"/>
    </row>
    <row r="597239" spans="27:27">
      <c r="AA597239" s="613"/>
    </row>
    <row r="597384" spans="27:27">
      <c r="AA597384" s="613"/>
    </row>
    <row r="597385" spans="27:27">
      <c r="AA597385" s="613"/>
    </row>
    <row r="597530" spans="27:27">
      <c r="AA597530" s="613"/>
    </row>
    <row r="597531" spans="27:27">
      <c r="AA597531" s="613"/>
    </row>
    <row r="597676" spans="27:27">
      <c r="AA597676" s="613"/>
    </row>
    <row r="597677" spans="27:27">
      <c r="AA597677" s="613"/>
    </row>
    <row r="597822" spans="27:27">
      <c r="AA597822" s="613"/>
    </row>
    <row r="597823" spans="27:27">
      <c r="AA597823" s="613"/>
    </row>
    <row r="597968" spans="27:27">
      <c r="AA597968" s="613"/>
    </row>
    <row r="597969" spans="27:27">
      <c r="AA597969" s="613"/>
    </row>
    <row r="598114" spans="27:27">
      <c r="AA598114" s="613"/>
    </row>
    <row r="598115" spans="27:27">
      <c r="AA598115" s="613"/>
    </row>
    <row r="598260" spans="27:27">
      <c r="AA598260" s="613"/>
    </row>
    <row r="598261" spans="27:27">
      <c r="AA598261" s="613"/>
    </row>
    <row r="598406" spans="27:27">
      <c r="AA598406" s="613"/>
    </row>
    <row r="598407" spans="27:27">
      <c r="AA598407" s="613"/>
    </row>
    <row r="598552" spans="27:27">
      <c r="AA598552" s="613"/>
    </row>
    <row r="598553" spans="27:27">
      <c r="AA598553" s="613"/>
    </row>
    <row r="598698" spans="27:27">
      <c r="AA598698" s="613"/>
    </row>
    <row r="598699" spans="27:27">
      <c r="AA598699" s="613"/>
    </row>
    <row r="598844" spans="27:27">
      <c r="AA598844" s="613"/>
    </row>
    <row r="598845" spans="27:27">
      <c r="AA598845" s="613"/>
    </row>
    <row r="598990" spans="27:27">
      <c r="AA598990" s="613"/>
    </row>
    <row r="598991" spans="27:27">
      <c r="AA598991" s="613"/>
    </row>
    <row r="599136" spans="27:27">
      <c r="AA599136" s="613"/>
    </row>
    <row r="599137" spans="27:27">
      <c r="AA599137" s="613"/>
    </row>
    <row r="599282" spans="27:27">
      <c r="AA599282" s="613"/>
    </row>
    <row r="599283" spans="27:27">
      <c r="AA599283" s="613"/>
    </row>
    <row r="599428" spans="27:27">
      <c r="AA599428" s="613"/>
    </row>
    <row r="599429" spans="27:27">
      <c r="AA599429" s="613"/>
    </row>
    <row r="599574" spans="27:27">
      <c r="AA599574" s="613"/>
    </row>
    <row r="599575" spans="27:27">
      <c r="AA599575" s="613"/>
    </row>
    <row r="599720" spans="27:27">
      <c r="AA599720" s="613"/>
    </row>
    <row r="599721" spans="27:27">
      <c r="AA599721" s="613"/>
    </row>
    <row r="599866" spans="27:27">
      <c r="AA599866" s="613"/>
    </row>
    <row r="599867" spans="27:27">
      <c r="AA599867" s="613"/>
    </row>
    <row r="600012" spans="27:27">
      <c r="AA600012" s="613"/>
    </row>
    <row r="600013" spans="27:27">
      <c r="AA600013" s="613"/>
    </row>
    <row r="600158" spans="27:27">
      <c r="AA600158" s="613"/>
    </row>
    <row r="600159" spans="27:27">
      <c r="AA600159" s="613"/>
    </row>
    <row r="600304" spans="27:27">
      <c r="AA600304" s="613"/>
    </row>
    <row r="600305" spans="27:27">
      <c r="AA600305" s="613"/>
    </row>
    <row r="600450" spans="27:27">
      <c r="AA600450" s="613"/>
    </row>
    <row r="600451" spans="27:27">
      <c r="AA600451" s="613"/>
    </row>
    <row r="600596" spans="27:27">
      <c r="AA600596" s="613"/>
    </row>
    <row r="600597" spans="27:27">
      <c r="AA600597" s="613"/>
    </row>
    <row r="600742" spans="27:27">
      <c r="AA600742" s="613"/>
    </row>
    <row r="600743" spans="27:27">
      <c r="AA600743" s="613"/>
    </row>
    <row r="600888" spans="27:27">
      <c r="AA600888" s="613"/>
    </row>
    <row r="600889" spans="27:27">
      <c r="AA600889" s="613"/>
    </row>
    <row r="601034" spans="27:27">
      <c r="AA601034" s="613"/>
    </row>
    <row r="601035" spans="27:27">
      <c r="AA601035" s="613"/>
    </row>
    <row r="601180" spans="27:27">
      <c r="AA601180" s="613"/>
    </row>
    <row r="601181" spans="27:27">
      <c r="AA601181" s="613"/>
    </row>
    <row r="601326" spans="27:27">
      <c r="AA601326" s="613"/>
    </row>
    <row r="601327" spans="27:27">
      <c r="AA601327" s="613"/>
    </row>
    <row r="601472" spans="27:27">
      <c r="AA601472" s="613"/>
    </row>
    <row r="601473" spans="27:27">
      <c r="AA601473" s="613"/>
    </row>
    <row r="601618" spans="27:27">
      <c r="AA601618" s="613"/>
    </row>
    <row r="601619" spans="27:27">
      <c r="AA601619" s="613"/>
    </row>
    <row r="601764" spans="27:27">
      <c r="AA601764" s="613"/>
    </row>
    <row r="601765" spans="27:27">
      <c r="AA601765" s="613"/>
    </row>
    <row r="601910" spans="27:27">
      <c r="AA601910" s="613"/>
    </row>
    <row r="601911" spans="27:27">
      <c r="AA601911" s="613"/>
    </row>
    <row r="602056" spans="27:27">
      <c r="AA602056" s="613"/>
    </row>
    <row r="602057" spans="27:27">
      <c r="AA602057" s="613"/>
    </row>
    <row r="602202" spans="27:27">
      <c r="AA602202" s="613"/>
    </row>
    <row r="602203" spans="27:27">
      <c r="AA602203" s="613"/>
    </row>
    <row r="602348" spans="27:27">
      <c r="AA602348" s="613"/>
    </row>
    <row r="602349" spans="27:27">
      <c r="AA602349" s="613"/>
    </row>
    <row r="602494" spans="27:27">
      <c r="AA602494" s="613"/>
    </row>
    <row r="602495" spans="27:27">
      <c r="AA602495" s="613"/>
    </row>
    <row r="602640" spans="27:27">
      <c r="AA602640" s="613"/>
    </row>
    <row r="602641" spans="27:27">
      <c r="AA602641" s="613"/>
    </row>
    <row r="602786" spans="27:27">
      <c r="AA602786" s="613"/>
    </row>
    <row r="602787" spans="27:27">
      <c r="AA602787" s="613"/>
    </row>
    <row r="602932" spans="27:27">
      <c r="AA602932" s="613"/>
    </row>
    <row r="602933" spans="27:27">
      <c r="AA602933" s="613"/>
    </row>
    <row r="603078" spans="27:27">
      <c r="AA603078" s="613"/>
    </row>
    <row r="603079" spans="27:27">
      <c r="AA603079" s="613"/>
    </row>
    <row r="603224" spans="27:27">
      <c r="AA603224" s="613"/>
    </row>
    <row r="603225" spans="27:27">
      <c r="AA603225" s="613"/>
    </row>
    <row r="603370" spans="27:27">
      <c r="AA603370" s="613"/>
    </row>
    <row r="603371" spans="27:27">
      <c r="AA603371" s="613"/>
    </row>
    <row r="603516" spans="27:27">
      <c r="AA603516" s="613"/>
    </row>
    <row r="603517" spans="27:27">
      <c r="AA603517" s="613"/>
    </row>
    <row r="603662" spans="27:27">
      <c r="AA603662" s="613"/>
    </row>
    <row r="603663" spans="27:27">
      <c r="AA603663" s="613"/>
    </row>
    <row r="603808" spans="27:27">
      <c r="AA603808" s="613"/>
    </row>
    <row r="603809" spans="27:27">
      <c r="AA603809" s="613"/>
    </row>
    <row r="603954" spans="27:27">
      <c r="AA603954" s="613"/>
    </row>
    <row r="603955" spans="27:27">
      <c r="AA603955" s="613"/>
    </row>
    <row r="604100" spans="27:27">
      <c r="AA604100" s="613"/>
    </row>
    <row r="604101" spans="27:27">
      <c r="AA604101" s="613"/>
    </row>
    <row r="604246" spans="27:27">
      <c r="AA604246" s="613"/>
    </row>
    <row r="604247" spans="27:27">
      <c r="AA604247" s="613"/>
    </row>
    <row r="604392" spans="27:27">
      <c r="AA604392" s="613"/>
    </row>
    <row r="604393" spans="27:27">
      <c r="AA604393" s="613"/>
    </row>
    <row r="604538" spans="27:27">
      <c r="AA604538" s="613"/>
    </row>
    <row r="604539" spans="27:27">
      <c r="AA604539" s="613"/>
    </row>
    <row r="604684" spans="27:27">
      <c r="AA604684" s="613"/>
    </row>
    <row r="604685" spans="27:27">
      <c r="AA604685" s="613"/>
    </row>
    <row r="604830" spans="27:27">
      <c r="AA604830" s="613"/>
    </row>
    <row r="604831" spans="27:27">
      <c r="AA604831" s="613"/>
    </row>
    <row r="604976" spans="27:27">
      <c r="AA604976" s="613"/>
    </row>
    <row r="604977" spans="27:27">
      <c r="AA604977" s="613"/>
    </row>
    <row r="605122" spans="27:27">
      <c r="AA605122" s="613"/>
    </row>
    <row r="605123" spans="27:27">
      <c r="AA605123" s="613"/>
    </row>
    <row r="605268" spans="27:27">
      <c r="AA605268" s="613"/>
    </row>
    <row r="605269" spans="27:27">
      <c r="AA605269" s="613"/>
    </row>
    <row r="605414" spans="27:27">
      <c r="AA605414" s="613"/>
    </row>
    <row r="605415" spans="27:27">
      <c r="AA605415" s="613"/>
    </row>
    <row r="605560" spans="27:27">
      <c r="AA605560" s="613"/>
    </row>
    <row r="605561" spans="27:27">
      <c r="AA605561" s="613"/>
    </row>
    <row r="605706" spans="27:27">
      <c r="AA605706" s="613"/>
    </row>
    <row r="605707" spans="27:27">
      <c r="AA605707" s="613"/>
    </row>
    <row r="605852" spans="27:27">
      <c r="AA605852" s="613"/>
    </row>
    <row r="605853" spans="27:27">
      <c r="AA605853" s="613"/>
    </row>
    <row r="605998" spans="27:27">
      <c r="AA605998" s="613"/>
    </row>
    <row r="605999" spans="27:27">
      <c r="AA605999" s="613"/>
    </row>
    <row r="606144" spans="27:27">
      <c r="AA606144" s="613"/>
    </row>
    <row r="606145" spans="27:27">
      <c r="AA606145" s="613"/>
    </row>
    <row r="606290" spans="27:27">
      <c r="AA606290" s="613"/>
    </row>
    <row r="606291" spans="27:27">
      <c r="AA606291" s="613"/>
    </row>
    <row r="606436" spans="27:27">
      <c r="AA606436" s="613"/>
    </row>
    <row r="606437" spans="27:27">
      <c r="AA606437" s="613"/>
    </row>
    <row r="606582" spans="27:27">
      <c r="AA606582" s="613"/>
    </row>
    <row r="606583" spans="27:27">
      <c r="AA606583" s="613"/>
    </row>
    <row r="606728" spans="27:27">
      <c r="AA606728" s="613"/>
    </row>
    <row r="606729" spans="27:27">
      <c r="AA606729" s="613"/>
    </row>
    <row r="606874" spans="27:27">
      <c r="AA606874" s="613"/>
    </row>
    <row r="606875" spans="27:27">
      <c r="AA606875" s="613"/>
    </row>
    <row r="607020" spans="27:27">
      <c r="AA607020" s="613"/>
    </row>
    <row r="607021" spans="27:27">
      <c r="AA607021" s="613"/>
    </row>
    <row r="607166" spans="27:27">
      <c r="AA607166" s="613"/>
    </row>
    <row r="607167" spans="27:27">
      <c r="AA607167" s="613"/>
    </row>
    <row r="607312" spans="27:27">
      <c r="AA607312" s="613"/>
    </row>
    <row r="607313" spans="27:27">
      <c r="AA607313" s="613"/>
    </row>
    <row r="607458" spans="27:27">
      <c r="AA607458" s="613"/>
    </row>
    <row r="607459" spans="27:27">
      <c r="AA607459" s="613"/>
    </row>
    <row r="607604" spans="27:27">
      <c r="AA607604" s="613"/>
    </row>
    <row r="607605" spans="27:27">
      <c r="AA607605" s="613"/>
    </row>
    <row r="607750" spans="27:27">
      <c r="AA607750" s="613"/>
    </row>
    <row r="607751" spans="27:27">
      <c r="AA607751" s="613"/>
    </row>
    <row r="607896" spans="27:27">
      <c r="AA607896" s="613"/>
    </row>
    <row r="607897" spans="27:27">
      <c r="AA607897" s="613"/>
    </row>
    <row r="608042" spans="27:27">
      <c r="AA608042" s="613"/>
    </row>
    <row r="608043" spans="27:27">
      <c r="AA608043" s="613"/>
    </row>
    <row r="608188" spans="27:27">
      <c r="AA608188" s="613"/>
    </row>
    <row r="608189" spans="27:27">
      <c r="AA608189" s="613"/>
    </row>
    <row r="608334" spans="27:27">
      <c r="AA608334" s="613"/>
    </row>
    <row r="608335" spans="27:27">
      <c r="AA608335" s="613"/>
    </row>
    <row r="608480" spans="27:27">
      <c r="AA608480" s="613"/>
    </row>
    <row r="608481" spans="27:27">
      <c r="AA608481" s="613"/>
    </row>
    <row r="608626" spans="27:27">
      <c r="AA608626" s="613"/>
    </row>
    <row r="608627" spans="27:27">
      <c r="AA608627" s="613"/>
    </row>
    <row r="608772" spans="27:27">
      <c r="AA608772" s="613"/>
    </row>
    <row r="608773" spans="27:27">
      <c r="AA608773" s="613"/>
    </row>
    <row r="608918" spans="27:27">
      <c r="AA608918" s="613"/>
    </row>
    <row r="608919" spans="27:27">
      <c r="AA608919" s="613"/>
    </row>
    <row r="609064" spans="27:27">
      <c r="AA609064" s="613"/>
    </row>
    <row r="609065" spans="27:27">
      <c r="AA609065" s="613"/>
    </row>
    <row r="609210" spans="27:27">
      <c r="AA609210" s="613"/>
    </row>
    <row r="609211" spans="27:27">
      <c r="AA609211" s="613"/>
    </row>
    <row r="609356" spans="27:27">
      <c r="AA609356" s="613"/>
    </row>
    <row r="609357" spans="27:27">
      <c r="AA609357" s="613"/>
    </row>
    <row r="609502" spans="27:27">
      <c r="AA609502" s="613"/>
    </row>
    <row r="609503" spans="27:27">
      <c r="AA609503" s="613"/>
    </row>
    <row r="609648" spans="27:27">
      <c r="AA609648" s="613"/>
    </row>
    <row r="609649" spans="27:27">
      <c r="AA609649" s="613"/>
    </row>
    <row r="609794" spans="27:27">
      <c r="AA609794" s="613"/>
    </row>
    <row r="609795" spans="27:27">
      <c r="AA609795" s="613"/>
    </row>
    <row r="609940" spans="27:27">
      <c r="AA609940" s="613"/>
    </row>
    <row r="609941" spans="27:27">
      <c r="AA609941" s="613"/>
    </row>
    <row r="610086" spans="27:27">
      <c r="AA610086" s="613"/>
    </row>
    <row r="610087" spans="27:27">
      <c r="AA610087" s="613"/>
    </row>
    <row r="610232" spans="27:27">
      <c r="AA610232" s="613"/>
    </row>
    <row r="610233" spans="27:27">
      <c r="AA610233" s="613"/>
    </row>
    <row r="610378" spans="27:27">
      <c r="AA610378" s="613"/>
    </row>
    <row r="610379" spans="27:27">
      <c r="AA610379" s="613"/>
    </row>
    <row r="610524" spans="27:27">
      <c r="AA610524" s="613"/>
    </row>
    <row r="610525" spans="27:27">
      <c r="AA610525" s="613"/>
    </row>
    <row r="610670" spans="27:27">
      <c r="AA610670" s="613"/>
    </row>
    <row r="610671" spans="27:27">
      <c r="AA610671" s="613"/>
    </row>
    <row r="610816" spans="27:27">
      <c r="AA610816" s="613"/>
    </row>
    <row r="610817" spans="27:27">
      <c r="AA610817" s="613"/>
    </row>
    <row r="610962" spans="27:27">
      <c r="AA610962" s="613"/>
    </row>
    <row r="610963" spans="27:27">
      <c r="AA610963" s="613"/>
    </row>
    <row r="611108" spans="27:27">
      <c r="AA611108" s="613"/>
    </row>
    <row r="611109" spans="27:27">
      <c r="AA611109" s="613"/>
    </row>
    <row r="611254" spans="27:27">
      <c r="AA611254" s="613"/>
    </row>
    <row r="611255" spans="27:27">
      <c r="AA611255" s="613"/>
    </row>
    <row r="611400" spans="27:27">
      <c r="AA611400" s="613"/>
    </row>
    <row r="611401" spans="27:27">
      <c r="AA611401" s="613"/>
    </row>
    <row r="611546" spans="27:27">
      <c r="AA611546" s="613"/>
    </row>
    <row r="611547" spans="27:27">
      <c r="AA611547" s="613"/>
    </row>
    <row r="611692" spans="27:27">
      <c r="AA611692" s="613"/>
    </row>
    <row r="611693" spans="27:27">
      <c r="AA611693" s="613"/>
    </row>
    <row r="611838" spans="27:27">
      <c r="AA611838" s="613"/>
    </row>
    <row r="611839" spans="27:27">
      <c r="AA611839" s="613"/>
    </row>
    <row r="611984" spans="27:27">
      <c r="AA611984" s="613"/>
    </row>
    <row r="611985" spans="27:27">
      <c r="AA611985" s="613"/>
    </row>
    <row r="612130" spans="27:27">
      <c r="AA612130" s="613"/>
    </row>
    <row r="612131" spans="27:27">
      <c r="AA612131" s="613"/>
    </row>
    <row r="612276" spans="27:27">
      <c r="AA612276" s="613"/>
    </row>
    <row r="612277" spans="27:27">
      <c r="AA612277" s="613"/>
    </row>
    <row r="612422" spans="27:27">
      <c r="AA612422" s="613"/>
    </row>
    <row r="612423" spans="27:27">
      <c r="AA612423" s="613"/>
    </row>
    <row r="612568" spans="27:27">
      <c r="AA612568" s="613"/>
    </row>
    <row r="612569" spans="27:27">
      <c r="AA612569" s="613"/>
    </row>
    <row r="612714" spans="27:27">
      <c r="AA612714" s="613"/>
    </row>
    <row r="612715" spans="27:27">
      <c r="AA612715" s="613"/>
    </row>
    <row r="612860" spans="27:27">
      <c r="AA612860" s="613"/>
    </row>
    <row r="612861" spans="27:27">
      <c r="AA612861" s="613"/>
    </row>
    <row r="613006" spans="27:27">
      <c r="AA613006" s="613"/>
    </row>
    <row r="613007" spans="27:27">
      <c r="AA613007" s="613"/>
    </row>
    <row r="613152" spans="27:27">
      <c r="AA613152" s="613"/>
    </row>
    <row r="613153" spans="27:27">
      <c r="AA613153" s="613"/>
    </row>
    <row r="613298" spans="27:27">
      <c r="AA613298" s="613"/>
    </row>
    <row r="613299" spans="27:27">
      <c r="AA613299" s="613"/>
    </row>
    <row r="613444" spans="27:27">
      <c r="AA613444" s="613"/>
    </row>
    <row r="613445" spans="27:27">
      <c r="AA613445" s="613"/>
    </row>
    <row r="613590" spans="27:27">
      <c r="AA613590" s="613"/>
    </row>
    <row r="613591" spans="27:27">
      <c r="AA613591" s="613"/>
    </row>
    <row r="613736" spans="27:27">
      <c r="AA613736" s="613"/>
    </row>
    <row r="613737" spans="27:27">
      <c r="AA613737" s="613"/>
    </row>
    <row r="613882" spans="27:27">
      <c r="AA613882" s="613"/>
    </row>
    <row r="613883" spans="27:27">
      <c r="AA613883" s="613"/>
    </row>
    <row r="614028" spans="27:27">
      <c r="AA614028" s="613"/>
    </row>
    <row r="614029" spans="27:27">
      <c r="AA614029" s="613"/>
    </row>
    <row r="614174" spans="27:27">
      <c r="AA614174" s="613"/>
    </row>
    <row r="614175" spans="27:27">
      <c r="AA614175" s="613"/>
    </row>
    <row r="614320" spans="27:27">
      <c r="AA614320" s="613"/>
    </row>
    <row r="614321" spans="27:27">
      <c r="AA614321" s="613"/>
    </row>
    <row r="614466" spans="27:27">
      <c r="AA614466" s="613"/>
    </row>
    <row r="614467" spans="27:27">
      <c r="AA614467" s="613"/>
    </row>
    <row r="614612" spans="27:27">
      <c r="AA614612" s="613"/>
    </row>
    <row r="614613" spans="27:27">
      <c r="AA614613" s="613"/>
    </row>
    <row r="614758" spans="27:27">
      <c r="AA614758" s="613"/>
    </row>
    <row r="614759" spans="27:27">
      <c r="AA614759" s="613"/>
    </row>
    <row r="614904" spans="27:27">
      <c r="AA614904" s="613"/>
    </row>
    <row r="614905" spans="27:27">
      <c r="AA614905" s="613"/>
    </row>
    <row r="615050" spans="27:27">
      <c r="AA615050" s="613"/>
    </row>
    <row r="615051" spans="27:27">
      <c r="AA615051" s="613"/>
    </row>
    <row r="615196" spans="27:27">
      <c r="AA615196" s="613"/>
    </row>
    <row r="615197" spans="27:27">
      <c r="AA615197" s="613"/>
    </row>
    <row r="615342" spans="27:27">
      <c r="AA615342" s="613"/>
    </row>
    <row r="615343" spans="27:27">
      <c r="AA615343" s="613"/>
    </row>
    <row r="615488" spans="27:27">
      <c r="AA615488" s="613"/>
    </row>
    <row r="615489" spans="27:27">
      <c r="AA615489" s="613"/>
    </row>
    <row r="615634" spans="27:27">
      <c r="AA615634" s="613"/>
    </row>
    <row r="615635" spans="27:27">
      <c r="AA615635" s="613"/>
    </row>
    <row r="615780" spans="27:27">
      <c r="AA615780" s="613"/>
    </row>
    <row r="615781" spans="27:27">
      <c r="AA615781" s="613"/>
    </row>
    <row r="615926" spans="27:27">
      <c r="AA615926" s="613"/>
    </row>
    <row r="615927" spans="27:27">
      <c r="AA615927" s="613"/>
    </row>
    <row r="616072" spans="27:27">
      <c r="AA616072" s="613"/>
    </row>
    <row r="616073" spans="27:27">
      <c r="AA616073" s="613"/>
    </row>
    <row r="616218" spans="27:27">
      <c r="AA616218" s="613"/>
    </row>
    <row r="616219" spans="27:27">
      <c r="AA616219" s="613"/>
    </row>
    <row r="616364" spans="27:27">
      <c r="AA616364" s="613"/>
    </row>
    <row r="616365" spans="27:27">
      <c r="AA616365" s="613"/>
    </row>
    <row r="616510" spans="27:27">
      <c r="AA616510" s="613"/>
    </row>
    <row r="616511" spans="27:27">
      <c r="AA616511" s="613"/>
    </row>
    <row r="616656" spans="27:27">
      <c r="AA616656" s="613"/>
    </row>
    <row r="616657" spans="27:27">
      <c r="AA616657" s="613"/>
    </row>
    <row r="616802" spans="27:27">
      <c r="AA616802" s="613"/>
    </row>
    <row r="616803" spans="27:27">
      <c r="AA616803" s="613"/>
    </row>
    <row r="616948" spans="27:27">
      <c r="AA616948" s="613"/>
    </row>
    <row r="616949" spans="27:27">
      <c r="AA616949" s="613"/>
    </row>
    <row r="617094" spans="27:27">
      <c r="AA617094" s="613"/>
    </row>
    <row r="617095" spans="27:27">
      <c r="AA617095" s="613"/>
    </row>
    <row r="617240" spans="27:27">
      <c r="AA617240" s="613"/>
    </row>
    <row r="617241" spans="27:27">
      <c r="AA617241" s="613"/>
    </row>
    <row r="617386" spans="27:27">
      <c r="AA617386" s="613"/>
    </row>
    <row r="617387" spans="27:27">
      <c r="AA617387" s="613"/>
    </row>
    <row r="617532" spans="27:27">
      <c r="AA617532" s="613"/>
    </row>
    <row r="617533" spans="27:27">
      <c r="AA617533" s="613"/>
    </row>
    <row r="617678" spans="27:27">
      <c r="AA617678" s="613"/>
    </row>
    <row r="617679" spans="27:27">
      <c r="AA617679" s="613"/>
    </row>
    <row r="617824" spans="27:27">
      <c r="AA617824" s="613"/>
    </row>
    <row r="617825" spans="27:27">
      <c r="AA617825" s="613"/>
    </row>
    <row r="617970" spans="27:27">
      <c r="AA617970" s="613"/>
    </row>
    <row r="617971" spans="27:27">
      <c r="AA617971" s="613"/>
    </row>
    <row r="618116" spans="27:27">
      <c r="AA618116" s="613"/>
    </row>
    <row r="618117" spans="27:27">
      <c r="AA618117" s="613"/>
    </row>
    <row r="618262" spans="27:27">
      <c r="AA618262" s="613"/>
    </row>
    <row r="618263" spans="27:27">
      <c r="AA618263" s="613"/>
    </row>
    <row r="618408" spans="27:27">
      <c r="AA618408" s="613"/>
    </row>
    <row r="618409" spans="27:27">
      <c r="AA618409" s="613"/>
    </row>
    <row r="618554" spans="27:27">
      <c r="AA618554" s="613"/>
    </row>
    <row r="618555" spans="27:27">
      <c r="AA618555" s="613"/>
    </row>
    <row r="618700" spans="27:27">
      <c r="AA618700" s="613"/>
    </row>
    <row r="618701" spans="27:27">
      <c r="AA618701" s="613"/>
    </row>
    <row r="618846" spans="27:27">
      <c r="AA618846" s="613"/>
    </row>
    <row r="618847" spans="27:27">
      <c r="AA618847" s="613"/>
    </row>
    <row r="618992" spans="27:27">
      <c r="AA618992" s="613"/>
    </row>
    <row r="618993" spans="27:27">
      <c r="AA618993" s="613"/>
    </row>
    <row r="619138" spans="27:27">
      <c r="AA619138" s="613"/>
    </row>
    <row r="619139" spans="27:27">
      <c r="AA619139" s="613"/>
    </row>
    <row r="619284" spans="27:27">
      <c r="AA619284" s="613"/>
    </row>
    <row r="619285" spans="27:27">
      <c r="AA619285" s="613"/>
    </row>
    <row r="619430" spans="27:27">
      <c r="AA619430" s="613"/>
    </row>
    <row r="619431" spans="27:27">
      <c r="AA619431" s="613"/>
    </row>
    <row r="619576" spans="27:27">
      <c r="AA619576" s="613"/>
    </row>
    <row r="619577" spans="27:27">
      <c r="AA619577" s="613"/>
    </row>
    <row r="619722" spans="27:27">
      <c r="AA619722" s="613"/>
    </row>
    <row r="619723" spans="27:27">
      <c r="AA619723" s="613"/>
    </row>
    <row r="619868" spans="27:27">
      <c r="AA619868" s="613"/>
    </row>
    <row r="619869" spans="27:27">
      <c r="AA619869" s="613"/>
    </row>
    <row r="620014" spans="27:27">
      <c r="AA620014" s="613"/>
    </row>
    <row r="620015" spans="27:27">
      <c r="AA620015" s="613"/>
    </row>
    <row r="620160" spans="27:27">
      <c r="AA620160" s="613"/>
    </row>
    <row r="620161" spans="27:27">
      <c r="AA620161" s="613"/>
    </row>
    <row r="620306" spans="27:27">
      <c r="AA620306" s="613"/>
    </row>
    <row r="620307" spans="27:27">
      <c r="AA620307" s="613"/>
    </row>
    <row r="620452" spans="27:27">
      <c r="AA620452" s="613"/>
    </row>
    <row r="620453" spans="27:27">
      <c r="AA620453" s="613"/>
    </row>
    <row r="620598" spans="27:27">
      <c r="AA620598" s="613"/>
    </row>
    <row r="620599" spans="27:27">
      <c r="AA620599" s="613"/>
    </row>
    <row r="620744" spans="27:27">
      <c r="AA620744" s="613"/>
    </row>
    <row r="620745" spans="27:27">
      <c r="AA620745" s="613"/>
    </row>
    <row r="620890" spans="27:27">
      <c r="AA620890" s="613"/>
    </row>
    <row r="620891" spans="27:27">
      <c r="AA620891" s="613"/>
    </row>
    <row r="621036" spans="27:27">
      <c r="AA621036" s="613"/>
    </row>
    <row r="621037" spans="27:27">
      <c r="AA621037" s="613"/>
    </row>
    <row r="621182" spans="27:27">
      <c r="AA621182" s="613"/>
    </row>
    <row r="621183" spans="27:27">
      <c r="AA621183" s="613"/>
    </row>
    <row r="621328" spans="27:27">
      <c r="AA621328" s="613"/>
    </row>
    <row r="621329" spans="27:27">
      <c r="AA621329" s="613"/>
    </row>
    <row r="621474" spans="27:27">
      <c r="AA621474" s="613"/>
    </row>
    <row r="621475" spans="27:27">
      <c r="AA621475" s="613"/>
    </row>
    <row r="621620" spans="27:27">
      <c r="AA621620" s="613"/>
    </row>
    <row r="621621" spans="27:27">
      <c r="AA621621" s="613"/>
    </row>
    <row r="621766" spans="27:27">
      <c r="AA621766" s="613"/>
    </row>
    <row r="621767" spans="27:27">
      <c r="AA621767" s="613"/>
    </row>
    <row r="621912" spans="27:27">
      <c r="AA621912" s="613"/>
    </row>
    <row r="621913" spans="27:27">
      <c r="AA621913" s="613"/>
    </row>
    <row r="622058" spans="27:27">
      <c r="AA622058" s="613"/>
    </row>
    <row r="622059" spans="27:27">
      <c r="AA622059" s="613"/>
    </row>
    <row r="622204" spans="27:27">
      <c r="AA622204" s="613"/>
    </row>
    <row r="622205" spans="27:27">
      <c r="AA622205" s="613"/>
    </row>
    <row r="622350" spans="27:27">
      <c r="AA622350" s="613"/>
    </row>
    <row r="622351" spans="27:27">
      <c r="AA622351" s="613"/>
    </row>
    <row r="622496" spans="27:27">
      <c r="AA622496" s="613"/>
    </row>
    <row r="622497" spans="27:27">
      <c r="AA622497" s="613"/>
    </row>
    <row r="622642" spans="27:27">
      <c r="AA622642" s="613"/>
    </row>
    <row r="622643" spans="27:27">
      <c r="AA622643" s="613"/>
    </row>
    <row r="622788" spans="27:27">
      <c r="AA622788" s="613"/>
    </row>
    <row r="622789" spans="27:27">
      <c r="AA622789" s="613"/>
    </row>
    <row r="622934" spans="27:27">
      <c r="AA622934" s="613"/>
    </row>
    <row r="622935" spans="27:27">
      <c r="AA622935" s="613"/>
    </row>
    <row r="623080" spans="27:27">
      <c r="AA623080" s="613"/>
    </row>
    <row r="623081" spans="27:27">
      <c r="AA623081" s="613"/>
    </row>
    <row r="623226" spans="27:27">
      <c r="AA623226" s="613"/>
    </row>
    <row r="623227" spans="27:27">
      <c r="AA623227" s="613"/>
    </row>
    <row r="623372" spans="27:27">
      <c r="AA623372" s="613"/>
    </row>
    <row r="623373" spans="27:27">
      <c r="AA623373" s="613"/>
    </row>
    <row r="623518" spans="27:27">
      <c r="AA623518" s="613"/>
    </row>
    <row r="623519" spans="27:27">
      <c r="AA623519" s="613"/>
    </row>
    <row r="623664" spans="27:27">
      <c r="AA623664" s="613"/>
    </row>
    <row r="623665" spans="27:27">
      <c r="AA623665" s="613"/>
    </row>
    <row r="623810" spans="27:27">
      <c r="AA623810" s="613"/>
    </row>
    <row r="623811" spans="27:27">
      <c r="AA623811" s="613"/>
    </row>
    <row r="623956" spans="27:27">
      <c r="AA623956" s="613"/>
    </row>
    <row r="623957" spans="27:27">
      <c r="AA623957" s="613"/>
    </row>
    <row r="624102" spans="27:27">
      <c r="AA624102" s="613"/>
    </row>
    <row r="624103" spans="27:27">
      <c r="AA624103" s="613"/>
    </row>
    <row r="624248" spans="27:27">
      <c r="AA624248" s="613"/>
    </row>
    <row r="624249" spans="27:27">
      <c r="AA624249" s="613"/>
    </row>
    <row r="624394" spans="27:27">
      <c r="AA624394" s="613"/>
    </row>
    <row r="624395" spans="27:27">
      <c r="AA624395" s="613"/>
    </row>
    <row r="624540" spans="27:27">
      <c r="AA624540" s="613"/>
    </row>
    <row r="624541" spans="27:27">
      <c r="AA624541" s="613"/>
    </row>
    <row r="624686" spans="27:27">
      <c r="AA624686" s="613"/>
    </row>
    <row r="624687" spans="27:27">
      <c r="AA624687" s="613"/>
    </row>
    <row r="624832" spans="27:27">
      <c r="AA624832" s="613"/>
    </row>
    <row r="624833" spans="27:27">
      <c r="AA624833" s="613"/>
    </row>
    <row r="624978" spans="27:27">
      <c r="AA624978" s="613"/>
    </row>
    <row r="624979" spans="27:27">
      <c r="AA624979" s="613"/>
    </row>
    <row r="625124" spans="27:27">
      <c r="AA625124" s="613"/>
    </row>
    <row r="625125" spans="27:27">
      <c r="AA625125" s="613"/>
    </row>
    <row r="625270" spans="27:27">
      <c r="AA625270" s="613"/>
    </row>
    <row r="625271" spans="27:27">
      <c r="AA625271" s="613"/>
    </row>
    <row r="625416" spans="27:27">
      <c r="AA625416" s="613"/>
    </row>
    <row r="625417" spans="27:27">
      <c r="AA625417" s="613"/>
    </row>
    <row r="625562" spans="27:27">
      <c r="AA625562" s="613"/>
    </row>
    <row r="625563" spans="27:27">
      <c r="AA625563" s="613"/>
    </row>
    <row r="625708" spans="27:27">
      <c r="AA625708" s="613"/>
    </row>
    <row r="625709" spans="27:27">
      <c r="AA625709" s="613"/>
    </row>
    <row r="625854" spans="27:27">
      <c r="AA625854" s="613"/>
    </row>
    <row r="625855" spans="27:27">
      <c r="AA625855" s="613"/>
    </row>
    <row r="626000" spans="27:27">
      <c r="AA626000" s="613"/>
    </row>
    <row r="626001" spans="27:27">
      <c r="AA626001" s="613"/>
    </row>
    <row r="626146" spans="27:27">
      <c r="AA626146" s="613"/>
    </row>
    <row r="626147" spans="27:27">
      <c r="AA626147" s="613"/>
    </row>
    <row r="626292" spans="27:27">
      <c r="AA626292" s="613"/>
    </row>
    <row r="626293" spans="27:27">
      <c r="AA626293" s="613"/>
    </row>
    <row r="626438" spans="27:27">
      <c r="AA626438" s="613"/>
    </row>
    <row r="626439" spans="27:27">
      <c r="AA626439" s="613"/>
    </row>
    <row r="626584" spans="27:27">
      <c r="AA626584" s="613"/>
    </row>
    <row r="626585" spans="27:27">
      <c r="AA626585" s="613"/>
    </row>
    <row r="626730" spans="27:27">
      <c r="AA626730" s="613"/>
    </row>
    <row r="626731" spans="27:27">
      <c r="AA626731" s="613"/>
    </row>
    <row r="626876" spans="27:27">
      <c r="AA626876" s="613"/>
    </row>
    <row r="626877" spans="27:27">
      <c r="AA626877" s="613"/>
    </row>
    <row r="627022" spans="27:27">
      <c r="AA627022" s="613"/>
    </row>
    <row r="627023" spans="27:27">
      <c r="AA627023" s="613"/>
    </row>
    <row r="627168" spans="27:27">
      <c r="AA627168" s="613"/>
    </row>
    <row r="627169" spans="27:27">
      <c r="AA627169" s="613"/>
    </row>
    <row r="627314" spans="27:27">
      <c r="AA627314" s="613"/>
    </row>
    <row r="627315" spans="27:27">
      <c r="AA627315" s="613"/>
    </row>
    <row r="627460" spans="27:27">
      <c r="AA627460" s="613"/>
    </row>
    <row r="627461" spans="27:27">
      <c r="AA627461" s="613"/>
    </row>
    <row r="627606" spans="27:27">
      <c r="AA627606" s="613"/>
    </row>
    <row r="627607" spans="27:27">
      <c r="AA627607" s="613"/>
    </row>
    <row r="627752" spans="27:27">
      <c r="AA627752" s="613"/>
    </row>
    <row r="627753" spans="27:27">
      <c r="AA627753" s="613"/>
    </row>
    <row r="627898" spans="27:27">
      <c r="AA627898" s="613"/>
    </row>
    <row r="627899" spans="27:27">
      <c r="AA627899" s="613"/>
    </row>
    <row r="628044" spans="27:27">
      <c r="AA628044" s="613"/>
    </row>
    <row r="628045" spans="27:27">
      <c r="AA628045" s="613"/>
    </row>
    <row r="628190" spans="27:27">
      <c r="AA628190" s="613"/>
    </row>
    <row r="628191" spans="27:27">
      <c r="AA628191" s="613"/>
    </row>
    <row r="628336" spans="27:27">
      <c r="AA628336" s="613"/>
    </row>
    <row r="628337" spans="27:27">
      <c r="AA628337" s="613"/>
    </row>
    <row r="628482" spans="27:27">
      <c r="AA628482" s="613"/>
    </row>
    <row r="628483" spans="27:27">
      <c r="AA628483" s="613"/>
    </row>
    <row r="628628" spans="27:27">
      <c r="AA628628" s="613"/>
    </row>
    <row r="628629" spans="27:27">
      <c r="AA628629" s="613"/>
    </row>
    <row r="628774" spans="27:27">
      <c r="AA628774" s="613"/>
    </row>
    <row r="628775" spans="27:27">
      <c r="AA628775" s="613"/>
    </row>
    <row r="628920" spans="27:27">
      <c r="AA628920" s="613"/>
    </row>
    <row r="628921" spans="27:27">
      <c r="AA628921" s="613"/>
    </row>
    <row r="629066" spans="27:27">
      <c r="AA629066" s="613"/>
    </row>
    <row r="629067" spans="27:27">
      <c r="AA629067" s="613"/>
    </row>
    <row r="629212" spans="27:27">
      <c r="AA629212" s="613"/>
    </row>
    <row r="629213" spans="27:27">
      <c r="AA629213" s="613"/>
    </row>
    <row r="629358" spans="27:27">
      <c r="AA629358" s="613"/>
    </row>
    <row r="629359" spans="27:27">
      <c r="AA629359" s="613"/>
    </row>
    <row r="629504" spans="27:27">
      <c r="AA629504" s="613"/>
    </row>
    <row r="629505" spans="27:27">
      <c r="AA629505" s="613"/>
    </row>
    <row r="629650" spans="27:27">
      <c r="AA629650" s="613"/>
    </row>
    <row r="629651" spans="27:27">
      <c r="AA629651" s="613"/>
    </row>
    <row r="629796" spans="27:27">
      <c r="AA629796" s="613"/>
    </row>
    <row r="629797" spans="27:27">
      <c r="AA629797" s="613"/>
    </row>
    <row r="629942" spans="27:27">
      <c r="AA629942" s="613"/>
    </row>
    <row r="629943" spans="27:27">
      <c r="AA629943" s="613"/>
    </row>
    <row r="630088" spans="27:27">
      <c r="AA630088" s="613"/>
    </row>
    <row r="630089" spans="27:27">
      <c r="AA630089" s="613"/>
    </row>
    <row r="630234" spans="27:27">
      <c r="AA630234" s="613"/>
    </row>
    <row r="630235" spans="27:27">
      <c r="AA630235" s="613"/>
    </row>
    <row r="630380" spans="27:27">
      <c r="AA630380" s="613"/>
    </row>
    <row r="630381" spans="27:27">
      <c r="AA630381" s="613"/>
    </row>
    <row r="630526" spans="27:27">
      <c r="AA630526" s="613"/>
    </row>
    <row r="630527" spans="27:27">
      <c r="AA630527" s="613"/>
    </row>
    <row r="630672" spans="27:27">
      <c r="AA630672" s="613"/>
    </row>
    <row r="630673" spans="27:27">
      <c r="AA630673" s="613"/>
    </row>
    <row r="630818" spans="27:27">
      <c r="AA630818" s="613"/>
    </row>
    <row r="630819" spans="27:27">
      <c r="AA630819" s="613"/>
    </row>
    <row r="630964" spans="27:27">
      <c r="AA630964" s="613"/>
    </row>
    <row r="630965" spans="27:27">
      <c r="AA630965" s="613"/>
    </row>
    <row r="631110" spans="27:27">
      <c r="AA631110" s="613"/>
    </row>
    <row r="631111" spans="27:27">
      <c r="AA631111" s="613"/>
    </row>
    <row r="631256" spans="27:27">
      <c r="AA631256" s="613"/>
    </row>
    <row r="631257" spans="27:27">
      <c r="AA631257" s="613"/>
    </row>
    <row r="631402" spans="27:27">
      <c r="AA631402" s="613"/>
    </row>
    <row r="631403" spans="27:27">
      <c r="AA631403" s="613"/>
    </row>
    <row r="631548" spans="27:27">
      <c r="AA631548" s="613"/>
    </row>
    <row r="631549" spans="27:27">
      <c r="AA631549" s="613"/>
    </row>
    <row r="631694" spans="27:27">
      <c r="AA631694" s="613"/>
    </row>
    <row r="631695" spans="27:27">
      <c r="AA631695" s="613"/>
    </row>
    <row r="631840" spans="27:27">
      <c r="AA631840" s="613"/>
    </row>
    <row r="631841" spans="27:27">
      <c r="AA631841" s="613"/>
    </row>
    <row r="631986" spans="27:27">
      <c r="AA631986" s="613"/>
    </row>
    <row r="631987" spans="27:27">
      <c r="AA631987" s="613"/>
    </row>
    <row r="632132" spans="27:27">
      <c r="AA632132" s="613"/>
    </row>
    <row r="632133" spans="27:27">
      <c r="AA632133" s="613"/>
    </row>
    <row r="632278" spans="27:27">
      <c r="AA632278" s="613"/>
    </row>
    <row r="632279" spans="27:27">
      <c r="AA632279" s="613"/>
    </row>
    <row r="632424" spans="27:27">
      <c r="AA632424" s="613"/>
    </row>
    <row r="632425" spans="27:27">
      <c r="AA632425" s="613"/>
    </row>
    <row r="632570" spans="27:27">
      <c r="AA632570" s="613"/>
    </row>
    <row r="632571" spans="27:27">
      <c r="AA632571" s="613"/>
    </row>
    <row r="632716" spans="27:27">
      <c r="AA632716" s="613"/>
    </row>
    <row r="632717" spans="27:27">
      <c r="AA632717" s="613"/>
    </row>
    <row r="632862" spans="27:27">
      <c r="AA632862" s="613"/>
    </row>
    <row r="632863" spans="27:27">
      <c r="AA632863" s="613"/>
    </row>
    <row r="633008" spans="27:27">
      <c r="AA633008" s="613"/>
    </row>
    <row r="633009" spans="27:27">
      <c r="AA633009" s="613"/>
    </row>
    <row r="633154" spans="27:27">
      <c r="AA633154" s="613"/>
    </row>
    <row r="633155" spans="27:27">
      <c r="AA633155" s="613"/>
    </row>
    <row r="633300" spans="27:27">
      <c r="AA633300" s="613"/>
    </row>
    <row r="633301" spans="27:27">
      <c r="AA633301" s="613"/>
    </row>
    <row r="633446" spans="27:27">
      <c r="AA633446" s="613"/>
    </row>
    <row r="633447" spans="27:27">
      <c r="AA633447" s="613"/>
    </row>
    <row r="633592" spans="27:27">
      <c r="AA633592" s="613"/>
    </row>
    <row r="633593" spans="27:27">
      <c r="AA633593" s="613"/>
    </row>
    <row r="633738" spans="27:27">
      <c r="AA633738" s="613"/>
    </row>
    <row r="633739" spans="27:27">
      <c r="AA633739" s="613"/>
    </row>
    <row r="633884" spans="27:27">
      <c r="AA633884" s="613"/>
    </row>
    <row r="633885" spans="27:27">
      <c r="AA633885" s="613"/>
    </row>
    <row r="634030" spans="27:27">
      <c r="AA634030" s="613"/>
    </row>
    <row r="634031" spans="27:27">
      <c r="AA634031" s="613"/>
    </row>
    <row r="634176" spans="27:27">
      <c r="AA634176" s="613"/>
    </row>
    <row r="634177" spans="27:27">
      <c r="AA634177" s="613"/>
    </row>
    <row r="634322" spans="27:27">
      <c r="AA634322" s="613"/>
    </row>
    <row r="634323" spans="27:27">
      <c r="AA634323" s="613"/>
    </row>
    <row r="634468" spans="27:27">
      <c r="AA634468" s="613"/>
    </row>
    <row r="634469" spans="27:27">
      <c r="AA634469" s="613"/>
    </row>
    <row r="634614" spans="27:27">
      <c r="AA634614" s="613"/>
    </row>
    <row r="634615" spans="27:27">
      <c r="AA634615" s="613"/>
    </row>
    <row r="634760" spans="27:27">
      <c r="AA634760" s="613"/>
    </row>
    <row r="634761" spans="27:27">
      <c r="AA634761" s="613"/>
    </row>
    <row r="634906" spans="27:27">
      <c r="AA634906" s="613"/>
    </row>
    <row r="634907" spans="27:27">
      <c r="AA634907" s="613"/>
    </row>
    <row r="635052" spans="27:27">
      <c r="AA635052" s="613"/>
    </row>
    <row r="635053" spans="27:27">
      <c r="AA635053" s="613"/>
    </row>
    <row r="635198" spans="27:27">
      <c r="AA635198" s="613"/>
    </row>
    <row r="635199" spans="27:27">
      <c r="AA635199" s="613"/>
    </row>
    <row r="635344" spans="27:27">
      <c r="AA635344" s="613"/>
    </row>
    <row r="635345" spans="27:27">
      <c r="AA635345" s="613"/>
    </row>
    <row r="635490" spans="27:27">
      <c r="AA635490" s="613"/>
    </row>
    <row r="635491" spans="27:27">
      <c r="AA635491" s="613"/>
    </row>
    <row r="635636" spans="27:27">
      <c r="AA635636" s="613"/>
    </row>
    <row r="635637" spans="27:27">
      <c r="AA635637" s="613"/>
    </row>
    <row r="635782" spans="27:27">
      <c r="AA635782" s="613"/>
    </row>
    <row r="635783" spans="27:27">
      <c r="AA635783" s="613"/>
    </row>
    <row r="635928" spans="27:27">
      <c r="AA635928" s="613"/>
    </row>
    <row r="635929" spans="27:27">
      <c r="AA635929" s="613"/>
    </row>
    <row r="636074" spans="27:27">
      <c r="AA636074" s="613"/>
    </row>
    <row r="636075" spans="27:27">
      <c r="AA636075" s="613"/>
    </row>
    <row r="636220" spans="27:27">
      <c r="AA636220" s="613"/>
    </row>
    <row r="636221" spans="27:27">
      <c r="AA636221" s="613"/>
    </row>
    <row r="636366" spans="27:27">
      <c r="AA636366" s="613"/>
    </row>
    <row r="636367" spans="27:27">
      <c r="AA636367" s="613"/>
    </row>
    <row r="636512" spans="27:27">
      <c r="AA636512" s="613"/>
    </row>
    <row r="636513" spans="27:27">
      <c r="AA636513" s="613"/>
    </row>
    <row r="636658" spans="27:27">
      <c r="AA636658" s="613"/>
    </row>
    <row r="636659" spans="27:27">
      <c r="AA636659" s="613"/>
    </row>
    <row r="636804" spans="27:27">
      <c r="AA636804" s="613"/>
    </row>
    <row r="636805" spans="27:27">
      <c r="AA636805" s="613"/>
    </row>
    <row r="636950" spans="27:27">
      <c r="AA636950" s="613"/>
    </row>
    <row r="636951" spans="27:27">
      <c r="AA636951" s="613"/>
    </row>
    <row r="637096" spans="27:27">
      <c r="AA637096" s="613"/>
    </row>
    <row r="637097" spans="27:27">
      <c r="AA637097" s="613"/>
    </row>
    <row r="637242" spans="27:27">
      <c r="AA637242" s="613"/>
    </row>
    <row r="637243" spans="27:27">
      <c r="AA637243" s="613"/>
    </row>
    <row r="637388" spans="27:27">
      <c r="AA637388" s="613"/>
    </row>
    <row r="637389" spans="27:27">
      <c r="AA637389" s="613"/>
    </row>
    <row r="637534" spans="27:27">
      <c r="AA637534" s="613"/>
    </row>
    <row r="637535" spans="27:27">
      <c r="AA637535" s="613"/>
    </row>
    <row r="637680" spans="27:27">
      <c r="AA637680" s="613"/>
    </row>
    <row r="637681" spans="27:27">
      <c r="AA637681" s="613"/>
    </row>
    <row r="637826" spans="27:27">
      <c r="AA637826" s="613"/>
    </row>
    <row r="637827" spans="27:27">
      <c r="AA637827" s="613"/>
    </row>
    <row r="637972" spans="27:27">
      <c r="AA637972" s="613"/>
    </row>
    <row r="637973" spans="27:27">
      <c r="AA637973" s="613"/>
    </row>
    <row r="638118" spans="27:27">
      <c r="AA638118" s="613"/>
    </row>
    <row r="638119" spans="27:27">
      <c r="AA638119" s="613"/>
    </row>
    <row r="638264" spans="27:27">
      <c r="AA638264" s="613"/>
    </row>
    <row r="638265" spans="27:27">
      <c r="AA638265" s="613"/>
    </row>
    <row r="638410" spans="27:27">
      <c r="AA638410" s="613"/>
    </row>
    <row r="638411" spans="27:27">
      <c r="AA638411" s="613"/>
    </row>
    <row r="638556" spans="27:27">
      <c r="AA638556" s="613"/>
    </row>
    <row r="638557" spans="27:27">
      <c r="AA638557" s="613"/>
    </row>
    <row r="638702" spans="27:27">
      <c r="AA638702" s="613"/>
    </row>
    <row r="638703" spans="27:27">
      <c r="AA638703" s="613"/>
    </row>
    <row r="638848" spans="27:27">
      <c r="AA638848" s="613"/>
    </row>
    <row r="638849" spans="27:27">
      <c r="AA638849" s="613"/>
    </row>
    <row r="638994" spans="27:27">
      <c r="AA638994" s="613"/>
    </row>
    <row r="638995" spans="27:27">
      <c r="AA638995" s="613"/>
    </row>
    <row r="639140" spans="27:27">
      <c r="AA639140" s="613"/>
    </row>
    <row r="639141" spans="27:27">
      <c r="AA639141" s="613"/>
    </row>
    <row r="639286" spans="27:27">
      <c r="AA639286" s="613"/>
    </row>
    <row r="639287" spans="27:27">
      <c r="AA639287" s="613"/>
    </row>
    <row r="639432" spans="27:27">
      <c r="AA639432" s="613"/>
    </row>
    <row r="639433" spans="27:27">
      <c r="AA639433" s="613"/>
    </row>
    <row r="639578" spans="27:27">
      <c r="AA639578" s="613"/>
    </row>
    <row r="639579" spans="27:27">
      <c r="AA639579" s="613"/>
    </row>
    <row r="639724" spans="27:27">
      <c r="AA639724" s="613"/>
    </row>
    <row r="639725" spans="27:27">
      <c r="AA639725" s="613"/>
    </row>
    <row r="639870" spans="27:27">
      <c r="AA639870" s="613"/>
    </row>
    <row r="639871" spans="27:27">
      <c r="AA639871" s="613"/>
    </row>
    <row r="640016" spans="27:27">
      <c r="AA640016" s="613"/>
    </row>
    <row r="640017" spans="27:27">
      <c r="AA640017" s="613"/>
    </row>
    <row r="640162" spans="27:27">
      <c r="AA640162" s="613"/>
    </row>
    <row r="640163" spans="27:27">
      <c r="AA640163" s="613"/>
    </row>
    <row r="640308" spans="27:27">
      <c r="AA640308" s="613"/>
    </row>
    <row r="640309" spans="27:27">
      <c r="AA640309" s="613"/>
    </row>
    <row r="640454" spans="27:27">
      <c r="AA640454" s="613"/>
    </row>
    <row r="640455" spans="27:27">
      <c r="AA640455" s="613"/>
    </row>
    <row r="640600" spans="27:27">
      <c r="AA640600" s="613"/>
    </row>
    <row r="640601" spans="27:27">
      <c r="AA640601" s="613"/>
    </row>
    <row r="640746" spans="27:27">
      <c r="AA640746" s="613"/>
    </row>
    <row r="640747" spans="27:27">
      <c r="AA640747" s="613"/>
    </row>
    <row r="640892" spans="27:27">
      <c r="AA640892" s="613"/>
    </row>
    <row r="640893" spans="27:27">
      <c r="AA640893" s="613"/>
    </row>
    <row r="641038" spans="27:27">
      <c r="AA641038" s="613"/>
    </row>
    <row r="641039" spans="27:27">
      <c r="AA641039" s="613"/>
    </row>
    <row r="641184" spans="27:27">
      <c r="AA641184" s="613"/>
    </row>
    <row r="641185" spans="27:27">
      <c r="AA641185" s="613"/>
    </row>
    <row r="641330" spans="27:27">
      <c r="AA641330" s="613"/>
    </row>
    <row r="641331" spans="27:27">
      <c r="AA641331" s="613"/>
    </row>
    <row r="641476" spans="27:27">
      <c r="AA641476" s="613"/>
    </row>
    <row r="641477" spans="27:27">
      <c r="AA641477" s="613"/>
    </row>
    <row r="641622" spans="27:27">
      <c r="AA641622" s="613"/>
    </row>
    <row r="641623" spans="27:27">
      <c r="AA641623" s="613"/>
    </row>
    <row r="641768" spans="27:27">
      <c r="AA641768" s="613"/>
    </row>
    <row r="641769" spans="27:27">
      <c r="AA641769" s="613"/>
    </row>
    <row r="641914" spans="27:27">
      <c r="AA641914" s="613"/>
    </row>
    <row r="641915" spans="27:27">
      <c r="AA641915" s="613"/>
    </row>
    <row r="642060" spans="27:27">
      <c r="AA642060" s="613"/>
    </row>
    <row r="642061" spans="27:27">
      <c r="AA642061" s="613"/>
    </row>
    <row r="642206" spans="27:27">
      <c r="AA642206" s="613"/>
    </row>
    <row r="642207" spans="27:27">
      <c r="AA642207" s="613"/>
    </row>
    <row r="642352" spans="27:27">
      <c r="AA642352" s="613"/>
    </row>
    <row r="642353" spans="27:27">
      <c r="AA642353" s="613"/>
    </row>
    <row r="642498" spans="27:27">
      <c r="AA642498" s="613"/>
    </row>
    <row r="642499" spans="27:27">
      <c r="AA642499" s="613"/>
    </row>
    <row r="642644" spans="27:27">
      <c r="AA642644" s="613"/>
    </row>
    <row r="642645" spans="27:27">
      <c r="AA642645" s="613"/>
    </row>
    <row r="642790" spans="27:27">
      <c r="AA642790" s="613"/>
    </row>
    <row r="642791" spans="27:27">
      <c r="AA642791" s="613"/>
    </row>
    <row r="642936" spans="27:27">
      <c r="AA642936" s="613"/>
    </row>
    <row r="642937" spans="27:27">
      <c r="AA642937" s="613"/>
    </row>
    <row r="643082" spans="27:27">
      <c r="AA643082" s="613"/>
    </row>
    <row r="643083" spans="27:27">
      <c r="AA643083" s="613"/>
    </row>
    <row r="643228" spans="27:27">
      <c r="AA643228" s="613"/>
    </row>
    <row r="643229" spans="27:27">
      <c r="AA643229" s="613"/>
    </row>
    <row r="643374" spans="27:27">
      <c r="AA643374" s="613"/>
    </row>
    <row r="643375" spans="27:27">
      <c r="AA643375" s="613"/>
    </row>
    <row r="643520" spans="27:27">
      <c r="AA643520" s="613"/>
    </row>
    <row r="643521" spans="27:27">
      <c r="AA643521" s="613"/>
    </row>
    <row r="643666" spans="27:27">
      <c r="AA643666" s="613"/>
    </row>
    <row r="643667" spans="27:27">
      <c r="AA643667" s="613"/>
    </row>
    <row r="643812" spans="27:27">
      <c r="AA643812" s="613"/>
    </row>
    <row r="643813" spans="27:27">
      <c r="AA643813" s="613"/>
    </row>
    <row r="643958" spans="27:27">
      <c r="AA643958" s="613"/>
    </row>
    <row r="643959" spans="27:27">
      <c r="AA643959" s="613"/>
    </row>
    <row r="644104" spans="27:27">
      <c r="AA644104" s="613"/>
    </row>
    <row r="644105" spans="27:27">
      <c r="AA644105" s="613"/>
    </row>
    <row r="644250" spans="27:27">
      <c r="AA644250" s="613"/>
    </row>
    <row r="644251" spans="27:27">
      <c r="AA644251" s="613"/>
    </row>
    <row r="644396" spans="27:27">
      <c r="AA644396" s="613"/>
    </row>
    <row r="644397" spans="27:27">
      <c r="AA644397" s="613"/>
    </row>
    <row r="644542" spans="27:27">
      <c r="AA644542" s="613"/>
    </row>
    <row r="644543" spans="27:27">
      <c r="AA644543" s="613"/>
    </row>
    <row r="644688" spans="27:27">
      <c r="AA644688" s="613"/>
    </row>
    <row r="644689" spans="27:27">
      <c r="AA644689" s="613"/>
    </row>
    <row r="644834" spans="27:27">
      <c r="AA644834" s="613"/>
    </row>
    <row r="644835" spans="27:27">
      <c r="AA644835" s="613"/>
    </row>
    <row r="644980" spans="27:27">
      <c r="AA644980" s="613"/>
    </row>
    <row r="644981" spans="27:27">
      <c r="AA644981" s="613"/>
    </row>
    <row r="645126" spans="27:27">
      <c r="AA645126" s="613"/>
    </row>
    <row r="645127" spans="27:27">
      <c r="AA645127" s="613"/>
    </row>
    <row r="645272" spans="27:27">
      <c r="AA645272" s="613"/>
    </row>
    <row r="645273" spans="27:27">
      <c r="AA645273" s="613"/>
    </row>
    <row r="645418" spans="27:27">
      <c r="AA645418" s="613"/>
    </row>
    <row r="645419" spans="27:27">
      <c r="AA645419" s="613"/>
    </row>
    <row r="645564" spans="27:27">
      <c r="AA645564" s="613"/>
    </row>
    <row r="645565" spans="27:27">
      <c r="AA645565" s="613"/>
    </row>
    <row r="645710" spans="27:27">
      <c r="AA645710" s="613"/>
    </row>
    <row r="645711" spans="27:27">
      <c r="AA645711" s="613"/>
    </row>
    <row r="645856" spans="27:27">
      <c r="AA645856" s="613"/>
    </row>
    <row r="645857" spans="27:27">
      <c r="AA645857" s="613"/>
    </row>
    <row r="646002" spans="27:27">
      <c r="AA646002" s="613"/>
    </row>
    <row r="646003" spans="27:27">
      <c r="AA646003" s="613"/>
    </row>
    <row r="646148" spans="27:27">
      <c r="AA646148" s="613"/>
    </row>
    <row r="646149" spans="27:27">
      <c r="AA646149" s="613"/>
    </row>
    <row r="646294" spans="27:27">
      <c r="AA646294" s="613"/>
    </row>
    <row r="646295" spans="27:27">
      <c r="AA646295" s="613"/>
    </row>
    <row r="646440" spans="27:27">
      <c r="AA646440" s="613"/>
    </row>
    <row r="646441" spans="27:27">
      <c r="AA646441" s="613"/>
    </row>
    <row r="646586" spans="27:27">
      <c r="AA646586" s="613"/>
    </row>
    <row r="646587" spans="27:27">
      <c r="AA646587" s="613"/>
    </row>
    <row r="646732" spans="27:27">
      <c r="AA646732" s="613"/>
    </row>
    <row r="646733" spans="27:27">
      <c r="AA646733" s="613"/>
    </row>
    <row r="646878" spans="27:27">
      <c r="AA646878" s="613"/>
    </row>
    <row r="646879" spans="27:27">
      <c r="AA646879" s="613"/>
    </row>
    <row r="647024" spans="27:27">
      <c r="AA647024" s="613"/>
    </row>
    <row r="647025" spans="27:27">
      <c r="AA647025" s="613"/>
    </row>
    <row r="647170" spans="27:27">
      <c r="AA647170" s="613"/>
    </row>
    <row r="647171" spans="27:27">
      <c r="AA647171" s="613"/>
    </row>
    <row r="647316" spans="27:27">
      <c r="AA647316" s="613"/>
    </row>
    <row r="647317" spans="27:27">
      <c r="AA647317" s="613"/>
    </row>
    <row r="647462" spans="27:27">
      <c r="AA647462" s="613"/>
    </row>
    <row r="647463" spans="27:27">
      <c r="AA647463" s="613"/>
    </row>
    <row r="647608" spans="27:27">
      <c r="AA647608" s="613"/>
    </row>
    <row r="647609" spans="27:27">
      <c r="AA647609" s="613"/>
    </row>
    <row r="647754" spans="27:27">
      <c r="AA647754" s="613"/>
    </row>
    <row r="647755" spans="27:27">
      <c r="AA647755" s="613"/>
    </row>
    <row r="647900" spans="27:27">
      <c r="AA647900" s="613"/>
    </row>
    <row r="647901" spans="27:27">
      <c r="AA647901" s="613"/>
    </row>
    <row r="648046" spans="27:27">
      <c r="AA648046" s="613"/>
    </row>
    <row r="648047" spans="27:27">
      <c r="AA648047" s="613"/>
    </row>
    <row r="648192" spans="27:27">
      <c r="AA648192" s="613"/>
    </row>
    <row r="648193" spans="27:27">
      <c r="AA648193" s="613"/>
    </row>
    <row r="648338" spans="27:27">
      <c r="AA648338" s="613"/>
    </row>
    <row r="648339" spans="27:27">
      <c r="AA648339" s="613"/>
    </row>
    <row r="648484" spans="27:27">
      <c r="AA648484" s="613"/>
    </row>
    <row r="648485" spans="27:27">
      <c r="AA648485" s="613"/>
    </row>
    <row r="648630" spans="27:27">
      <c r="AA648630" s="613"/>
    </row>
    <row r="648631" spans="27:27">
      <c r="AA648631" s="613"/>
    </row>
    <row r="648776" spans="27:27">
      <c r="AA648776" s="613"/>
    </row>
    <row r="648777" spans="27:27">
      <c r="AA648777" s="613"/>
    </row>
    <row r="648922" spans="27:27">
      <c r="AA648922" s="613"/>
    </row>
    <row r="648923" spans="27:27">
      <c r="AA648923" s="613"/>
    </row>
    <row r="649068" spans="27:27">
      <c r="AA649068" s="613"/>
    </row>
    <row r="649069" spans="27:27">
      <c r="AA649069" s="613"/>
    </row>
    <row r="649214" spans="27:27">
      <c r="AA649214" s="613"/>
    </row>
    <row r="649215" spans="27:27">
      <c r="AA649215" s="613"/>
    </row>
    <row r="649360" spans="27:27">
      <c r="AA649360" s="613"/>
    </row>
    <row r="649361" spans="27:27">
      <c r="AA649361" s="613"/>
    </row>
    <row r="649506" spans="27:27">
      <c r="AA649506" s="613"/>
    </row>
    <row r="649507" spans="27:27">
      <c r="AA649507" s="613"/>
    </row>
    <row r="649652" spans="27:27">
      <c r="AA649652" s="613"/>
    </row>
    <row r="649653" spans="27:27">
      <c r="AA649653" s="613"/>
    </row>
    <row r="649798" spans="27:27">
      <c r="AA649798" s="613"/>
    </row>
    <row r="649799" spans="27:27">
      <c r="AA649799" s="613"/>
    </row>
    <row r="649944" spans="27:27">
      <c r="AA649944" s="613"/>
    </row>
    <row r="649945" spans="27:27">
      <c r="AA649945" s="613"/>
    </row>
    <row r="650090" spans="27:27">
      <c r="AA650090" s="613"/>
    </row>
    <row r="650091" spans="27:27">
      <c r="AA650091" s="613"/>
    </row>
    <row r="650236" spans="27:27">
      <c r="AA650236" s="613"/>
    </row>
    <row r="650237" spans="27:27">
      <c r="AA650237" s="613"/>
    </row>
    <row r="650382" spans="27:27">
      <c r="AA650382" s="613"/>
    </row>
    <row r="650383" spans="27:27">
      <c r="AA650383" s="613"/>
    </row>
    <row r="650528" spans="27:27">
      <c r="AA650528" s="613"/>
    </row>
    <row r="650529" spans="27:27">
      <c r="AA650529" s="613"/>
    </row>
    <row r="650674" spans="27:27">
      <c r="AA650674" s="613"/>
    </row>
    <row r="650675" spans="27:27">
      <c r="AA650675" s="613"/>
    </row>
    <row r="650820" spans="27:27">
      <c r="AA650820" s="613"/>
    </row>
    <row r="650821" spans="27:27">
      <c r="AA650821" s="613"/>
    </row>
    <row r="650966" spans="27:27">
      <c r="AA650966" s="613"/>
    </row>
    <row r="650967" spans="27:27">
      <c r="AA650967" s="613"/>
    </row>
    <row r="651112" spans="27:27">
      <c r="AA651112" s="613"/>
    </row>
    <row r="651113" spans="27:27">
      <c r="AA651113" s="613"/>
    </row>
    <row r="651258" spans="27:27">
      <c r="AA651258" s="613"/>
    </row>
    <row r="651259" spans="27:27">
      <c r="AA651259" s="613"/>
    </row>
    <row r="651404" spans="27:27">
      <c r="AA651404" s="613"/>
    </row>
    <row r="651405" spans="27:27">
      <c r="AA651405" s="613"/>
    </row>
    <row r="651550" spans="27:27">
      <c r="AA651550" s="613"/>
    </row>
    <row r="651551" spans="27:27">
      <c r="AA651551" s="613"/>
    </row>
    <row r="651696" spans="27:27">
      <c r="AA651696" s="613"/>
    </row>
    <row r="651697" spans="27:27">
      <c r="AA651697" s="613"/>
    </row>
    <row r="651842" spans="27:27">
      <c r="AA651842" s="613"/>
    </row>
    <row r="651843" spans="27:27">
      <c r="AA651843" s="613"/>
    </row>
    <row r="651988" spans="27:27">
      <c r="AA651988" s="613"/>
    </row>
    <row r="651989" spans="27:27">
      <c r="AA651989" s="613"/>
    </row>
    <row r="652134" spans="27:27">
      <c r="AA652134" s="613"/>
    </row>
    <row r="652135" spans="27:27">
      <c r="AA652135" s="613"/>
    </row>
    <row r="652280" spans="27:27">
      <c r="AA652280" s="613"/>
    </row>
    <row r="652281" spans="27:27">
      <c r="AA652281" s="613"/>
    </row>
    <row r="652426" spans="27:27">
      <c r="AA652426" s="613"/>
    </row>
    <row r="652427" spans="27:27">
      <c r="AA652427" s="613"/>
    </row>
    <row r="652572" spans="27:27">
      <c r="AA652572" s="613"/>
    </row>
    <row r="652573" spans="27:27">
      <c r="AA652573" s="613"/>
    </row>
    <row r="652718" spans="27:27">
      <c r="AA652718" s="613"/>
    </row>
    <row r="652719" spans="27:27">
      <c r="AA652719" s="613"/>
    </row>
    <row r="652864" spans="27:27">
      <c r="AA652864" s="613"/>
    </row>
    <row r="652865" spans="27:27">
      <c r="AA652865" s="613"/>
    </row>
    <row r="653010" spans="27:27">
      <c r="AA653010" s="613"/>
    </row>
    <row r="653011" spans="27:27">
      <c r="AA653011" s="613"/>
    </row>
    <row r="653156" spans="27:27">
      <c r="AA653156" s="613"/>
    </row>
    <row r="653157" spans="27:27">
      <c r="AA653157" s="613"/>
    </row>
    <row r="653302" spans="27:27">
      <c r="AA653302" s="613"/>
    </row>
    <row r="653303" spans="27:27">
      <c r="AA653303" s="613"/>
    </row>
    <row r="653448" spans="27:27">
      <c r="AA653448" s="613"/>
    </row>
    <row r="653449" spans="27:27">
      <c r="AA653449" s="613"/>
    </row>
    <row r="653594" spans="27:27">
      <c r="AA653594" s="613"/>
    </row>
    <row r="653595" spans="27:27">
      <c r="AA653595" s="613"/>
    </row>
    <row r="653740" spans="27:27">
      <c r="AA653740" s="613"/>
    </row>
    <row r="653741" spans="27:27">
      <c r="AA653741" s="613"/>
    </row>
    <row r="653886" spans="27:27">
      <c r="AA653886" s="613"/>
    </row>
    <row r="653887" spans="27:27">
      <c r="AA653887" s="613"/>
    </row>
    <row r="654032" spans="27:27">
      <c r="AA654032" s="613"/>
    </row>
    <row r="654033" spans="27:27">
      <c r="AA654033" s="613"/>
    </row>
    <row r="654178" spans="27:27">
      <c r="AA654178" s="613"/>
    </row>
    <row r="654179" spans="27:27">
      <c r="AA654179" s="613"/>
    </row>
    <row r="654324" spans="27:27">
      <c r="AA654324" s="613"/>
    </row>
    <row r="654325" spans="27:27">
      <c r="AA654325" s="613"/>
    </row>
    <row r="654470" spans="27:27">
      <c r="AA654470" s="613"/>
    </row>
    <row r="654471" spans="27:27">
      <c r="AA654471" s="613"/>
    </row>
    <row r="654616" spans="27:27">
      <c r="AA654616" s="613"/>
    </row>
    <row r="654617" spans="27:27">
      <c r="AA654617" s="613"/>
    </row>
    <row r="654762" spans="27:27">
      <c r="AA654762" s="613"/>
    </row>
    <row r="654763" spans="27:27">
      <c r="AA654763" s="613"/>
    </row>
    <row r="654908" spans="27:27">
      <c r="AA654908" s="613"/>
    </row>
    <row r="654909" spans="27:27">
      <c r="AA654909" s="613"/>
    </row>
    <row r="655054" spans="27:27">
      <c r="AA655054" s="613"/>
    </row>
    <row r="655055" spans="27:27">
      <c r="AA655055" s="613"/>
    </row>
    <row r="655200" spans="27:27">
      <c r="AA655200" s="613"/>
    </row>
    <row r="655201" spans="27:27">
      <c r="AA655201" s="613"/>
    </row>
    <row r="655346" spans="27:27">
      <c r="AA655346" s="613"/>
    </row>
    <row r="655347" spans="27:27">
      <c r="AA655347" s="613"/>
    </row>
    <row r="655492" spans="27:27">
      <c r="AA655492" s="613"/>
    </row>
    <row r="655493" spans="27:27">
      <c r="AA655493" s="613"/>
    </row>
    <row r="655638" spans="27:27">
      <c r="AA655638" s="613"/>
    </row>
    <row r="655639" spans="27:27">
      <c r="AA655639" s="613"/>
    </row>
    <row r="655784" spans="27:27">
      <c r="AA655784" s="613"/>
    </row>
    <row r="655785" spans="27:27">
      <c r="AA655785" s="613"/>
    </row>
    <row r="655930" spans="27:27">
      <c r="AA655930" s="613"/>
    </row>
    <row r="655931" spans="27:27">
      <c r="AA655931" s="613"/>
    </row>
    <row r="656076" spans="27:27">
      <c r="AA656076" s="613"/>
    </row>
    <row r="656077" spans="27:27">
      <c r="AA656077" s="613"/>
    </row>
    <row r="656222" spans="27:27">
      <c r="AA656222" s="613"/>
    </row>
    <row r="656223" spans="27:27">
      <c r="AA656223" s="613"/>
    </row>
    <row r="656368" spans="27:27">
      <c r="AA656368" s="613"/>
    </row>
    <row r="656369" spans="27:27">
      <c r="AA656369" s="613"/>
    </row>
    <row r="656514" spans="27:27">
      <c r="AA656514" s="613"/>
    </row>
    <row r="656515" spans="27:27">
      <c r="AA656515" s="613"/>
    </row>
    <row r="656660" spans="27:27">
      <c r="AA656660" s="613"/>
    </row>
    <row r="656661" spans="27:27">
      <c r="AA656661" s="613"/>
    </row>
    <row r="656806" spans="27:27">
      <c r="AA656806" s="613"/>
    </row>
    <row r="656807" spans="27:27">
      <c r="AA656807" s="613"/>
    </row>
    <row r="656952" spans="27:27">
      <c r="AA656952" s="613"/>
    </row>
    <row r="656953" spans="27:27">
      <c r="AA656953" s="613"/>
    </row>
    <row r="657098" spans="27:27">
      <c r="AA657098" s="613"/>
    </row>
    <row r="657099" spans="27:27">
      <c r="AA657099" s="613"/>
    </row>
    <row r="657244" spans="27:27">
      <c r="AA657244" s="613"/>
    </row>
    <row r="657245" spans="27:27">
      <c r="AA657245" s="613"/>
    </row>
    <row r="657390" spans="27:27">
      <c r="AA657390" s="613"/>
    </row>
    <row r="657391" spans="27:27">
      <c r="AA657391" s="613"/>
    </row>
    <row r="657536" spans="27:27">
      <c r="AA657536" s="613"/>
    </row>
    <row r="657537" spans="27:27">
      <c r="AA657537" s="613"/>
    </row>
    <row r="657682" spans="27:27">
      <c r="AA657682" s="613"/>
    </row>
    <row r="657683" spans="27:27">
      <c r="AA657683" s="613"/>
    </row>
    <row r="657828" spans="27:27">
      <c r="AA657828" s="613"/>
    </row>
    <row r="657829" spans="27:27">
      <c r="AA657829" s="613"/>
    </row>
    <row r="657974" spans="27:27">
      <c r="AA657974" s="613"/>
    </row>
    <row r="657975" spans="27:27">
      <c r="AA657975" s="613"/>
    </row>
    <row r="658120" spans="27:27">
      <c r="AA658120" s="613"/>
    </row>
    <row r="658121" spans="27:27">
      <c r="AA658121" s="613"/>
    </row>
    <row r="658266" spans="27:27">
      <c r="AA658266" s="613"/>
    </row>
    <row r="658267" spans="27:27">
      <c r="AA658267" s="613"/>
    </row>
    <row r="658412" spans="27:27">
      <c r="AA658412" s="613"/>
    </row>
    <row r="658413" spans="27:27">
      <c r="AA658413" s="613"/>
    </row>
    <row r="658558" spans="27:27">
      <c r="AA658558" s="613"/>
    </row>
    <row r="658559" spans="27:27">
      <c r="AA658559" s="613"/>
    </row>
    <row r="658704" spans="27:27">
      <c r="AA658704" s="613"/>
    </row>
    <row r="658705" spans="27:27">
      <c r="AA658705" s="613"/>
    </row>
    <row r="658850" spans="27:27">
      <c r="AA658850" s="613"/>
    </row>
    <row r="658851" spans="27:27">
      <c r="AA658851" s="613"/>
    </row>
    <row r="658996" spans="27:27">
      <c r="AA658996" s="613"/>
    </row>
    <row r="658997" spans="27:27">
      <c r="AA658997" s="613"/>
    </row>
    <row r="659142" spans="27:27">
      <c r="AA659142" s="613"/>
    </row>
    <row r="659143" spans="27:27">
      <c r="AA659143" s="613"/>
    </row>
    <row r="659288" spans="27:27">
      <c r="AA659288" s="613"/>
    </row>
    <row r="659289" spans="27:27">
      <c r="AA659289" s="613"/>
    </row>
    <row r="659434" spans="27:27">
      <c r="AA659434" s="613"/>
    </row>
    <row r="659435" spans="27:27">
      <c r="AA659435" s="613"/>
    </row>
    <row r="659580" spans="27:27">
      <c r="AA659580" s="613"/>
    </row>
    <row r="659581" spans="27:27">
      <c r="AA659581" s="613"/>
    </row>
    <row r="659726" spans="27:27">
      <c r="AA659726" s="613"/>
    </row>
    <row r="659727" spans="27:27">
      <c r="AA659727" s="613"/>
    </row>
    <row r="659872" spans="27:27">
      <c r="AA659872" s="613"/>
    </row>
    <row r="659873" spans="27:27">
      <c r="AA659873" s="613"/>
    </row>
    <row r="660018" spans="27:27">
      <c r="AA660018" s="613"/>
    </row>
    <row r="660019" spans="27:27">
      <c r="AA660019" s="613"/>
    </row>
    <row r="660164" spans="27:27">
      <c r="AA660164" s="613"/>
    </row>
    <row r="660165" spans="27:27">
      <c r="AA660165" s="613"/>
    </row>
    <row r="660310" spans="27:27">
      <c r="AA660310" s="613"/>
    </row>
    <row r="660311" spans="27:27">
      <c r="AA660311" s="613"/>
    </row>
    <row r="660456" spans="27:27">
      <c r="AA660456" s="613"/>
    </row>
    <row r="660457" spans="27:27">
      <c r="AA660457" s="613"/>
    </row>
    <row r="660602" spans="27:27">
      <c r="AA660602" s="613"/>
    </row>
    <row r="660603" spans="27:27">
      <c r="AA660603" s="613"/>
    </row>
    <row r="660748" spans="27:27">
      <c r="AA660748" s="613"/>
    </row>
    <row r="660749" spans="27:27">
      <c r="AA660749" s="613"/>
    </row>
    <row r="660894" spans="27:27">
      <c r="AA660894" s="613"/>
    </row>
    <row r="660895" spans="27:27">
      <c r="AA660895" s="613"/>
    </row>
    <row r="661040" spans="27:27">
      <c r="AA661040" s="613"/>
    </row>
    <row r="661041" spans="27:27">
      <c r="AA661041" s="613"/>
    </row>
    <row r="661186" spans="27:27">
      <c r="AA661186" s="613"/>
    </row>
    <row r="661187" spans="27:27">
      <c r="AA661187" s="613"/>
    </row>
    <row r="661332" spans="27:27">
      <c r="AA661332" s="613"/>
    </row>
    <row r="661333" spans="27:27">
      <c r="AA661333" s="613"/>
    </row>
    <row r="661478" spans="27:27">
      <c r="AA661478" s="613"/>
    </row>
    <row r="661479" spans="27:27">
      <c r="AA661479" s="613"/>
    </row>
    <row r="661624" spans="27:27">
      <c r="AA661624" s="613"/>
    </row>
    <row r="661625" spans="27:27">
      <c r="AA661625" s="613"/>
    </row>
    <row r="661770" spans="27:27">
      <c r="AA661770" s="613"/>
    </row>
    <row r="661771" spans="27:27">
      <c r="AA661771" s="613"/>
    </row>
    <row r="661916" spans="27:27">
      <c r="AA661916" s="613"/>
    </row>
    <row r="661917" spans="27:27">
      <c r="AA661917" s="613"/>
    </row>
    <row r="662062" spans="27:27">
      <c r="AA662062" s="613"/>
    </row>
    <row r="662063" spans="27:27">
      <c r="AA662063" s="613"/>
    </row>
    <row r="662208" spans="27:27">
      <c r="AA662208" s="613"/>
    </row>
    <row r="662209" spans="27:27">
      <c r="AA662209" s="613"/>
    </row>
    <row r="662354" spans="27:27">
      <c r="AA662354" s="613"/>
    </row>
    <row r="662355" spans="27:27">
      <c r="AA662355" s="613"/>
    </row>
    <row r="662500" spans="27:27">
      <c r="AA662500" s="613"/>
    </row>
    <row r="662501" spans="27:27">
      <c r="AA662501" s="613"/>
    </row>
    <row r="662646" spans="27:27">
      <c r="AA662646" s="613"/>
    </row>
    <row r="662647" spans="27:27">
      <c r="AA662647" s="613"/>
    </row>
    <row r="662792" spans="27:27">
      <c r="AA662792" s="613"/>
    </row>
    <row r="662793" spans="27:27">
      <c r="AA662793" s="613"/>
    </row>
    <row r="662938" spans="27:27">
      <c r="AA662938" s="613"/>
    </row>
    <row r="662939" spans="27:27">
      <c r="AA662939" s="613"/>
    </row>
    <row r="663084" spans="27:27">
      <c r="AA663084" s="613"/>
    </row>
    <row r="663085" spans="27:27">
      <c r="AA663085" s="613"/>
    </row>
    <row r="663230" spans="27:27">
      <c r="AA663230" s="613"/>
    </row>
    <row r="663231" spans="27:27">
      <c r="AA663231" s="613"/>
    </row>
    <row r="663376" spans="27:27">
      <c r="AA663376" s="613"/>
    </row>
    <row r="663377" spans="27:27">
      <c r="AA663377" s="613"/>
    </row>
    <row r="663522" spans="27:27">
      <c r="AA663522" s="613"/>
    </row>
    <row r="663523" spans="27:27">
      <c r="AA663523" s="613"/>
    </row>
    <row r="663668" spans="27:27">
      <c r="AA663668" s="613"/>
    </row>
    <row r="663669" spans="27:27">
      <c r="AA663669" s="613"/>
    </row>
    <row r="663814" spans="27:27">
      <c r="AA663814" s="613"/>
    </row>
    <row r="663815" spans="27:27">
      <c r="AA663815" s="613"/>
    </row>
    <row r="663960" spans="27:27">
      <c r="AA663960" s="613"/>
    </row>
    <row r="663961" spans="27:27">
      <c r="AA663961" s="613"/>
    </row>
    <row r="664106" spans="27:27">
      <c r="AA664106" s="613"/>
    </row>
    <row r="664107" spans="27:27">
      <c r="AA664107" s="613"/>
    </row>
    <row r="664252" spans="27:27">
      <c r="AA664252" s="613"/>
    </row>
    <row r="664253" spans="27:27">
      <c r="AA664253" s="613"/>
    </row>
    <row r="664398" spans="27:27">
      <c r="AA664398" s="613"/>
    </row>
    <row r="664399" spans="27:27">
      <c r="AA664399" s="613"/>
    </row>
    <row r="664544" spans="27:27">
      <c r="AA664544" s="613"/>
    </row>
    <row r="664545" spans="27:27">
      <c r="AA664545" s="613"/>
    </row>
    <row r="664690" spans="27:27">
      <c r="AA664690" s="613"/>
    </row>
    <row r="664691" spans="27:27">
      <c r="AA664691" s="613"/>
    </row>
    <row r="664836" spans="27:27">
      <c r="AA664836" s="613"/>
    </row>
    <row r="664837" spans="27:27">
      <c r="AA664837" s="613"/>
    </row>
    <row r="664982" spans="27:27">
      <c r="AA664982" s="613"/>
    </row>
    <row r="664983" spans="27:27">
      <c r="AA664983" s="613"/>
    </row>
    <row r="665128" spans="27:27">
      <c r="AA665128" s="613"/>
    </row>
    <row r="665129" spans="27:27">
      <c r="AA665129" s="613"/>
    </row>
    <row r="665274" spans="27:27">
      <c r="AA665274" s="613"/>
    </row>
    <row r="665275" spans="27:27">
      <c r="AA665275" s="613"/>
    </row>
    <row r="665420" spans="27:27">
      <c r="AA665420" s="613"/>
    </row>
    <row r="665421" spans="27:27">
      <c r="AA665421" s="613"/>
    </row>
    <row r="665566" spans="27:27">
      <c r="AA665566" s="613"/>
    </row>
    <row r="665567" spans="27:27">
      <c r="AA665567" s="613"/>
    </row>
    <row r="665712" spans="27:27">
      <c r="AA665712" s="613"/>
    </row>
    <row r="665713" spans="27:27">
      <c r="AA665713" s="613"/>
    </row>
    <row r="665858" spans="27:27">
      <c r="AA665858" s="613"/>
    </row>
    <row r="665859" spans="27:27">
      <c r="AA665859" s="613"/>
    </row>
    <row r="666004" spans="27:27">
      <c r="AA666004" s="613"/>
    </row>
    <row r="666005" spans="27:27">
      <c r="AA666005" s="613"/>
    </row>
    <row r="666150" spans="27:27">
      <c r="AA666150" s="613"/>
    </row>
    <row r="666151" spans="27:27">
      <c r="AA666151" s="613"/>
    </row>
    <row r="666296" spans="27:27">
      <c r="AA666296" s="613"/>
    </row>
    <row r="666297" spans="27:27">
      <c r="AA666297" s="613"/>
    </row>
    <row r="666442" spans="27:27">
      <c r="AA666442" s="613"/>
    </row>
    <row r="666443" spans="27:27">
      <c r="AA666443" s="613"/>
    </row>
    <row r="666588" spans="27:27">
      <c r="AA666588" s="613"/>
    </row>
    <row r="666589" spans="27:27">
      <c r="AA666589" s="613"/>
    </row>
    <row r="666734" spans="27:27">
      <c r="AA666734" s="613"/>
    </row>
    <row r="666735" spans="27:27">
      <c r="AA666735" s="613"/>
    </row>
    <row r="666880" spans="27:27">
      <c r="AA666880" s="613"/>
    </row>
    <row r="666881" spans="27:27">
      <c r="AA666881" s="613"/>
    </row>
    <row r="667026" spans="27:27">
      <c r="AA667026" s="613"/>
    </row>
    <row r="667027" spans="27:27">
      <c r="AA667027" s="613"/>
    </row>
    <row r="667172" spans="27:27">
      <c r="AA667172" s="613"/>
    </row>
    <row r="667173" spans="27:27">
      <c r="AA667173" s="613"/>
    </row>
    <row r="667318" spans="27:27">
      <c r="AA667318" s="613"/>
    </row>
    <row r="667319" spans="27:27">
      <c r="AA667319" s="613"/>
    </row>
    <row r="667464" spans="27:27">
      <c r="AA667464" s="613"/>
    </row>
    <row r="667465" spans="27:27">
      <c r="AA667465" s="613"/>
    </row>
    <row r="667610" spans="27:27">
      <c r="AA667610" s="613"/>
    </row>
    <row r="667611" spans="27:27">
      <c r="AA667611" s="613"/>
    </row>
    <row r="667756" spans="27:27">
      <c r="AA667756" s="613"/>
    </row>
    <row r="667757" spans="27:27">
      <c r="AA667757" s="613"/>
    </row>
    <row r="667902" spans="27:27">
      <c r="AA667902" s="613"/>
    </row>
    <row r="667903" spans="27:27">
      <c r="AA667903" s="613"/>
    </row>
    <row r="668048" spans="27:27">
      <c r="AA668048" s="613"/>
    </row>
    <row r="668049" spans="27:27">
      <c r="AA668049" s="613"/>
    </row>
    <row r="668194" spans="27:27">
      <c r="AA668194" s="613"/>
    </row>
    <row r="668195" spans="27:27">
      <c r="AA668195" s="613"/>
    </row>
    <row r="668340" spans="27:27">
      <c r="AA668340" s="613"/>
    </row>
    <row r="668341" spans="27:27">
      <c r="AA668341" s="613"/>
    </row>
    <row r="668486" spans="27:27">
      <c r="AA668486" s="613"/>
    </row>
    <row r="668487" spans="27:27">
      <c r="AA668487" s="613"/>
    </row>
    <row r="668632" spans="27:27">
      <c r="AA668632" s="613"/>
    </row>
    <row r="668633" spans="27:27">
      <c r="AA668633" s="613"/>
    </row>
    <row r="668778" spans="27:27">
      <c r="AA668778" s="613"/>
    </row>
    <row r="668779" spans="27:27">
      <c r="AA668779" s="613"/>
    </row>
    <row r="668924" spans="27:27">
      <c r="AA668924" s="613"/>
    </row>
    <row r="668925" spans="27:27">
      <c r="AA668925" s="613"/>
    </row>
    <row r="669070" spans="27:27">
      <c r="AA669070" s="613"/>
    </row>
    <row r="669071" spans="27:27">
      <c r="AA669071" s="613"/>
    </row>
    <row r="669216" spans="27:27">
      <c r="AA669216" s="613"/>
    </row>
    <row r="669217" spans="27:27">
      <c r="AA669217" s="613"/>
    </row>
    <row r="669362" spans="27:27">
      <c r="AA669362" s="613"/>
    </row>
    <row r="669363" spans="27:27">
      <c r="AA669363" s="613"/>
    </row>
    <row r="669508" spans="27:27">
      <c r="AA669508" s="613"/>
    </row>
    <row r="669509" spans="27:27">
      <c r="AA669509" s="613"/>
    </row>
    <row r="669654" spans="27:27">
      <c r="AA669654" s="613"/>
    </row>
    <row r="669655" spans="27:27">
      <c r="AA669655" s="613"/>
    </row>
    <row r="669800" spans="27:27">
      <c r="AA669800" s="613"/>
    </row>
    <row r="669801" spans="27:27">
      <c r="AA669801" s="613"/>
    </row>
    <row r="669946" spans="27:27">
      <c r="AA669946" s="613"/>
    </row>
    <row r="669947" spans="27:27">
      <c r="AA669947" s="613"/>
    </row>
    <row r="670092" spans="27:27">
      <c r="AA670092" s="613"/>
    </row>
    <row r="670093" spans="27:27">
      <c r="AA670093" s="613"/>
    </row>
    <row r="670238" spans="27:27">
      <c r="AA670238" s="613"/>
    </row>
    <row r="670239" spans="27:27">
      <c r="AA670239" s="613"/>
    </row>
    <row r="670384" spans="27:27">
      <c r="AA670384" s="613"/>
    </row>
    <row r="670385" spans="27:27">
      <c r="AA670385" s="613"/>
    </row>
    <row r="670530" spans="27:27">
      <c r="AA670530" s="613"/>
    </row>
    <row r="670531" spans="27:27">
      <c r="AA670531" s="613"/>
    </row>
    <row r="670676" spans="27:27">
      <c r="AA670676" s="613"/>
    </row>
    <row r="670677" spans="27:27">
      <c r="AA670677" s="613"/>
    </row>
    <row r="670822" spans="27:27">
      <c r="AA670822" s="613"/>
    </row>
    <row r="670823" spans="27:27">
      <c r="AA670823" s="613"/>
    </row>
    <row r="670968" spans="27:27">
      <c r="AA670968" s="613"/>
    </row>
    <row r="670969" spans="27:27">
      <c r="AA670969" s="613"/>
    </row>
    <row r="671114" spans="27:27">
      <c r="AA671114" s="613"/>
    </row>
    <row r="671115" spans="27:27">
      <c r="AA671115" s="613"/>
    </row>
    <row r="671260" spans="27:27">
      <c r="AA671260" s="613"/>
    </row>
    <row r="671261" spans="27:27">
      <c r="AA671261" s="613"/>
    </row>
    <row r="671406" spans="27:27">
      <c r="AA671406" s="613"/>
    </row>
    <row r="671407" spans="27:27">
      <c r="AA671407" s="613"/>
    </row>
    <row r="671552" spans="27:27">
      <c r="AA671552" s="613"/>
    </row>
    <row r="671553" spans="27:27">
      <c r="AA671553" s="613"/>
    </row>
    <row r="671698" spans="27:27">
      <c r="AA671698" s="613"/>
    </row>
    <row r="671699" spans="27:27">
      <c r="AA671699" s="613"/>
    </row>
    <row r="671844" spans="27:27">
      <c r="AA671844" s="613"/>
    </row>
    <row r="671845" spans="27:27">
      <c r="AA671845" s="613"/>
    </row>
    <row r="671990" spans="27:27">
      <c r="AA671990" s="613"/>
    </row>
    <row r="671991" spans="27:27">
      <c r="AA671991" s="613"/>
    </row>
    <row r="672136" spans="27:27">
      <c r="AA672136" s="613"/>
    </row>
    <row r="672137" spans="27:27">
      <c r="AA672137" s="613"/>
    </row>
    <row r="672282" spans="27:27">
      <c r="AA672282" s="613"/>
    </row>
    <row r="672283" spans="27:27">
      <c r="AA672283" s="613"/>
    </row>
    <row r="672428" spans="27:27">
      <c r="AA672428" s="613"/>
    </row>
    <row r="672429" spans="27:27">
      <c r="AA672429" s="613"/>
    </row>
    <row r="672574" spans="27:27">
      <c r="AA672574" s="613"/>
    </row>
    <row r="672575" spans="27:27">
      <c r="AA672575" s="613"/>
    </row>
    <row r="672720" spans="27:27">
      <c r="AA672720" s="613"/>
    </row>
    <row r="672721" spans="27:27">
      <c r="AA672721" s="613"/>
    </row>
    <row r="672866" spans="27:27">
      <c r="AA672866" s="613"/>
    </row>
    <row r="672867" spans="27:27">
      <c r="AA672867" s="613"/>
    </row>
    <row r="673012" spans="27:27">
      <c r="AA673012" s="613"/>
    </row>
    <row r="673013" spans="27:27">
      <c r="AA673013" s="613"/>
    </row>
    <row r="673158" spans="27:27">
      <c r="AA673158" s="613"/>
    </row>
    <row r="673159" spans="27:27">
      <c r="AA673159" s="613"/>
    </row>
    <row r="673304" spans="27:27">
      <c r="AA673304" s="613"/>
    </row>
    <row r="673305" spans="27:27">
      <c r="AA673305" s="613"/>
    </row>
    <row r="673450" spans="27:27">
      <c r="AA673450" s="613"/>
    </row>
    <row r="673451" spans="27:27">
      <c r="AA673451" s="613"/>
    </row>
    <row r="673596" spans="27:27">
      <c r="AA673596" s="613"/>
    </row>
    <row r="673597" spans="27:27">
      <c r="AA673597" s="613"/>
    </row>
    <row r="673742" spans="27:27">
      <c r="AA673742" s="613"/>
    </row>
    <row r="673743" spans="27:27">
      <c r="AA673743" s="613"/>
    </row>
    <row r="673888" spans="27:27">
      <c r="AA673888" s="613"/>
    </row>
    <row r="673889" spans="27:27">
      <c r="AA673889" s="613"/>
    </row>
    <row r="674034" spans="27:27">
      <c r="AA674034" s="613"/>
    </row>
    <row r="674035" spans="27:27">
      <c r="AA674035" s="613"/>
    </row>
    <row r="674180" spans="27:27">
      <c r="AA674180" s="613"/>
    </row>
    <row r="674181" spans="27:27">
      <c r="AA674181" s="613"/>
    </row>
    <row r="674326" spans="27:27">
      <c r="AA674326" s="613"/>
    </row>
    <row r="674327" spans="27:27">
      <c r="AA674327" s="613"/>
    </row>
    <row r="674472" spans="27:27">
      <c r="AA674472" s="613"/>
    </row>
    <row r="674473" spans="27:27">
      <c r="AA674473" s="613"/>
    </row>
    <row r="674618" spans="27:27">
      <c r="AA674618" s="613"/>
    </row>
    <row r="674619" spans="27:27">
      <c r="AA674619" s="613"/>
    </row>
    <row r="674764" spans="27:27">
      <c r="AA674764" s="613"/>
    </row>
    <row r="674765" spans="27:27">
      <c r="AA674765" s="613"/>
    </row>
    <row r="674910" spans="27:27">
      <c r="AA674910" s="613"/>
    </row>
    <row r="674911" spans="27:27">
      <c r="AA674911" s="613"/>
    </row>
    <row r="675056" spans="27:27">
      <c r="AA675056" s="613"/>
    </row>
    <row r="675057" spans="27:27">
      <c r="AA675057" s="613"/>
    </row>
    <row r="675202" spans="27:27">
      <c r="AA675202" s="613"/>
    </row>
    <row r="675203" spans="27:27">
      <c r="AA675203" s="613"/>
    </row>
    <row r="675348" spans="27:27">
      <c r="AA675348" s="613"/>
    </row>
    <row r="675349" spans="27:27">
      <c r="AA675349" s="613"/>
    </row>
    <row r="675494" spans="27:27">
      <c r="AA675494" s="613"/>
    </row>
    <row r="675495" spans="27:27">
      <c r="AA675495" s="613"/>
    </row>
    <row r="675640" spans="27:27">
      <c r="AA675640" s="613"/>
    </row>
    <row r="675641" spans="27:27">
      <c r="AA675641" s="613"/>
    </row>
    <row r="675786" spans="27:27">
      <c r="AA675786" s="613"/>
    </row>
    <row r="675787" spans="27:27">
      <c r="AA675787" s="613"/>
    </row>
    <row r="675932" spans="27:27">
      <c r="AA675932" s="613"/>
    </row>
    <row r="675933" spans="27:27">
      <c r="AA675933" s="613"/>
    </row>
    <row r="676078" spans="27:27">
      <c r="AA676078" s="613"/>
    </row>
    <row r="676079" spans="27:27">
      <c r="AA676079" s="613"/>
    </row>
    <row r="676224" spans="27:27">
      <c r="AA676224" s="613"/>
    </row>
    <row r="676225" spans="27:27">
      <c r="AA676225" s="613"/>
    </row>
    <row r="676370" spans="27:27">
      <c r="AA676370" s="613"/>
    </row>
    <row r="676371" spans="27:27">
      <c r="AA676371" s="613"/>
    </row>
    <row r="676516" spans="27:27">
      <c r="AA676516" s="613"/>
    </row>
    <row r="676517" spans="27:27">
      <c r="AA676517" s="613"/>
    </row>
    <row r="676662" spans="27:27">
      <c r="AA676662" s="613"/>
    </row>
    <row r="676663" spans="27:27">
      <c r="AA676663" s="613"/>
    </row>
    <row r="676808" spans="27:27">
      <c r="AA676808" s="613"/>
    </row>
    <row r="676809" spans="27:27">
      <c r="AA676809" s="613"/>
    </row>
    <row r="676954" spans="27:27">
      <c r="AA676954" s="613"/>
    </row>
    <row r="676955" spans="27:27">
      <c r="AA676955" s="613"/>
    </row>
    <row r="677100" spans="27:27">
      <c r="AA677100" s="613"/>
    </row>
    <row r="677101" spans="27:27">
      <c r="AA677101" s="613"/>
    </row>
    <row r="677246" spans="27:27">
      <c r="AA677246" s="613"/>
    </row>
    <row r="677247" spans="27:27">
      <c r="AA677247" s="613"/>
    </row>
    <row r="677392" spans="27:27">
      <c r="AA677392" s="613"/>
    </row>
    <row r="677393" spans="27:27">
      <c r="AA677393" s="613"/>
    </row>
    <row r="677538" spans="27:27">
      <c r="AA677538" s="613"/>
    </row>
    <row r="677539" spans="27:27">
      <c r="AA677539" s="613"/>
    </row>
    <row r="677684" spans="27:27">
      <c r="AA677684" s="613"/>
    </row>
    <row r="677685" spans="27:27">
      <c r="AA677685" s="613"/>
    </row>
    <row r="677830" spans="27:27">
      <c r="AA677830" s="613"/>
    </row>
    <row r="677831" spans="27:27">
      <c r="AA677831" s="613"/>
    </row>
    <row r="677976" spans="27:27">
      <c r="AA677976" s="613"/>
    </row>
    <row r="677977" spans="27:27">
      <c r="AA677977" s="613"/>
    </row>
    <row r="678122" spans="27:27">
      <c r="AA678122" s="613"/>
    </row>
    <row r="678123" spans="27:27">
      <c r="AA678123" s="613"/>
    </row>
    <row r="678268" spans="27:27">
      <c r="AA678268" s="613"/>
    </row>
    <row r="678269" spans="27:27">
      <c r="AA678269" s="613"/>
    </row>
    <row r="678414" spans="27:27">
      <c r="AA678414" s="613"/>
    </row>
    <row r="678415" spans="27:27">
      <c r="AA678415" s="613"/>
    </row>
    <row r="678560" spans="27:27">
      <c r="AA678560" s="613"/>
    </row>
    <row r="678561" spans="27:27">
      <c r="AA678561" s="613"/>
    </row>
    <row r="678706" spans="27:27">
      <c r="AA678706" s="613"/>
    </row>
    <row r="678707" spans="27:27">
      <c r="AA678707" s="613"/>
    </row>
    <row r="678852" spans="27:27">
      <c r="AA678852" s="613"/>
    </row>
    <row r="678853" spans="27:27">
      <c r="AA678853" s="613"/>
    </row>
    <row r="678998" spans="27:27">
      <c r="AA678998" s="613"/>
    </row>
    <row r="678999" spans="27:27">
      <c r="AA678999" s="613"/>
    </row>
    <row r="679144" spans="27:27">
      <c r="AA679144" s="613"/>
    </row>
    <row r="679145" spans="27:27">
      <c r="AA679145" s="613"/>
    </row>
    <row r="679290" spans="27:27">
      <c r="AA679290" s="613"/>
    </row>
    <row r="679291" spans="27:27">
      <c r="AA679291" s="613"/>
    </row>
    <row r="679436" spans="27:27">
      <c r="AA679436" s="613"/>
    </row>
    <row r="679437" spans="27:27">
      <c r="AA679437" s="613"/>
    </row>
    <row r="679582" spans="27:27">
      <c r="AA679582" s="613"/>
    </row>
    <row r="679583" spans="27:27">
      <c r="AA679583" s="613"/>
    </row>
    <row r="679728" spans="27:27">
      <c r="AA679728" s="613"/>
    </row>
    <row r="679729" spans="27:27">
      <c r="AA679729" s="613"/>
    </row>
    <row r="679874" spans="27:27">
      <c r="AA679874" s="613"/>
    </row>
    <row r="679875" spans="27:27">
      <c r="AA679875" s="613"/>
    </row>
    <row r="680020" spans="27:27">
      <c r="AA680020" s="613"/>
    </row>
    <row r="680021" spans="27:27">
      <c r="AA680021" s="613"/>
    </row>
    <row r="680166" spans="27:27">
      <c r="AA680166" s="613"/>
    </row>
    <row r="680167" spans="27:27">
      <c r="AA680167" s="613"/>
    </row>
    <row r="680312" spans="27:27">
      <c r="AA680312" s="613"/>
    </row>
    <row r="680313" spans="27:27">
      <c r="AA680313" s="613"/>
    </row>
    <row r="680458" spans="27:27">
      <c r="AA680458" s="613"/>
    </row>
    <row r="680459" spans="27:27">
      <c r="AA680459" s="613"/>
    </row>
    <row r="680604" spans="27:27">
      <c r="AA680604" s="613"/>
    </row>
    <row r="680605" spans="27:27">
      <c r="AA680605" s="613"/>
    </row>
    <row r="680750" spans="27:27">
      <c r="AA680750" s="613"/>
    </row>
    <row r="680751" spans="27:27">
      <c r="AA680751" s="613"/>
    </row>
    <row r="680896" spans="27:27">
      <c r="AA680896" s="613"/>
    </row>
    <row r="680897" spans="27:27">
      <c r="AA680897" s="613"/>
    </row>
    <row r="681042" spans="27:27">
      <c r="AA681042" s="613"/>
    </row>
    <row r="681043" spans="27:27">
      <c r="AA681043" s="613"/>
    </row>
    <row r="681188" spans="27:27">
      <c r="AA681188" s="613"/>
    </row>
    <row r="681189" spans="27:27">
      <c r="AA681189" s="613"/>
    </row>
    <row r="681334" spans="27:27">
      <c r="AA681334" s="613"/>
    </row>
    <row r="681335" spans="27:27">
      <c r="AA681335" s="613"/>
    </row>
    <row r="681480" spans="27:27">
      <c r="AA681480" s="613"/>
    </row>
    <row r="681481" spans="27:27">
      <c r="AA681481" s="613"/>
    </row>
    <row r="681626" spans="27:27">
      <c r="AA681626" s="613"/>
    </row>
    <row r="681627" spans="27:27">
      <c r="AA681627" s="613"/>
    </row>
    <row r="681772" spans="27:27">
      <c r="AA681772" s="613"/>
    </row>
    <row r="681773" spans="27:27">
      <c r="AA681773" s="613"/>
    </row>
    <row r="681918" spans="27:27">
      <c r="AA681918" s="613"/>
    </row>
    <row r="681919" spans="27:27">
      <c r="AA681919" s="613"/>
    </row>
    <row r="682064" spans="27:27">
      <c r="AA682064" s="613"/>
    </row>
    <row r="682065" spans="27:27">
      <c r="AA682065" s="613"/>
    </row>
    <row r="682210" spans="27:27">
      <c r="AA682210" s="613"/>
    </row>
    <row r="682211" spans="27:27">
      <c r="AA682211" s="613"/>
    </row>
    <row r="682356" spans="27:27">
      <c r="AA682356" s="613"/>
    </row>
    <row r="682357" spans="27:27">
      <c r="AA682357" s="613"/>
    </row>
    <row r="682502" spans="27:27">
      <c r="AA682502" s="613"/>
    </row>
    <row r="682503" spans="27:27">
      <c r="AA682503" s="613"/>
    </row>
    <row r="682648" spans="27:27">
      <c r="AA682648" s="613"/>
    </row>
    <row r="682649" spans="27:27">
      <c r="AA682649" s="613"/>
    </row>
    <row r="682794" spans="27:27">
      <c r="AA682794" s="613"/>
    </row>
    <row r="682795" spans="27:27">
      <c r="AA682795" s="613"/>
    </row>
    <row r="682940" spans="27:27">
      <c r="AA682940" s="613"/>
    </row>
    <row r="682941" spans="27:27">
      <c r="AA682941" s="613"/>
    </row>
    <row r="683086" spans="27:27">
      <c r="AA683086" s="613"/>
    </row>
    <row r="683087" spans="27:27">
      <c r="AA683087" s="613"/>
    </row>
    <row r="683232" spans="27:27">
      <c r="AA683232" s="613"/>
    </row>
    <row r="683233" spans="27:27">
      <c r="AA683233" s="613"/>
    </row>
    <row r="683378" spans="27:27">
      <c r="AA683378" s="613"/>
    </row>
    <row r="683379" spans="27:27">
      <c r="AA683379" s="613"/>
    </row>
    <row r="683524" spans="27:27">
      <c r="AA683524" s="613"/>
    </row>
    <row r="683525" spans="27:27">
      <c r="AA683525" s="613"/>
    </row>
    <row r="683670" spans="27:27">
      <c r="AA683670" s="613"/>
    </row>
    <row r="683671" spans="27:27">
      <c r="AA683671" s="613"/>
    </row>
    <row r="683816" spans="27:27">
      <c r="AA683816" s="613"/>
    </row>
    <row r="683817" spans="27:27">
      <c r="AA683817" s="613"/>
    </row>
    <row r="683962" spans="27:27">
      <c r="AA683962" s="613"/>
    </row>
    <row r="683963" spans="27:27">
      <c r="AA683963" s="613"/>
    </row>
    <row r="684108" spans="27:27">
      <c r="AA684108" s="613"/>
    </row>
    <row r="684109" spans="27:27">
      <c r="AA684109" s="613"/>
    </row>
    <row r="684254" spans="27:27">
      <c r="AA684254" s="613"/>
    </row>
    <row r="684255" spans="27:27">
      <c r="AA684255" s="613"/>
    </row>
    <row r="684400" spans="27:27">
      <c r="AA684400" s="613"/>
    </row>
    <row r="684401" spans="27:27">
      <c r="AA684401" s="613"/>
    </row>
    <row r="684546" spans="27:27">
      <c r="AA684546" s="613"/>
    </row>
    <row r="684547" spans="27:27">
      <c r="AA684547" s="613"/>
    </row>
    <row r="684692" spans="27:27">
      <c r="AA684692" s="613"/>
    </row>
    <row r="684693" spans="27:27">
      <c r="AA684693" s="613"/>
    </row>
    <row r="684838" spans="27:27">
      <c r="AA684838" s="613"/>
    </row>
    <row r="684839" spans="27:27">
      <c r="AA684839" s="613"/>
    </row>
    <row r="684984" spans="27:27">
      <c r="AA684984" s="613"/>
    </row>
    <row r="684985" spans="27:27">
      <c r="AA684985" s="613"/>
    </row>
    <row r="685130" spans="27:27">
      <c r="AA685130" s="613"/>
    </row>
    <row r="685131" spans="27:27">
      <c r="AA685131" s="613"/>
    </row>
    <row r="685276" spans="27:27">
      <c r="AA685276" s="613"/>
    </row>
    <row r="685277" spans="27:27">
      <c r="AA685277" s="613"/>
    </row>
    <row r="685422" spans="27:27">
      <c r="AA685422" s="613"/>
    </row>
    <row r="685423" spans="27:27">
      <c r="AA685423" s="613"/>
    </row>
    <row r="685568" spans="27:27">
      <c r="AA685568" s="613"/>
    </row>
    <row r="685569" spans="27:27">
      <c r="AA685569" s="613"/>
    </row>
    <row r="685714" spans="27:27">
      <c r="AA685714" s="613"/>
    </row>
    <row r="685715" spans="27:27">
      <c r="AA685715" s="613"/>
    </row>
    <row r="685860" spans="27:27">
      <c r="AA685860" s="613"/>
    </row>
    <row r="685861" spans="27:27">
      <c r="AA685861" s="613"/>
    </row>
    <row r="686006" spans="27:27">
      <c r="AA686006" s="613"/>
    </row>
    <row r="686007" spans="27:27">
      <c r="AA686007" s="613"/>
    </row>
    <row r="686152" spans="27:27">
      <c r="AA686152" s="613"/>
    </row>
    <row r="686153" spans="27:27">
      <c r="AA686153" s="613"/>
    </row>
    <row r="686298" spans="27:27">
      <c r="AA686298" s="613"/>
    </row>
    <row r="686299" spans="27:27">
      <c r="AA686299" s="613"/>
    </row>
    <row r="686444" spans="27:27">
      <c r="AA686444" s="613"/>
    </row>
    <row r="686445" spans="27:27">
      <c r="AA686445" s="613"/>
    </row>
    <row r="686590" spans="27:27">
      <c r="AA686590" s="613"/>
    </row>
    <row r="686591" spans="27:27">
      <c r="AA686591" s="613"/>
    </row>
    <row r="686736" spans="27:27">
      <c r="AA686736" s="613"/>
    </row>
    <row r="686737" spans="27:27">
      <c r="AA686737" s="613"/>
    </row>
    <row r="686882" spans="27:27">
      <c r="AA686882" s="613"/>
    </row>
    <row r="686883" spans="27:27">
      <c r="AA686883" s="613"/>
    </row>
    <row r="687028" spans="27:27">
      <c r="AA687028" s="613"/>
    </row>
    <row r="687029" spans="27:27">
      <c r="AA687029" s="613"/>
    </row>
    <row r="687174" spans="27:27">
      <c r="AA687174" s="613"/>
    </row>
    <row r="687175" spans="27:27">
      <c r="AA687175" s="613"/>
    </row>
    <row r="687320" spans="27:27">
      <c r="AA687320" s="613"/>
    </row>
    <row r="687321" spans="27:27">
      <c r="AA687321" s="613"/>
    </row>
    <row r="687466" spans="27:27">
      <c r="AA687466" s="613"/>
    </row>
    <row r="687467" spans="27:27">
      <c r="AA687467" s="613"/>
    </row>
    <row r="687612" spans="27:27">
      <c r="AA687612" s="613"/>
    </row>
    <row r="687613" spans="27:27">
      <c r="AA687613" s="613"/>
    </row>
    <row r="687758" spans="27:27">
      <c r="AA687758" s="613"/>
    </row>
    <row r="687759" spans="27:27">
      <c r="AA687759" s="613"/>
    </row>
    <row r="687904" spans="27:27">
      <c r="AA687904" s="613"/>
    </row>
    <row r="687905" spans="27:27">
      <c r="AA687905" s="613"/>
    </row>
    <row r="688050" spans="27:27">
      <c r="AA688050" s="613"/>
    </row>
    <row r="688051" spans="27:27">
      <c r="AA688051" s="613"/>
    </row>
    <row r="688196" spans="27:27">
      <c r="AA688196" s="613"/>
    </row>
    <row r="688197" spans="27:27">
      <c r="AA688197" s="613"/>
    </row>
    <row r="688342" spans="27:27">
      <c r="AA688342" s="613"/>
    </row>
    <row r="688343" spans="27:27">
      <c r="AA688343" s="613"/>
    </row>
    <row r="688488" spans="27:27">
      <c r="AA688488" s="613"/>
    </row>
    <row r="688489" spans="27:27">
      <c r="AA688489" s="613"/>
    </row>
    <row r="688634" spans="27:27">
      <c r="AA688634" s="613"/>
    </row>
    <row r="688635" spans="27:27">
      <c r="AA688635" s="613"/>
    </row>
    <row r="688780" spans="27:27">
      <c r="AA688780" s="613"/>
    </row>
    <row r="688781" spans="27:27">
      <c r="AA688781" s="613"/>
    </row>
    <row r="688926" spans="27:27">
      <c r="AA688926" s="613"/>
    </row>
    <row r="688927" spans="27:27">
      <c r="AA688927" s="613"/>
    </row>
    <row r="689072" spans="27:27">
      <c r="AA689072" s="613"/>
    </row>
    <row r="689073" spans="27:27">
      <c r="AA689073" s="613"/>
    </row>
    <row r="689218" spans="27:27">
      <c r="AA689218" s="613"/>
    </row>
    <row r="689219" spans="27:27">
      <c r="AA689219" s="613"/>
    </row>
    <row r="689364" spans="27:27">
      <c r="AA689364" s="613"/>
    </row>
    <row r="689365" spans="27:27">
      <c r="AA689365" s="613"/>
    </row>
    <row r="689510" spans="27:27">
      <c r="AA689510" s="613"/>
    </row>
    <row r="689511" spans="27:27">
      <c r="AA689511" s="613"/>
    </row>
    <row r="689656" spans="27:27">
      <c r="AA689656" s="613"/>
    </row>
    <row r="689657" spans="27:27">
      <c r="AA689657" s="613"/>
    </row>
    <row r="689802" spans="27:27">
      <c r="AA689802" s="613"/>
    </row>
    <row r="689803" spans="27:27">
      <c r="AA689803" s="613"/>
    </row>
    <row r="689948" spans="27:27">
      <c r="AA689948" s="613"/>
    </row>
    <row r="689949" spans="27:27">
      <c r="AA689949" s="613"/>
    </row>
    <row r="690094" spans="27:27">
      <c r="AA690094" s="613"/>
    </row>
    <row r="690095" spans="27:27">
      <c r="AA690095" s="613"/>
    </row>
    <row r="690240" spans="27:27">
      <c r="AA690240" s="613"/>
    </row>
    <row r="690241" spans="27:27">
      <c r="AA690241" s="613"/>
    </row>
    <row r="690386" spans="27:27">
      <c r="AA690386" s="613"/>
    </row>
    <row r="690387" spans="27:27">
      <c r="AA690387" s="613"/>
    </row>
    <row r="690532" spans="27:27">
      <c r="AA690532" s="613"/>
    </row>
    <row r="690533" spans="27:27">
      <c r="AA690533" s="613"/>
    </row>
    <row r="690678" spans="27:27">
      <c r="AA690678" s="613"/>
    </row>
    <row r="690679" spans="27:27">
      <c r="AA690679" s="613"/>
    </row>
    <row r="690824" spans="27:27">
      <c r="AA690824" s="613"/>
    </row>
    <row r="690825" spans="27:27">
      <c r="AA690825" s="613"/>
    </row>
    <row r="690970" spans="27:27">
      <c r="AA690970" s="613"/>
    </row>
    <row r="690971" spans="27:27">
      <c r="AA690971" s="613"/>
    </row>
    <row r="691116" spans="27:27">
      <c r="AA691116" s="613"/>
    </row>
    <row r="691117" spans="27:27">
      <c r="AA691117" s="613"/>
    </row>
    <row r="691262" spans="27:27">
      <c r="AA691262" s="613"/>
    </row>
    <row r="691263" spans="27:27">
      <c r="AA691263" s="613"/>
    </row>
    <row r="691408" spans="27:27">
      <c r="AA691408" s="613"/>
    </row>
    <row r="691409" spans="27:27">
      <c r="AA691409" s="613"/>
    </row>
    <row r="691554" spans="27:27">
      <c r="AA691554" s="613"/>
    </row>
    <row r="691555" spans="27:27">
      <c r="AA691555" s="613"/>
    </row>
    <row r="691700" spans="27:27">
      <c r="AA691700" s="613"/>
    </row>
    <row r="691701" spans="27:27">
      <c r="AA691701" s="613"/>
    </row>
    <row r="691846" spans="27:27">
      <c r="AA691846" s="613"/>
    </row>
    <row r="691847" spans="27:27">
      <c r="AA691847" s="613"/>
    </row>
    <row r="691992" spans="27:27">
      <c r="AA691992" s="613"/>
    </row>
    <row r="691993" spans="27:27">
      <c r="AA691993" s="613"/>
    </row>
    <row r="692138" spans="27:27">
      <c r="AA692138" s="613"/>
    </row>
    <row r="692139" spans="27:27">
      <c r="AA692139" s="613"/>
    </row>
    <row r="692284" spans="27:27">
      <c r="AA692284" s="613"/>
    </row>
    <row r="692285" spans="27:27">
      <c r="AA692285" s="613"/>
    </row>
    <row r="692430" spans="27:27">
      <c r="AA692430" s="613"/>
    </row>
    <row r="692431" spans="27:27">
      <c r="AA692431" s="613"/>
    </row>
    <row r="692576" spans="27:27">
      <c r="AA692576" s="613"/>
    </row>
    <row r="692577" spans="27:27">
      <c r="AA692577" s="613"/>
    </row>
    <row r="692722" spans="27:27">
      <c r="AA692722" s="613"/>
    </row>
    <row r="692723" spans="27:27">
      <c r="AA692723" s="613"/>
    </row>
    <row r="692868" spans="27:27">
      <c r="AA692868" s="613"/>
    </row>
    <row r="692869" spans="27:27">
      <c r="AA692869" s="613"/>
    </row>
    <row r="693014" spans="27:27">
      <c r="AA693014" s="613"/>
    </row>
    <row r="693015" spans="27:27">
      <c r="AA693015" s="613"/>
    </row>
    <row r="693160" spans="27:27">
      <c r="AA693160" s="613"/>
    </row>
    <row r="693161" spans="27:27">
      <c r="AA693161" s="613"/>
    </row>
    <row r="693306" spans="27:27">
      <c r="AA693306" s="613"/>
    </row>
    <row r="693307" spans="27:27">
      <c r="AA693307" s="613"/>
    </row>
    <row r="693452" spans="27:27">
      <c r="AA693452" s="613"/>
    </row>
    <row r="693453" spans="27:27">
      <c r="AA693453" s="613"/>
    </row>
    <row r="693598" spans="27:27">
      <c r="AA693598" s="613"/>
    </row>
    <row r="693599" spans="27:27">
      <c r="AA693599" s="613"/>
    </row>
    <row r="693744" spans="27:27">
      <c r="AA693744" s="613"/>
    </row>
    <row r="693745" spans="27:27">
      <c r="AA693745" s="613"/>
    </row>
    <row r="693890" spans="27:27">
      <c r="AA693890" s="613"/>
    </row>
    <row r="693891" spans="27:27">
      <c r="AA693891" s="613"/>
    </row>
    <row r="694036" spans="27:27">
      <c r="AA694036" s="613"/>
    </row>
    <row r="694037" spans="27:27">
      <c r="AA694037" s="613"/>
    </row>
    <row r="694182" spans="27:27">
      <c r="AA694182" s="613"/>
    </row>
    <row r="694183" spans="27:27">
      <c r="AA694183" s="613"/>
    </row>
    <row r="694328" spans="27:27">
      <c r="AA694328" s="613"/>
    </row>
    <row r="694329" spans="27:27">
      <c r="AA694329" s="613"/>
    </row>
    <row r="694474" spans="27:27">
      <c r="AA694474" s="613"/>
    </row>
    <row r="694475" spans="27:27">
      <c r="AA694475" s="613"/>
    </row>
    <row r="694620" spans="27:27">
      <c r="AA694620" s="613"/>
    </row>
    <row r="694621" spans="27:27">
      <c r="AA694621" s="613"/>
    </row>
    <row r="694766" spans="27:27">
      <c r="AA694766" s="613"/>
    </row>
    <row r="694767" spans="27:27">
      <c r="AA694767" s="613"/>
    </row>
    <row r="694912" spans="27:27">
      <c r="AA694912" s="613"/>
    </row>
    <row r="694913" spans="27:27">
      <c r="AA694913" s="613"/>
    </row>
    <row r="695058" spans="27:27">
      <c r="AA695058" s="613"/>
    </row>
    <row r="695059" spans="27:27">
      <c r="AA695059" s="613"/>
    </row>
    <row r="695204" spans="27:27">
      <c r="AA695204" s="613"/>
    </row>
    <row r="695205" spans="27:27">
      <c r="AA695205" s="613"/>
    </row>
    <row r="695350" spans="27:27">
      <c r="AA695350" s="613"/>
    </row>
    <row r="695351" spans="27:27">
      <c r="AA695351" s="613"/>
    </row>
    <row r="695496" spans="27:27">
      <c r="AA695496" s="613"/>
    </row>
    <row r="695497" spans="27:27">
      <c r="AA695497" s="613"/>
    </row>
    <row r="695642" spans="27:27">
      <c r="AA695642" s="613"/>
    </row>
    <row r="695643" spans="27:27">
      <c r="AA695643" s="613"/>
    </row>
    <row r="695788" spans="27:27">
      <c r="AA695788" s="613"/>
    </row>
    <row r="695789" spans="27:27">
      <c r="AA695789" s="613"/>
    </row>
    <row r="695934" spans="27:27">
      <c r="AA695934" s="613"/>
    </row>
    <row r="695935" spans="27:27">
      <c r="AA695935" s="613"/>
    </row>
    <row r="696080" spans="27:27">
      <c r="AA696080" s="613"/>
    </row>
    <row r="696081" spans="27:27">
      <c r="AA696081" s="613"/>
    </row>
    <row r="696226" spans="27:27">
      <c r="AA696226" s="613"/>
    </row>
    <row r="696227" spans="27:27">
      <c r="AA696227" s="613"/>
    </row>
    <row r="696372" spans="27:27">
      <c r="AA696372" s="613"/>
    </row>
    <row r="696373" spans="27:27">
      <c r="AA696373" s="613"/>
    </row>
    <row r="696518" spans="27:27">
      <c r="AA696518" s="613"/>
    </row>
    <row r="696519" spans="27:27">
      <c r="AA696519" s="613"/>
    </row>
    <row r="696664" spans="27:27">
      <c r="AA696664" s="613"/>
    </row>
    <row r="696665" spans="27:27">
      <c r="AA696665" s="613"/>
    </row>
    <row r="696810" spans="27:27">
      <c r="AA696810" s="613"/>
    </row>
    <row r="696811" spans="27:27">
      <c r="AA696811" s="613"/>
    </row>
    <row r="696956" spans="27:27">
      <c r="AA696956" s="613"/>
    </row>
    <row r="696957" spans="27:27">
      <c r="AA696957" s="613"/>
    </row>
    <row r="697102" spans="27:27">
      <c r="AA697102" s="613"/>
    </row>
    <row r="697103" spans="27:27">
      <c r="AA697103" s="613"/>
    </row>
    <row r="697248" spans="27:27">
      <c r="AA697248" s="613"/>
    </row>
    <row r="697249" spans="27:27">
      <c r="AA697249" s="613"/>
    </row>
    <row r="697394" spans="27:27">
      <c r="AA697394" s="613"/>
    </row>
    <row r="697395" spans="27:27">
      <c r="AA697395" s="613"/>
    </row>
    <row r="697540" spans="27:27">
      <c r="AA697540" s="613"/>
    </row>
    <row r="697541" spans="27:27">
      <c r="AA697541" s="613"/>
    </row>
    <row r="697686" spans="27:27">
      <c r="AA697686" s="613"/>
    </row>
    <row r="697687" spans="27:27">
      <c r="AA697687" s="613"/>
    </row>
    <row r="697832" spans="27:27">
      <c r="AA697832" s="613"/>
    </row>
    <row r="697833" spans="27:27">
      <c r="AA697833" s="613"/>
    </row>
    <row r="697978" spans="27:27">
      <c r="AA697978" s="613"/>
    </row>
    <row r="697979" spans="27:27">
      <c r="AA697979" s="613"/>
    </row>
    <row r="698124" spans="27:27">
      <c r="AA698124" s="613"/>
    </row>
    <row r="698125" spans="27:27">
      <c r="AA698125" s="613"/>
    </row>
    <row r="698270" spans="27:27">
      <c r="AA698270" s="613"/>
    </row>
    <row r="698271" spans="27:27">
      <c r="AA698271" s="613"/>
    </row>
    <row r="698416" spans="27:27">
      <c r="AA698416" s="613"/>
    </row>
    <row r="698417" spans="27:27">
      <c r="AA698417" s="613"/>
    </row>
    <row r="698562" spans="27:27">
      <c r="AA698562" s="613"/>
    </row>
    <row r="698563" spans="27:27">
      <c r="AA698563" s="613"/>
    </row>
    <row r="698708" spans="27:27">
      <c r="AA698708" s="613"/>
    </row>
    <row r="698709" spans="27:27">
      <c r="AA698709" s="613"/>
    </row>
    <row r="698854" spans="27:27">
      <c r="AA698854" s="613"/>
    </row>
    <row r="698855" spans="27:27">
      <c r="AA698855" s="613"/>
    </row>
    <row r="699000" spans="27:27">
      <c r="AA699000" s="613"/>
    </row>
    <row r="699001" spans="27:27">
      <c r="AA699001" s="613"/>
    </row>
    <row r="699146" spans="27:27">
      <c r="AA699146" s="613"/>
    </row>
    <row r="699147" spans="27:27">
      <c r="AA699147" s="613"/>
    </row>
    <row r="699292" spans="27:27">
      <c r="AA699292" s="613"/>
    </row>
    <row r="699293" spans="27:27">
      <c r="AA699293" s="613"/>
    </row>
    <row r="699438" spans="27:27">
      <c r="AA699438" s="613"/>
    </row>
    <row r="699439" spans="27:27">
      <c r="AA699439" s="613"/>
    </row>
    <row r="699584" spans="27:27">
      <c r="AA699584" s="613"/>
    </row>
    <row r="699585" spans="27:27">
      <c r="AA699585" s="613"/>
    </row>
    <row r="699730" spans="27:27">
      <c r="AA699730" s="613"/>
    </row>
    <row r="699731" spans="27:27">
      <c r="AA699731" s="613"/>
    </row>
    <row r="699876" spans="27:27">
      <c r="AA699876" s="613"/>
    </row>
    <row r="699877" spans="27:27">
      <c r="AA699877" s="613"/>
    </row>
    <row r="700022" spans="27:27">
      <c r="AA700022" s="613"/>
    </row>
    <row r="700023" spans="27:27">
      <c r="AA700023" s="613"/>
    </row>
    <row r="700168" spans="27:27">
      <c r="AA700168" s="613"/>
    </row>
    <row r="700169" spans="27:27">
      <c r="AA700169" s="613"/>
    </row>
    <row r="700314" spans="27:27">
      <c r="AA700314" s="613"/>
    </row>
    <row r="700315" spans="27:27">
      <c r="AA700315" s="613"/>
    </row>
    <row r="700460" spans="27:27">
      <c r="AA700460" s="613"/>
    </row>
    <row r="700461" spans="27:27">
      <c r="AA700461" s="613"/>
    </row>
    <row r="700606" spans="27:27">
      <c r="AA700606" s="613"/>
    </row>
    <row r="700607" spans="27:27">
      <c r="AA700607" s="613"/>
    </row>
    <row r="700752" spans="27:27">
      <c r="AA700752" s="613"/>
    </row>
    <row r="700753" spans="27:27">
      <c r="AA700753" s="613"/>
    </row>
    <row r="700898" spans="27:27">
      <c r="AA700898" s="613"/>
    </row>
    <row r="700899" spans="27:27">
      <c r="AA700899" s="613"/>
    </row>
    <row r="701044" spans="27:27">
      <c r="AA701044" s="613"/>
    </row>
    <row r="701045" spans="27:27">
      <c r="AA701045" s="613"/>
    </row>
    <row r="701190" spans="27:27">
      <c r="AA701190" s="613"/>
    </row>
    <row r="701191" spans="27:27">
      <c r="AA701191" s="613"/>
    </row>
    <row r="701336" spans="27:27">
      <c r="AA701336" s="613"/>
    </row>
    <row r="701337" spans="27:27">
      <c r="AA701337" s="613"/>
    </row>
    <row r="701482" spans="27:27">
      <c r="AA701482" s="613"/>
    </row>
    <row r="701483" spans="27:27">
      <c r="AA701483" s="613"/>
    </row>
    <row r="701628" spans="27:27">
      <c r="AA701628" s="613"/>
    </row>
    <row r="701629" spans="27:27">
      <c r="AA701629" s="613"/>
    </row>
    <row r="701774" spans="27:27">
      <c r="AA701774" s="613"/>
    </row>
    <row r="701775" spans="27:27">
      <c r="AA701775" s="613"/>
    </row>
    <row r="701920" spans="27:27">
      <c r="AA701920" s="613"/>
    </row>
    <row r="701921" spans="27:27">
      <c r="AA701921" s="613"/>
    </row>
    <row r="702066" spans="27:27">
      <c r="AA702066" s="613"/>
    </row>
    <row r="702067" spans="27:27">
      <c r="AA702067" s="613"/>
    </row>
    <row r="702212" spans="27:27">
      <c r="AA702212" s="613"/>
    </row>
    <row r="702213" spans="27:27">
      <c r="AA702213" s="613"/>
    </row>
    <row r="702358" spans="27:27">
      <c r="AA702358" s="613"/>
    </row>
    <row r="702359" spans="27:27">
      <c r="AA702359" s="613"/>
    </row>
    <row r="702504" spans="27:27">
      <c r="AA702504" s="613"/>
    </row>
    <row r="702505" spans="27:27">
      <c r="AA702505" s="613"/>
    </row>
    <row r="702650" spans="27:27">
      <c r="AA702650" s="613"/>
    </row>
    <row r="702651" spans="27:27">
      <c r="AA702651" s="613"/>
    </row>
    <row r="702796" spans="27:27">
      <c r="AA702796" s="613"/>
    </row>
    <row r="702797" spans="27:27">
      <c r="AA702797" s="613"/>
    </row>
    <row r="702942" spans="27:27">
      <c r="AA702942" s="613"/>
    </row>
    <row r="702943" spans="27:27">
      <c r="AA702943" s="613"/>
    </row>
    <row r="703088" spans="27:27">
      <c r="AA703088" s="613"/>
    </row>
    <row r="703089" spans="27:27">
      <c r="AA703089" s="613"/>
    </row>
    <row r="703234" spans="27:27">
      <c r="AA703234" s="613"/>
    </row>
    <row r="703235" spans="27:27">
      <c r="AA703235" s="613"/>
    </row>
    <row r="703380" spans="27:27">
      <c r="AA703380" s="613"/>
    </row>
    <row r="703381" spans="27:27">
      <c r="AA703381" s="613"/>
    </row>
    <row r="703526" spans="27:27">
      <c r="AA703526" s="613"/>
    </row>
    <row r="703527" spans="27:27">
      <c r="AA703527" s="613"/>
    </row>
    <row r="703672" spans="27:27">
      <c r="AA703672" s="613"/>
    </row>
    <row r="703673" spans="27:27">
      <c r="AA703673" s="613"/>
    </row>
    <row r="703818" spans="27:27">
      <c r="AA703818" s="613"/>
    </row>
    <row r="703819" spans="27:27">
      <c r="AA703819" s="613"/>
    </row>
    <row r="703964" spans="27:27">
      <c r="AA703964" s="613"/>
    </row>
    <row r="703965" spans="27:27">
      <c r="AA703965" s="613"/>
    </row>
    <row r="704110" spans="27:27">
      <c r="AA704110" s="613"/>
    </row>
    <row r="704111" spans="27:27">
      <c r="AA704111" s="613"/>
    </row>
    <row r="704256" spans="27:27">
      <c r="AA704256" s="613"/>
    </row>
    <row r="704257" spans="27:27">
      <c r="AA704257" s="613"/>
    </row>
    <row r="704402" spans="27:27">
      <c r="AA704402" s="613"/>
    </row>
    <row r="704403" spans="27:27">
      <c r="AA704403" s="613"/>
    </row>
    <row r="704548" spans="27:27">
      <c r="AA704548" s="613"/>
    </row>
    <row r="704549" spans="27:27">
      <c r="AA704549" s="613"/>
    </row>
    <row r="704694" spans="27:27">
      <c r="AA704694" s="613"/>
    </row>
    <row r="704695" spans="27:27">
      <c r="AA704695" s="613"/>
    </row>
    <row r="704840" spans="27:27">
      <c r="AA704840" s="613"/>
    </row>
    <row r="704841" spans="27:27">
      <c r="AA704841" s="613"/>
    </row>
    <row r="704986" spans="27:27">
      <c r="AA704986" s="613"/>
    </row>
    <row r="704987" spans="27:27">
      <c r="AA704987" s="613"/>
    </row>
    <row r="705132" spans="27:27">
      <c r="AA705132" s="613"/>
    </row>
    <row r="705133" spans="27:27">
      <c r="AA705133" s="613"/>
    </row>
    <row r="705278" spans="27:27">
      <c r="AA705278" s="613"/>
    </row>
    <row r="705279" spans="27:27">
      <c r="AA705279" s="613"/>
    </row>
    <row r="705424" spans="27:27">
      <c r="AA705424" s="613"/>
    </row>
    <row r="705425" spans="27:27">
      <c r="AA705425" s="613"/>
    </row>
    <row r="705570" spans="27:27">
      <c r="AA705570" s="613"/>
    </row>
    <row r="705571" spans="27:27">
      <c r="AA705571" s="613"/>
    </row>
    <row r="705716" spans="27:27">
      <c r="AA705716" s="613"/>
    </row>
    <row r="705717" spans="27:27">
      <c r="AA705717" s="613"/>
    </row>
    <row r="705862" spans="27:27">
      <c r="AA705862" s="613"/>
    </row>
    <row r="705863" spans="27:27">
      <c r="AA705863" s="613"/>
    </row>
    <row r="706008" spans="27:27">
      <c r="AA706008" s="613"/>
    </row>
    <row r="706009" spans="27:27">
      <c r="AA706009" s="613"/>
    </row>
    <row r="706154" spans="27:27">
      <c r="AA706154" s="613"/>
    </row>
    <row r="706155" spans="27:27">
      <c r="AA706155" s="613"/>
    </row>
    <row r="706300" spans="27:27">
      <c r="AA706300" s="613"/>
    </row>
    <row r="706301" spans="27:27">
      <c r="AA706301" s="613"/>
    </row>
    <row r="706446" spans="27:27">
      <c r="AA706446" s="613"/>
    </row>
    <row r="706447" spans="27:27">
      <c r="AA706447" s="613"/>
    </row>
    <row r="706592" spans="27:27">
      <c r="AA706592" s="613"/>
    </row>
    <row r="706593" spans="27:27">
      <c r="AA706593" s="613"/>
    </row>
    <row r="706738" spans="27:27">
      <c r="AA706738" s="613"/>
    </row>
    <row r="706739" spans="27:27">
      <c r="AA706739" s="613"/>
    </row>
    <row r="706884" spans="27:27">
      <c r="AA706884" s="613"/>
    </row>
    <row r="706885" spans="27:27">
      <c r="AA706885" s="613"/>
    </row>
    <row r="707030" spans="27:27">
      <c r="AA707030" s="613"/>
    </row>
    <row r="707031" spans="27:27">
      <c r="AA707031" s="613"/>
    </row>
    <row r="707176" spans="27:27">
      <c r="AA707176" s="613"/>
    </row>
    <row r="707177" spans="27:27">
      <c r="AA707177" s="613"/>
    </row>
    <row r="707322" spans="27:27">
      <c r="AA707322" s="613"/>
    </row>
    <row r="707323" spans="27:27">
      <c r="AA707323" s="613"/>
    </row>
    <row r="707468" spans="27:27">
      <c r="AA707468" s="613"/>
    </row>
    <row r="707469" spans="27:27">
      <c r="AA707469" s="613"/>
    </row>
    <row r="707614" spans="27:27">
      <c r="AA707614" s="613"/>
    </row>
    <row r="707615" spans="27:27">
      <c r="AA707615" s="613"/>
    </row>
    <row r="707760" spans="27:27">
      <c r="AA707760" s="613"/>
    </row>
    <row r="707761" spans="27:27">
      <c r="AA707761" s="613"/>
    </row>
    <row r="707906" spans="27:27">
      <c r="AA707906" s="613"/>
    </row>
    <row r="707907" spans="27:27">
      <c r="AA707907" s="613"/>
    </row>
    <row r="708052" spans="27:27">
      <c r="AA708052" s="613"/>
    </row>
    <row r="708053" spans="27:27">
      <c r="AA708053" s="613"/>
    </row>
    <row r="708198" spans="27:27">
      <c r="AA708198" s="613"/>
    </row>
    <row r="708199" spans="27:27">
      <c r="AA708199" s="613"/>
    </row>
    <row r="708344" spans="27:27">
      <c r="AA708344" s="613"/>
    </row>
    <row r="708345" spans="27:27">
      <c r="AA708345" s="613"/>
    </row>
    <row r="708490" spans="27:27">
      <c r="AA708490" s="613"/>
    </row>
    <row r="708491" spans="27:27">
      <c r="AA708491" s="613"/>
    </row>
    <row r="708636" spans="27:27">
      <c r="AA708636" s="613"/>
    </row>
    <row r="708637" spans="27:27">
      <c r="AA708637" s="613"/>
    </row>
    <row r="708782" spans="27:27">
      <c r="AA708782" s="613"/>
    </row>
    <row r="708783" spans="27:27">
      <c r="AA708783" s="613"/>
    </row>
    <row r="708928" spans="27:27">
      <c r="AA708928" s="613"/>
    </row>
    <row r="708929" spans="27:27">
      <c r="AA708929" s="613"/>
    </row>
    <row r="709074" spans="27:27">
      <c r="AA709074" s="613"/>
    </row>
    <row r="709075" spans="27:27">
      <c r="AA709075" s="613"/>
    </row>
    <row r="709220" spans="27:27">
      <c r="AA709220" s="613"/>
    </row>
    <row r="709221" spans="27:27">
      <c r="AA709221" s="613"/>
    </row>
    <row r="709366" spans="27:27">
      <c r="AA709366" s="613"/>
    </row>
    <row r="709367" spans="27:27">
      <c r="AA709367" s="613"/>
    </row>
    <row r="709512" spans="27:27">
      <c r="AA709512" s="613"/>
    </row>
    <row r="709513" spans="27:27">
      <c r="AA709513" s="613"/>
    </row>
    <row r="709658" spans="27:27">
      <c r="AA709658" s="613"/>
    </row>
    <row r="709659" spans="27:27">
      <c r="AA709659" s="613"/>
    </row>
    <row r="709804" spans="27:27">
      <c r="AA709804" s="613"/>
    </row>
    <row r="709805" spans="27:27">
      <c r="AA709805" s="613"/>
    </row>
    <row r="709950" spans="27:27">
      <c r="AA709950" s="613"/>
    </row>
    <row r="709951" spans="27:27">
      <c r="AA709951" s="613"/>
    </row>
    <row r="710096" spans="27:27">
      <c r="AA710096" s="613"/>
    </row>
    <row r="710097" spans="27:27">
      <c r="AA710097" s="613"/>
    </row>
    <row r="710242" spans="27:27">
      <c r="AA710242" s="613"/>
    </row>
    <row r="710243" spans="27:27">
      <c r="AA710243" s="613"/>
    </row>
    <row r="710388" spans="27:27">
      <c r="AA710388" s="613"/>
    </row>
    <row r="710389" spans="27:27">
      <c r="AA710389" s="613"/>
    </row>
    <row r="710534" spans="27:27">
      <c r="AA710534" s="613"/>
    </row>
    <row r="710535" spans="27:27">
      <c r="AA710535" s="613"/>
    </row>
    <row r="710680" spans="27:27">
      <c r="AA710680" s="613"/>
    </row>
    <row r="710681" spans="27:27">
      <c r="AA710681" s="613"/>
    </row>
    <row r="710826" spans="27:27">
      <c r="AA710826" s="613"/>
    </row>
    <row r="710827" spans="27:27">
      <c r="AA710827" s="613"/>
    </row>
    <row r="710972" spans="27:27">
      <c r="AA710972" s="613"/>
    </row>
    <row r="710973" spans="27:27">
      <c r="AA710973" s="613"/>
    </row>
    <row r="711118" spans="27:27">
      <c r="AA711118" s="613"/>
    </row>
    <row r="711119" spans="27:27">
      <c r="AA711119" s="613"/>
    </row>
    <row r="711264" spans="27:27">
      <c r="AA711264" s="613"/>
    </row>
    <row r="711265" spans="27:27">
      <c r="AA711265" s="613"/>
    </row>
    <row r="711410" spans="27:27">
      <c r="AA711410" s="613"/>
    </row>
    <row r="711411" spans="27:27">
      <c r="AA711411" s="613"/>
    </row>
    <row r="711556" spans="27:27">
      <c r="AA711556" s="613"/>
    </row>
    <row r="711557" spans="27:27">
      <c r="AA711557" s="613"/>
    </row>
    <row r="711702" spans="27:27">
      <c r="AA711702" s="613"/>
    </row>
    <row r="711703" spans="27:27">
      <c r="AA711703" s="613"/>
    </row>
    <row r="711848" spans="27:27">
      <c r="AA711848" s="613"/>
    </row>
    <row r="711849" spans="27:27">
      <c r="AA711849" s="613"/>
    </row>
    <row r="711994" spans="27:27">
      <c r="AA711994" s="613"/>
    </row>
    <row r="711995" spans="27:27">
      <c r="AA711995" s="613"/>
    </row>
    <row r="712140" spans="27:27">
      <c r="AA712140" s="613"/>
    </row>
    <row r="712141" spans="27:27">
      <c r="AA712141" s="613"/>
    </row>
    <row r="712286" spans="27:27">
      <c r="AA712286" s="613"/>
    </row>
    <row r="712287" spans="27:27">
      <c r="AA712287" s="613"/>
    </row>
    <row r="712432" spans="27:27">
      <c r="AA712432" s="613"/>
    </row>
    <row r="712433" spans="27:27">
      <c r="AA712433" s="613"/>
    </row>
    <row r="712578" spans="27:27">
      <c r="AA712578" s="613"/>
    </row>
    <row r="712579" spans="27:27">
      <c r="AA712579" s="613"/>
    </row>
    <row r="712724" spans="27:27">
      <c r="AA712724" s="613"/>
    </row>
    <row r="712725" spans="27:27">
      <c r="AA712725" s="613"/>
    </row>
    <row r="712870" spans="27:27">
      <c r="AA712870" s="613"/>
    </row>
    <row r="712871" spans="27:27">
      <c r="AA712871" s="613"/>
    </row>
    <row r="713016" spans="27:27">
      <c r="AA713016" s="613"/>
    </row>
    <row r="713017" spans="27:27">
      <c r="AA713017" s="613"/>
    </row>
    <row r="713162" spans="27:27">
      <c r="AA713162" s="613"/>
    </row>
    <row r="713163" spans="27:27">
      <c r="AA713163" s="613"/>
    </row>
    <row r="713308" spans="27:27">
      <c r="AA713308" s="613"/>
    </row>
    <row r="713309" spans="27:27">
      <c r="AA713309" s="613"/>
    </row>
    <row r="713454" spans="27:27">
      <c r="AA713454" s="613"/>
    </row>
    <row r="713455" spans="27:27">
      <c r="AA713455" s="613"/>
    </row>
    <row r="713600" spans="27:27">
      <c r="AA713600" s="613"/>
    </row>
    <row r="713601" spans="27:27">
      <c r="AA713601" s="613"/>
    </row>
    <row r="713746" spans="27:27">
      <c r="AA713746" s="613"/>
    </row>
    <row r="713747" spans="27:27">
      <c r="AA713747" s="613"/>
    </row>
    <row r="713892" spans="27:27">
      <c r="AA713892" s="613"/>
    </row>
    <row r="713893" spans="27:27">
      <c r="AA713893" s="613"/>
    </row>
    <row r="714038" spans="27:27">
      <c r="AA714038" s="613"/>
    </row>
    <row r="714039" spans="27:27">
      <c r="AA714039" s="613"/>
    </row>
    <row r="714184" spans="27:27">
      <c r="AA714184" s="613"/>
    </row>
    <row r="714185" spans="27:27">
      <c r="AA714185" s="613"/>
    </row>
    <row r="714330" spans="27:27">
      <c r="AA714330" s="613"/>
    </row>
    <row r="714331" spans="27:27">
      <c r="AA714331" s="613"/>
    </row>
    <row r="714476" spans="27:27">
      <c r="AA714476" s="613"/>
    </row>
    <row r="714477" spans="27:27">
      <c r="AA714477" s="613"/>
    </row>
    <row r="714622" spans="27:27">
      <c r="AA714622" s="613"/>
    </row>
    <row r="714623" spans="27:27">
      <c r="AA714623" s="613"/>
    </row>
    <row r="714768" spans="27:27">
      <c r="AA714768" s="613"/>
    </row>
    <row r="714769" spans="27:27">
      <c r="AA714769" s="613"/>
    </row>
    <row r="714914" spans="27:27">
      <c r="AA714914" s="613"/>
    </row>
    <row r="714915" spans="27:27">
      <c r="AA714915" s="613"/>
    </row>
    <row r="715060" spans="27:27">
      <c r="AA715060" s="613"/>
    </row>
    <row r="715061" spans="27:27">
      <c r="AA715061" s="613"/>
    </row>
    <row r="715206" spans="27:27">
      <c r="AA715206" s="613"/>
    </row>
    <row r="715207" spans="27:27">
      <c r="AA715207" s="613"/>
    </row>
    <row r="715352" spans="27:27">
      <c r="AA715352" s="613"/>
    </row>
    <row r="715353" spans="27:27">
      <c r="AA715353" s="613"/>
    </row>
    <row r="715498" spans="27:27">
      <c r="AA715498" s="613"/>
    </row>
    <row r="715499" spans="27:27">
      <c r="AA715499" s="613"/>
    </row>
    <row r="715644" spans="27:27">
      <c r="AA715644" s="613"/>
    </row>
    <row r="715645" spans="27:27">
      <c r="AA715645" s="613"/>
    </row>
    <row r="715790" spans="27:27">
      <c r="AA715790" s="613"/>
    </row>
    <row r="715791" spans="27:27">
      <c r="AA715791" s="613"/>
    </row>
    <row r="715936" spans="27:27">
      <c r="AA715936" s="613"/>
    </row>
    <row r="715937" spans="27:27">
      <c r="AA715937" s="613"/>
    </row>
    <row r="716082" spans="27:27">
      <c r="AA716082" s="613"/>
    </row>
    <row r="716083" spans="27:27">
      <c r="AA716083" s="613"/>
    </row>
    <row r="716228" spans="27:27">
      <c r="AA716228" s="613"/>
    </row>
    <row r="716229" spans="27:27">
      <c r="AA716229" s="613"/>
    </row>
    <row r="716374" spans="27:27">
      <c r="AA716374" s="613"/>
    </row>
    <row r="716375" spans="27:27">
      <c r="AA716375" s="613"/>
    </row>
    <row r="716520" spans="27:27">
      <c r="AA716520" s="613"/>
    </row>
    <row r="716521" spans="27:27">
      <c r="AA716521" s="613"/>
    </row>
    <row r="716666" spans="27:27">
      <c r="AA716666" s="613"/>
    </row>
    <row r="716667" spans="27:27">
      <c r="AA716667" s="613"/>
    </row>
    <row r="716812" spans="27:27">
      <c r="AA716812" s="613"/>
    </row>
    <row r="716813" spans="27:27">
      <c r="AA716813" s="613"/>
    </row>
    <row r="716958" spans="27:27">
      <c r="AA716958" s="613"/>
    </row>
    <row r="716959" spans="27:27">
      <c r="AA716959" s="613"/>
    </row>
    <row r="717104" spans="27:27">
      <c r="AA717104" s="613"/>
    </row>
    <row r="717105" spans="27:27">
      <c r="AA717105" s="613"/>
    </row>
    <row r="717250" spans="27:27">
      <c r="AA717250" s="613"/>
    </row>
    <row r="717251" spans="27:27">
      <c r="AA717251" s="613"/>
    </row>
    <row r="717396" spans="27:27">
      <c r="AA717396" s="613"/>
    </row>
    <row r="717397" spans="27:27">
      <c r="AA717397" s="613"/>
    </row>
    <row r="717542" spans="27:27">
      <c r="AA717542" s="613"/>
    </row>
    <row r="717543" spans="27:27">
      <c r="AA717543" s="613"/>
    </row>
    <row r="717688" spans="27:27">
      <c r="AA717688" s="613"/>
    </row>
    <row r="717689" spans="27:27">
      <c r="AA717689" s="613"/>
    </row>
    <row r="717834" spans="27:27">
      <c r="AA717834" s="613"/>
    </row>
    <row r="717835" spans="27:27">
      <c r="AA717835" s="613"/>
    </row>
    <row r="717980" spans="27:27">
      <c r="AA717980" s="613"/>
    </row>
    <row r="717981" spans="27:27">
      <c r="AA717981" s="613"/>
    </row>
    <row r="718126" spans="27:27">
      <c r="AA718126" s="613"/>
    </row>
    <row r="718127" spans="27:27">
      <c r="AA718127" s="613"/>
    </row>
    <row r="718272" spans="27:27">
      <c r="AA718272" s="613"/>
    </row>
    <row r="718273" spans="27:27">
      <c r="AA718273" s="613"/>
    </row>
    <row r="718418" spans="27:27">
      <c r="AA718418" s="613"/>
    </row>
    <row r="718419" spans="27:27">
      <c r="AA718419" s="613"/>
    </row>
    <row r="718564" spans="27:27">
      <c r="AA718564" s="613"/>
    </row>
    <row r="718565" spans="27:27">
      <c r="AA718565" s="613"/>
    </row>
    <row r="718710" spans="27:27">
      <c r="AA718710" s="613"/>
    </row>
    <row r="718711" spans="27:27">
      <c r="AA718711" s="613"/>
    </row>
    <row r="718856" spans="27:27">
      <c r="AA718856" s="613"/>
    </row>
    <row r="718857" spans="27:27">
      <c r="AA718857" s="613"/>
    </row>
    <row r="719002" spans="27:27">
      <c r="AA719002" s="613"/>
    </row>
    <row r="719003" spans="27:27">
      <c r="AA719003" s="613"/>
    </row>
    <row r="719148" spans="27:27">
      <c r="AA719148" s="613"/>
    </row>
    <row r="719149" spans="27:27">
      <c r="AA719149" s="613"/>
    </row>
    <row r="719294" spans="27:27">
      <c r="AA719294" s="613"/>
    </row>
    <row r="719295" spans="27:27">
      <c r="AA719295" s="613"/>
    </row>
    <row r="719440" spans="27:27">
      <c r="AA719440" s="613"/>
    </row>
    <row r="719441" spans="27:27">
      <c r="AA719441" s="613"/>
    </row>
    <row r="719586" spans="27:27">
      <c r="AA719586" s="613"/>
    </row>
    <row r="719587" spans="27:27">
      <c r="AA719587" s="613"/>
    </row>
    <row r="719732" spans="27:27">
      <c r="AA719732" s="613"/>
    </row>
    <row r="719733" spans="27:27">
      <c r="AA719733" s="613"/>
    </row>
    <row r="719878" spans="27:27">
      <c r="AA719878" s="613"/>
    </row>
    <row r="719879" spans="27:27">
      <c r="AA719879" s="613"/>
    </row>
    <row r="720024" spans="27:27">
      <c r="AA720024" s="613"/>
    </row>
    <row r="720025" spans="27:27">
      <c r="AA720025" s="613"/>
    </row>
    <row r="720170" spans="27:27">
      <c r="AA720170" s="613"/>
    </row>
    <row r="720171" spans="27:27">
      <c r="AA720171" s="613"/>
    </row>
    <row r="720316" spans="27:27">
      <c r="AA720316" s="613"/>
    </row>
    <row r="720317" spans="27:27">
      <c r="AA720317" s="613"/>
    </row>
    <row r="720462" spans="27:27">
      <c r="AA720462" s="613"/>
    </row>
    <row r="720463" spans="27:27">
      <c r="AA720463" s="613"/>
    </row>
    <row r="720608" spans="27:27">
      <c r="AA720608" s="613"/>
    </row>
    <row r="720609" spans="27:27">
      <c r="AA720609" s="613"/>
    </row>
    <row r="720754" spans="27:27">
      <c r="AA720754" s="613"/>
    </row>
    <row r="720755" spans="27:27">
      <c r="AA720755" s="613"/>
    </row>
    <row r="720900" spans="27:27">
      <c r="AA720900" s="613"/>
    </row>
    <row r="720901" spans="27:27">
      <c r="AA720901" s="613"/>
    </row>
    <row r="721046" spans="27:27">
      <c r="AA721046" s="613"/>
    </row>
    <row r="721047" spans="27:27">
      <c r="AA721047" s="613"/>
    </row>
    <row r="721192" spans="27:27">
      <c r="AA721192" s="613"/>
    </row>
    <row r="721193" spans="27:27">
      <c r="AA721193" s="613"/>
    </row>
    <row r="721338" spans="27:27">
      <c r="AA721338" s="613"/>
    </row>
    <row r="721339" spans="27:27">
      <c r="AA721339" s="613"/>
    </row>
    <row r="721484" spans="27:27">
      <c r="AA721484" s="613"/>
    </row>
    <row r="721485" spans="27:27">
      <c r="AA721485" s="613"/>
    </row>
    <row r="721630" spans="27:27">
      <c r="AA721630" s="613"/>
    </row>
    <row r="721631" spans="27:27">
      <c r="AA721631" s="613"/>
    </row>
    <row r="721776" spans="27:27">
      <c r="AA721776" s="613"/>
    </row>
    <row r="721777" spans="27:27">
      <c r="AA721777" s="613"/>
    </row>
    <row r="721922" spans="27:27">
      <c r="AA721922" s="613"/>
    </row>
    <row r="721923" spans="27:27">
      <c r="AA721923" s="613"/>
    </row>
    <row r="722068" spans="27:27">
      <c r="AA722068" s="613"/>
    </row>
    <row r="722069" spans="27:27">
      <c r="AA722069" s="613"/>
    </row>
    <row r="722214" spans="27:27">
      <c r="AA722214" s="613"/>
    </row>
    <row r="722215" spans="27:27">
      <c r="AA722215" s="613"/>
    </row>
    <row r="722360" spans="27:27">
      <c r="AA722360" s="613"/>
    </row>
    <row r="722361" spans="27:27">
      <c r="AA722361" s="613"/>
    </row>
    <row r="722506" spans="27:27">
      <c r="AA722506" s="613"/>
    </row>
    <row r="722507" spans="27:27">
      <c r="AA722507" s="613"/>
    </row>
    <row r="722652" spans="27:27">
      <c r="AA722652" s="613"/>
    </row>
    <row r="722653" spans="27:27">
      <c r="AA722653" s="613"/>
    </row>
    <row r="722798" spans="27:27">
      <c r="AA722798" s="613"/>
    </row>
    <row r="722799" spans="27:27">
      <c r="AA722799" s="613"/>
    </row>
    <row r="722944" spans="27:27">
      <c r="AA722944" s="613"/>
    </row>
    <row r="722945" spans="27:27">
      <c r="AA722945" s="613"/>
    </row>
    <row r="723090" spans="27:27">
      <c r="AA723090" s="613"/>
    </row>
    <row r="723091" spans="27:27">
      <c r="AA723091" s="613"/>
    </row>
    <row r="723236" spans="27:27">
      <c r="AA723236" s="613"/>
    </row>
    <row r="723237" spans="27:27">
      <c r="AA723237" s="613"/>
    </row>
    <row r="723382" spans="27:27">
      <c r="AA723382" s="613"/>
    </row>
    <row r="723383" spans="27:27">
      <c r="AA723383" s="613"/>
    </row>
    <row r="723528" spans="27:27">
      <c r="AA723528" s="613"/>
    </row>
    <row r="723529" spans="27:27">
      <c r="AA723529" s="613"/>
    </row>
    <row r="723674" spans="27:27">
      <c r="AA723674" s="613"/>
    </row>
    <row r="723675" spans="27:27">
      <c r="AA723675" s="613"/>
    </row>
    <row r="723820" spans="27:27">
      <c r="AA723820" s="613"/>
    </row>
    <row r="723821" spans="27:27">
      <c r="AA723821" s="613"/>
    </row>
    <row r="723966" spans="27:27">
      <c r="AA723966" s="613"/>
    </row>
    <row r="723967" spans="27:27">
      <c r="AA723967" s="613"/>
    </row>
    <row r="724112" spans="27:27">
      <c r="AA724112" s="613"/>
    </row>
    <row r="724113" spans="27:27">
      <c r="AA724113" s="613"/>
    </row>
    <row r="724258" spans="27:27">
      <c r="AA724258" s="613"/>
    </row>
    <row r="724259" spans="27:27">
      <c r="AA724259" s="613"/>
    </row>
    <row r="724404" spans="27:27">
      <c r="AA724404" s="613"/>
    </row>
    <row r="724405" spans="27:27">
      <c r="AA724405" s="613"/>
    </row>
    <row r="724550" spans="27:27">
      <c r="AA724550" s="613"/>
    </row>
    <row r="724551" spans="27:27">
      <c r="AA724551" s="613"/>
    </row>
    <row r="724696" spans="27:27">
      <c r="AA724696" s="613"/>
    </row>
    <row r="724697" spans="27:27">
      <c r="AA724697" s="613"/>
    </row>
    <row r="724842" spans="27:27">
      <c r="AA724842" s="613"/>
    </row>
    <row r="724843" spans="27:27">
      <c r="AA724843" s="613"/>
    </row>
    <row r="724988" spans="27:27">
      <c r="AA724988" s="613"/>
    </row>
    <row r="724989" spans="27:27">
      <c r="AA724989" s="613"/>
    </row>
    <row r="725134" spans="27:27">
      <c r="AA725134" s="613"/>
    </row>
    <row r="725135" spans="27:27">
      <c r="AA725135" s="613"/>
    </row>
    <row r="725280" spans="27:27">
      <c r="AA725280" s="613"/>
    </row>
    <row r="725281" spans="27:27">
      <c r="AA725281" s="613"/>
    </row>
    <row r="725426" spans="27:27">
      <c r="AA725426" s="613"/>
    </row>
    <row r="725427" spans="27:27">
      <c r="AA725427" s="613"/>
    </row>
    <row r="725572" spans="27:27">
      <c r="AA725572" s="613"/>
    </row>
    <row r="725573" spans="27:27">
      <c r="AA725573" s="613"/>
    </row>
    <row r="725718" spans="27:27">
      <c r="AA725718" s="613"/>
    </row>
    <row r="725719" spans="27:27">
      <c r="AA725719" s="613"/>
    </row>
    <row r="725864" spans="27:27">
      <c r="AA725864" s="613"/>
    </row>
    <row r="725865" spans="27:27">
      <c r="AA725865" s="613"/>
    </row>
    <row r="726010" spans="27:27">
      <c r="AA726010" s="613"/>
    </row>
    <row r="726011" spans="27:27">
      <c r="AA726011" s="613"/>
    </row>
    <row r="726156" spans="27:27">
      <c r="AA726156" s="613"/>
    </row>
    <row r="726157" spans="27:27">
      <c r="AA726157" s="613"/>
    </row>
    <row r="726302" spans="27:27">
      <c r="AA726302" s="613"/>
    </row>
    <row r="726303" spans="27:27">
      <c r="AA726303" s="613"/>
    </row>
    <row r="726448" spans="27:27">
      <c r="AA726448" s="613"/>
    </row>
    <row r="726449" spans="27:27">
      <c r="AA726449" s="613"/>
    </row>
    <row r="726594" spans="27:27">
      <c r="AA726594" s="613"/>
    </row>
    <row r="726595" spans="27:27">
      <c r="AA726595" s="613"/>
    </row>
    <row r="726740" spans="27:27">
      <c r="AA726740" s="613"/>
    </row>
    <row r="726741" spans="27:27">
      <c r="AA726741" s="613"/>
    </row>
    <row r="726886" spans="27:27">
      <c r="AA726886" s="613"/>
    </row>
    <row r="726887" spans="27:27">
      <c r="AA726887" s="613"/>
    </row>
    <row r="727032" spans="27:27">
      <c r="AA727032" s="613"/>
    </row>
    <row r="727033" spans="27:27">
      <c r="AA727033" s="613"/>
    </row>
    <row r="727178" spans="27:27">
      <c r="AA727178" s="613"/>
    </row>
    <row r="727179" spans="27:27">
      <c r="AA727179" s="613"/>
    </row>
    <row r="727324" spans="27:27">
      <c r="AA727324" s="613"/>
    </row>
    <row r="727325" spans="27:27">
      <c r="AA727325" s="613"/>
    </row>
    <row r="727470" spans="27:27">
      <c r="AA727470" s="613"/>
    </row>
    <row r="727471" spans="27:27">
      <c r="AA727471" s="613"/>
    </row>
    <row r="727616" spans="27:27">
      <c r="AA727616" s="613"/>
    </row>
    <row r="727617" spans="27:27">
      <c r="AA727617" s="613"/>
    </row>
    <row r="727762" spans="27:27">
      <c r="AA727762" s="613"/>
    </row>
    <row r="727763" spans="27:27">
      <c r="AA727763" s="613"/>
    </row>
    <row r="727908" spans="27:27">
      <c r="AA727908" s="613"/>
    </row>
    <row r="727909" spans="27:27">
      <c r="AA727909" s="613"/>
    </row>
    <row r="728054" spans="27:27">
      <c r="AA728054" s="613"/>
    </row>
    <row r="728055" spans="27:27">
      <c r="AA728055" s="613"/>
    </row>
    <row r="728200" spans="27:27">
      <c r="AA728200" s="613"/>
    </row>
    <row r="728201" spans="27:27">
      <c r="AA728201" s="613"/>
    </row>
    <row r="728346" spans="27:27">
      <c r="AA728346" s="613"/>
    </row>
    <row r="728347" spans="27:27">
      <c r="AA728347" s="613"/>
    </row>
    <row r="728492" spans="27:27">
      <c r="AA728492" s="613"/>
    </row>
    <row r="728493" spans="27:27">
      <c r="AA728493" s="613"/>
    </row>
    <row r="728638" spans="27:27">
      <c r="AA728638" s="613"/>
    </row>
    <row r="728639" spans="27:27">
      <c r="AA728639" s="613"/>
    </row>
    <row r="728784" spans="27:27">
      <c r="AA728784" s="613"/>
    </row>
    <row r="728785" spans="27:27">
      <c r="AA728785" s="613"/>
    </row>
    <row r="728930" spans="27:27">
      <c r="AA728930" s="613"/>
    </row>
    <row r="728931" spans="27:27">
      <c r="AA728931" s="613"/>
    </row>
    <row r="729076" spans="27:27">
      <c r="AA729076" s="613"/>
    </row>
    <row r="729077" spans="27:27">
      <c r="AA729077" s="613"/>
    </row>
    <row r="729222" spans="27:27">
      <c r="AA729222" s="613"/>
    </row>
    <row r="729223" spans="27:27">
      <c r="AA729223" s="613"/>
    </row>
    <row r="729368" spans="27:27">
      <c r="AA729368" s="613"/>
    </row>
    <row r="729369" spans="27:27">
      <c r="AA729369" s="613"/>
    </row>
    <row r="729514" spans="27:27">
      <c r="AA729514" s="613"/>
    </row>
    <row r="729515" spans="27:27">
      <c r="AA729515" s="613"/>
    </row>
    <row r="729660" spans="27:27">
      <c r="AA729660" s="613"/>
    </row>
    <row r="729661" spans="27:27">
      <c r="AA729661" s="613"/>
    </row>
    <row r="729806" spans="27:27">
      <c r="AA729806" s="613"/>
    </row>
    <row r="729807" spans="27:27">
      <c r="AA729807" s="613"/>
    </row>
    <row r="729952" spans="27:27">
      <c r="AA729952" s="613"/>
    </row>
    <row r="729953" spans="27:27">
      <c r="AA729953" s="613"/>
    </row>
    <row r="730098" spans="27:27">
      <c r="AA730098" s="613"/>
    </row>
    <row r="730099" spans="27:27">
      <c r="AA730099" s="613"/>
    </row>
    <row r="730244" spans="27:27">
      <c r="AA730244" s="613"/>
    </row>
    <row r="730245" spans="27:27">
      <c r="AA730245" s="613"/>
    </row>
    <row r="730390" spans="27:27">
      <c r="AA730390" s="613"/>
    </row>
    <row r="730391" spans="27:27">
      <c r="AA730391" s="613"/>
    </row>
    <row r="730536" spans="27:27">
      <c r="AA730536" s="613"/>
    </row>
    <row r="730537" spans="27:27">
      <c r="AA730537" s="613"/>
    </row>
    <row r="730682" spans="27:27">
      <c r="AA730682" s="613"/>
    </row>
    <row r="730683" spans="27:27">
      <c r="AA730683" s="613"/>
    </row>
    <row r="730828" spans="27:27">
      <c r="AA730828" s="613"/>
    </row>
    <row r="730829" spans="27:27">
      <c r="AA730829" s="613"/>
    </row>
    <row r="730974" spans="27:27">
      <c r="AA730974" s="613"/>
    </row>
    <row r="730975" spans="27:27">
      <c r="AA730975" s="613"/>
    </row>
    <row r="731120" spans="27:27">
      <c r="AA731120" s="613"/>
    </row>
    <row r="731121" spans="27:27">
      <c r="AA731121" s="613"/>
    </row>
    <row r="731266" spans="27:27">
      <c r="AA731266" s="613"/>
    </row>
    <row r="731267" spans="27:27">
      <c r="AA731267" s="613"/>
    </row>
    <row r="731412" spans="27:27">
      <c r="AA731412" s="613"/>
    </row>
    <row r="731413" spans="27:27">
      <c r="AA731413" s="613"/>
    </row>
    <row r="731558" spans="27:27">
      <c r="AA731558" s="613"/>
    </row>
    <row r="731559" spans="27:27">
      <c r="AA731559" s="613"/>
    </row>
    <row r="731704" spans="27:27">
      <c r="AA731704" s="613"/>
    </row>
    <row r="731705" spans="27:27">
      <c r="AA731705" s="613"/>
    </row>
    <row r="731850" spans="27:27">
      <c r="AA731850" s="613"/>
    </row>
    <row r="731851" spans="27:27">
      <c r="AA731851" s="613"/>
    </row>
    <row r="731996" spans="27:27">
      <c r="AA731996" s="613"/>
    </row>
    <row r="731997" spans="27:27">
      <c r="AA731997" s="613"/>
    </row>
    <row r="732142" spans="27:27">
      <c r="AA732142" s="613"/>
    </row>
    <row r="732143" spans="27:27">
      <c r="AA732143" s="613"/>
    </row>
    <row r="732288" spans="27:27">
      <c r="AA732288" s="613"/>
    </row>
    <row r="732289" spans="27:27">
      <c r="AA732289" s="613"/>
    </row>
    <row r="732434" spans="27:27">
      <c r="AA732434" s="613"/>
    </row>
    <row r="732435" spans="27:27">
      <c r="AA732435" s="613"/>
    </row>
    <row r="732580" spans="27:27">
      <c r="AA732580" s="613"/>
    </row>
    <row r="732581" spans="27:27">
      <c r="AA732581" s="613"/>
    </row>
    <row r="732726" spans="27:27">
      <c r="AA732726" s="613"/>
    </row>
    <row r="732727" spans="27:27">
      <c r="AA732727" s="613"/>
    </row>
    <row r="732872" spans="27:27">
      <c r="AA732872" s="613"/>
    </row>
    <row r="732873" spans="27:27">
      <c r="AA732873" s="613"/>
    </row>
    <row r="733018" spans="27:27">
      <c r="AA733018" s="613"/>
    </row>
    <row r="733019" spans="27:27">
      <c r="AA733019" s="613"/>
    </row>
    <row r="733164" spans="27:27">
      <c r="AA733164" s="613"/>
    </row>
    <row r="733165" spans="27:27">
      <c r="AA733165" s="613"/>
    </row>
    <row r="733310" spans="27:27">
      <c r="AA733310" s="613"/>
    </row>
    <row r="733311" spans="27:27">
      <c r="AA733311" s="613"/>
    </row>
    <row r="733456" spans="27:27">
      <c r="AA733456" s="613"/>
    </row>
    <row r="733457" spans="27:27">
      <c r="AA733457" s="613"/>
    </row>
    <row r="733602" spans="27:27">
      <c r="AA733602" s="613"/>
    </row>
    <row r="733603" spans="27:27">
      <c r="AA733603" s="613"/>
    </row>
    <row r="733748" spans="27:27">
      <c r="AA733748" s="613"/>
    </row>
    <row r="733749" spans="27:27">
      <c r="AA733749" s="613"/>
    </row>
    <row r="733894" spans="27:27">
      <c r="AA733894" s="613"/>
    </row>
    <row r="733895" spans="27:27">
      <c r="AA733895" s="613"/>
    </row>
    <row r="734040" spans="27:27">
      <c r="AA734040" s="613"/>
    </row>
    <row r="734041" spans="27:27">
      <c r="AA734041" s="613"/>
    </row>
    <row r="734186" spans="27:27">
      <c r="AA734186" s="613"/>
    </row>
    <row r="734187" spans="27:27">
      <c r="AA734187" s="613"/>
    </row>
    <row r="734332" spans="27:27">
      <c r="AA734332" s="613"/>
    </row>
    <row r="734333" spans="27:27">
      <c r="AA734333" s="613"/>
    </row>
    <row r="734478" spans="27:27">
      <c r="AA734478" s="613"/>
    </row>
    <row r="734479" spans="27:27">
      <c r="AA734479" s="613"/>
    </row>
    <row r="734624" spans="27:27">
      <c r="AA734624" s="613"/>
    </row>
    <row r="734625" spans="27:27">
      <c r="AA734625" s="613"/>
    </row>
    <row r="734770" spans="27:27">
      <c r="AA734770" s="613"/>
    </row>
    <row r="734771" spans="27:27">
      <c r="AA734771" s="613"/>
    </row>
    <row r="734916" spans="27:27">
      <c r="AA734916" s="613"/>
    </row>
    <row r="734917" spans="27:27">
      <c r="AA734917" s="613"/>
    </row>
    <row r="735062" spans="27:27">
      <c r="AA735062" s="613"/>
    </row>
    <row r="735063" spans="27:27">
      <c r="AA735063" s="613"/>
    </row>
    <row r="735208" spans="27:27">
      <c r="AA735208" s="613"/>
    </row>
    <row r="735209" spans="27:27">
      <c r="AA735209" s="613"/>
    </row>
    <row r="735354" spans="27:27">
      <c r="AA735354" s="613"/>
    </row>
    <row r="735355" spans="27:27">
      <c r="AA735355" s="613"/>
    </row>
    <row r="735500" spans="27:27">
      <c r="AA735500" s="613"/>
    </row>
    <row r="735501" spans="27:27">
      <c r="AA735501" s="613"/>
    </row>
    <row r="735646" spans="27:27">
      <c r="AA735646" s="613"/>
    </row>
    <row r="735647" spans="27:27">
      <c r="AA735647" s="613"/>
    </row>
    <row r="735792" spans="27:27">
      <c r="AA735792" s="613"/>
    </row>
    <row r="735793" spans="27:27">
      <c r="AA735793" s="613"/>
    </row>
    <row r="735938" spans="27:27">
      <c r="AA735938" s="613"/>
    </row>
    <row r="735939" spans="27:27">
      <c r="AA735939" s="613"/>
    </row>
    <row r="736084" spans="27:27">
      <c r="AA736084" s="613"/>
    </row>
    <row r="736085" spans="27:27">
      <c r="AA736085" s="613"/>
    </row>
    <row r="736230" spans="27:27">
      <c r="AA736230" s="613"/>
    </row>
    <row r="736231" spans="27:27">
      <c r="AA736231" s="613"/>
    </row>
    <row r="736376" spans="27:27">
      <c r="AA736376" s="613"/>
    </row>
    <row r="736377" spans="27:27">
      <c r="AA736377" s="613"/>
    </row>
    <row r="736522" spans="27:27">
      <c r="AA736522" s="613"/>
    </row>
    <row r="736523" spans="27:27">
      <c r="AA736523" s="613"/>
    </row>
    <row r="736668" spans="27:27">
      <c r="AA736668" s="613"/>
    </row>
    <row r="736669" spans="27:27">
      <c r="AA736669" s="613"/>
    </row>
    <row r="736814" spans="27:27">
      <c r="AA736814" s="613"/>
    </row>
    <row r="736815" spans="27:27">
      <c r="AA736815" s="613"/>
    </row>
    <row r="736960" spans="27:27">
      <c r="AA736960" s="613"/>
    </row>
    <row r="736961" spans="27:27">
      <c r="AA736961" s="613"/>
    </row>
    <row r="737106" spans="27:27">
      <c r="AA737106" s="613"/>
    </row>
    <row r="737107" spans="27:27">
      <c r="AA737107" s="613"/>
    </row>
    <row r="737252" spans="27:27">
      <c r="AA737252" s="613"/>
    </row>
    <row r="737253" spans="27:27">
      <c r="AA737253" s="613"/>
    </row>
    <row r="737398" spans="27:27">
      <c r="AA737398" s="613"/>
    </row>
    <row r="737399" spans="27:27">
      <c r="AA737399" s="613"/>
    </row>
    <row r="737544" spans="27:27">
      <c r="AA737544" s="613"/>
    </row>
    <row r="737545" spans="27:27">
      <c r="AA737545" s="613"/>
    </row>
    <row r="737690" spans="27:27">
      <c r="AA737690" s="613"/>
    </row>
    <row r="737691" spans="27:27">
      <c r="AA737691" s="613"/>
    </row>
    <row r="737836" spans="27:27">
      <c r="AA737836" s="613"/>
    </row>
    <row r="737837" spans="27:27">
      <c r="AA737837" s="613"/>
    </row>
    <row r="737982" spans="27:27">
      <c r="AA737982" s="613"/>
    </row>
    <row r="737983" spans="27:27">
      <c r="AA737983" s="613"/>
    </row>
    <row r="738128" spans="27:27">
      <c r="AA738128" s="613"/>
    </row>
    <row r="738129" spans="27:27">
      <c r="AA738129" s="613"/>
    </row>
    <row r="738274" spans="27:27">
      <c r="AA738274" s="613"/>
    </row>
    <row r="738275" spans="27:27">
      <c r="AA738275" s="613"/>
    </row>
    <row r="738420" spans="27:27">
      <c r="AA738420" s="613"/>
    </row>
    <row r="738421" spans="27:27">
      <c r="AA738421" s="613"/>
    </row>
    <row r="738566" spans="27:27">
      <c r="AA738566" s="613"/>
    </row>
    <row r="738567" spans="27:27">
      <c r="AA738567" s="613"/>
    </row>
    <row r="738712" spans="27:27">
      <c r="AA738712" s="613"/>
    </row>
    <row r="738713" spans="27:27">
      <c r="AA738713" s="613"/>
    </row>
    <row r="738858" spans="27:27">
      <c r="AA738858" s="613"/>
    </row>
    <row r="738859" spans="27:27">
      <c r="AA738859" s="613"/>
    </row>
    <row r="739004" spans="27:27">
      <c r="AA739004" s="613"/>
    </row>
    <row r="739005" spans="27:27">
      <c r="AA739005" s="613"/>
    </row>
    <row r="739150" spans="27:27">
      <c r="AA739150" s="613"/>
    </row>
    <row r="739151" spans="27:27">
      <c r="AA739151" s="613"/>
    </row>
    <row r="739296" spans="27:27">
      <c r="AA739296" s="613"/>
    </row>
    <row r="739297" spans="27:27">
      <c r="AA739297" s="613"/>
    </row>
    <row r="739442" spans="27:27">
      <c r="AA739442" s="613"/>
    </row>
    <row r="739443" spans="27:27">
      <c r="AA739443" s="613"/>
    </row>
    <row r="739588" spans="27:27">
      <c r="AA739588" s="613"/>
    </row>
    <row r="739589" spans="27:27">
      <c r="AA739589" s="613"/>
    </row>
    <row r="739734" spans="27:27">
      <c r="AA739734" s="613"/>
    </row>
    <row r="739735" spans="27:27">
      <c r="AA739735" s="613"/>
    </row>
    <row r="739880" spans="27:27">
      <c r="AA739880" s="613"/>
    </row>
    <row r="739881" spans="27:27">
      <c r="AA739881" s="613"/>
    </row>
    <row r="740026" spans="27:27">
      <c r="AA740026" s="613"/>
    </row>
    <row r="740027" spans="27:27">
      <c r="AA740027" s="613"/>
    </row>
    <row r="740172" spans="27:27">
      <c r="AA740172" s="613"/>
    </row>
    <row r="740173" spans="27:27">
      <c r="AA740173" s="613"/>
    </row>
    <row r="740318" spans="27:27">
      <c r="AA740318" s="613"/>
    </row>
    <row r="740319" spans="27:27">
      <c r="AA740319" s="613"/>
    </row>
    <row r="740464" spans="27:27">
      <c r="AA740464" s="613"/>
    </row>
    <row r="740465" spans="27:27">
      <c r="AA740465" s="613"/>
    </row>
    <row r="740610" spans="27:27">
      <c r="AA740610" s="613"/>
    </row>
    <row r="740611" spans="27:27">
      <c r="AA740611" s="613"/>
    </row>
    <row r="740756" spans="27:27">
      <c r="AA740756" s="613"/>
    </row>
    <row r="740757" spans="27:27">
      <c r="AA740757" s="613"/>
    </row>
    <row r="740902" spans="27:27">
      <c r="AA740902" s="613"/>
    </row>
    <row r="740903" spans="27:27">
      <c r="AA740903" s="613"/>
    </row>
    <row r="741048" spans="27:27">
      <c r="AA741048" s="613"/>
    </row>
    <row r="741049" spans="27:27">
      <c r="AA741049" s="613"/>
    </row>
    <row r="741194" spans="27:27">
      <c r="AA741194" s="613"/>
    </row>
    <row r="741195" spans="27:27">
      <c r="AA741195" s="613"/>
    </row>
    <row r="741340" spans="27:27">
      <c r="AA741340" s="613"/>
    </row>
    <row r="741341" spans="27:27">
      <c r="AA741341" s="613"/>
    </row>
    <row r="741486" spans="27:27">
      <c r="AA741486" s="613"/>
    </row>
    <row r="741487" spans="27:27">
      <c r="AA741487" s="613"/>
    </row>
    <row r="741632" spans="27:27">
      <c r="AA741632" s="613"/>
    </row>
    <row r="741633" spans="27:27">
      <c r="AA741633" s="613"/>
    </row>
    <row r="741778" spans="27:27">
      <c r="AA741778" s="613"/>
    </row>
    <row r="741779" spans="27:27">
      <c r="AA741779" s="613"/>
    </row>
    <row r="741924" spans="27:27">
      <c r="AA741924" s="613"/>
    </row>
    <row r="741925" spans="27:27">
      <c r="AA741925" s="613"/>
    </row>
    <row r="742070" spans="27:27">
      <c r="AA742070" s="613"/>
    </row>
    <row r="742071" spans="27:27">
      <c r="AA742071" s="613"/>
    </row>
    <row r="742216" spans="27:27">
      <c r="AA742216" s="613"/>
    </row>
    <row r="742217" spans="27:27">
      <c r="AA742217" s="613"/>
    </row>
    <row r="742362" spans="27:27">
      <c r="AA742362" s="613"/>
    </row>
    <row r="742363" spans="27:27">
      <c r="AA742363" s="613"/>
    </row>
    <row r="742508" spans="27:27">
      <c r="AA742508" s="613"/>
    </row>
    <row r="742509" spans="27:27">
      <c r="AA742509" s="613"/>
    </row>
    <row r="742654" spans="27:27">
      <c r="AA742654" s="613"/>
    </row>
    <row r="742655" spans="27:27">
      <c r="AA742655" s="613"/>
    </row>
    <row r="742800" spans="27:27">
      <c r="AA742800" s="613"/>
    </row>
    <row r="742801" spans="27:27">
      <c r="AA742801" s="613"/>
    </row>
    <row r="742946" spans="27:27">
      <c r="AA742946" s="613"/>
    </row>
    <row r="742947" spans="27:27">
      <c r="AA742947" s="613"/>
    </row>
    <row r="743092" spans="27:27">
      <c r="AA743092" s="613"/>
    </row>
    <row r="743093" spans="27:27">
      <c r="AA743093" s="613"/>
    </row>
    <row r="743238" spans="27:27">
      <c r="AA743238" s="613"/>
    </row>
    <row r="743239" spans="27:27">
      <c r="AA743239" s="613"/>
    </row>
    <row r="743384" spans="27:27">
      <c r="AA743384" s="613"/>
    </row>
    <row r="743385" spans="27:27">
      <c r="AA743385" s="613"/>
    </row>
    <row r="743530" spans="27:27">
      <c r="AA743530" s="613"/>
    </row>
    <row r="743531" spans="27:27">
      <c r="AA743531" s="613"/>
    </row>
    <row r="743676" spans="27:27">
      <c r="AA743676" s="613"/>
    </row>
    <row r="743677" spans="27:27">
      <c r="AA743677" s="613"/>
    </row>
    <row r="743822" spans="27:27">
      <c r="AA743822" s="613"/>
    </row>
    <row r="743823" spans="27:27">
      <c r="AA743823" s="613"/>
    </row>
    <row r="743968" spans="27:27">
      <c r="AA743968" s="613"/>
    </row>
    <row r="743969" spans="27:27">
      <c r="AA743969" s="613"/>
    </row>
    <row r="744114" spans="27:27">
      <c r="AA744114" s="613"/>
    </row>
    <row r="744115" spans="27:27">
      <c r="AA744115" s="613"/>
    </row>
    <row r="744260" spans="27:27">
      <c r="AA744260" s="613"/>
    </row>
    <row r="744261" spans="27:27">
      <c r="AA744261" s="613"/>
    </row>
    <row r="744406" spans="27:27">
      <c r="AA744406" s="613"/>
    </row>
    <row r="744407" spans="27:27">
      <c r="AA744407" s="613"/>
    </row>
    <row r="744552" spans="27:27">
      <c r="AA744552" s="613"/>
    </row>
    <row r="744553" spans="27:27">
      <c r="AA744553" s="613"/>
    </row>
    <row r="744698" spans="27:27">
      <c r="AA744698" s="613"/>
    </row>
    <row r="744699" spans="27:27">
      <c r="AA744699" s="613"/>
    </row>
    <row r="744844" spans="27:27">
      <c r="AA744844" s="613"/>
    </row>
    <row r="744845" spans="27:27">
      <c r="AA744845" s="613"/>
    </row>
    <row r="744990" spans="27:27">
      <c r="AA744990" s="613"/>
    </row>
    <row r="744991" spans="27:27">
      <c r="AA744991" s="613"/>
    </row>
    <row r="745136" spans="27:27">
      <c r="AA745136" s="613"/>
    </row>
    <row r="745137" spans="27:27">
      <c r="AA745137" s="613"/>
    </row>
    <row r="745282" spans="27:27">
      <c r="AA745282" s="613"/>
    </row>
    <row r="745283" spans="27:27">
      <c r="AA745283" s="613"/>
    </row>
    <row r="745428" spans="27:27">
      <c r="AA745428" s="613"/>
    </row>
    <row r="745429" spans="27:27">
      <c r="AA745429" s="613"/>
    </row>
    <row r="745574" spans="27:27">
      <c r="AA745574" s="613"/>
    </row>
    <row r="745575" spans="27:27">
      <c r="AA745575" s="613"/>
    </row>
    <row r="745720" spans="27:27">
      <c r="AA745720" s="613"/>
    </row>
    <row r="745721" spans="27:27">
      <c r="AA745721" s="613"/>
    </row>
    <row r="745866" spans="27:27">
      <c r="AA745866" s="613"/>
    </row>
    <row r="745867" spans="27:27">
      <c r="AA745867" s="613"/>
    </row>
    <row r="746012" spans="27:27">
      <c r="AA746012" s="613"/>
    </row>
    <row r="746013" spans="27:27">
      <c r="AA746013" s="613"/>
    </row>
    <row r="746158" spans="27:27">
      <c r="AA746158" s="613"/>
    </row>
    <row r="746159" spans="27:27">
      <c r="AA746159" s="613"/>
    </row>
    <row r="746304" spans="27:27">
      <c r="AA746304" s="613"/>
    </row>
    <row r="746305" spans="27:27">
      <c r="AA746305" s="613"/>
    </row>
    <row r="746450" spans="27:27">
      <c r="AA746450" s="613"/>
    </row>
    <row r="746451" spans="27:27">
      <c r="AA746451" s="613"/>
    </row>
    <row r="746596" spans="27:27">
      <c r="AA746596" s="613"/>
    </row>
    <row r="746597" spans="27:27">
      <c r="AA746597" s="613"/>
    </row>
    <row r="746742" spans="27:27">
      <c r="AA746742" s="613"/>
    </row>
    <row r="746743" spans="27:27">
      <c r="AA746743" s="613"/>
    </row>
    <row r="746888" spans="27:27">
      <c r="AA746888" s="613"/>
    </row>
    <row r="746889" spans="27:27">
      <c r="AA746889" s="613"/>
    </row>
    <row r="747034" spans="27:27">
      <c r="AA747034" s="613"/>
    </row>
    <row r="747035" spans="27:27">
      <c r="AA747035" s="613"/>
    </row>
    <row r="747180" spans="27:27">
      <c r="AA747180" s="613"/>
    </row>
    <row r="747181" spans="27:27">
      <c r="AA747181" s="613"/>
    </row>
    <row r="747326" spans="27:27">
      <c r="AA747326" s="613"/>
    </row>
    <row r="747327" spans="27:27">
      <c r="AA747327" s="613"/>
    </row>
    <row r="747472" spans="27:27">
      <c r="AA747472" s="613"/>
    </row>
    <row r="747473" spans="27:27">
      <c r="AA747473" s="613"/>
    </row>
    <row r="747618" spans="27:27">
      <c r="AA747618" s="613"/>
    </row>
    <row r="747619" spans="27:27">
      <c r="AA747619" s="613"/>
    </row>
    <row r="747764" spans="27:27">
      <c r="AA747764" s="613"/>
    </row>
    <row r="747765" spans="27:27">
      <c r="AA747765" s="613"/>
    </row>
    <row r="747910" spans="27:27">
      <c r="AA747910" s="613"/>
    </row>
    <row r="747911" spans="27:27">
      <c r="AA747911" s="613"/>
    </row>
    <row r="748056" spans="27:27">
      <c r="AA748056" s="613"/>
    </row>
    <row r="748057" spans="27:27">
      <c r="AA748057" s="613"/>
    </row>
    <row r="748202" spans="27:27">
      <c r="AA748202" s="613"/>
    </row>
    <row r="748203" spans="27:27">
      <c r="AA748203" s="613"/>
    </row>
    <row r="748348" spans="27:27">
      <c r="AA748348" s="613"/>
    </row>
    <row r="748349" spans="27:27">
      <c r="AA748349" s="613"/>
    </row>
    <row r="748494" spans="27:27">
      <c r="AA748494" s="613"/>
    </row>
    <row r="748495" spans="27:27">
      <c r="AA748495" s="613"/>
    </row>
    <row r="748640" spans="27:27">
      <c r="AA748640" s="613"/>
    </row>
    <row r="748641" spans="27:27">
      <c r="AA748641" s="613"/>
    </row>
    <row r="748786" spans="27:27">
      <c r="AA748786" s="613"/>
    </row>
    <row r="748787" spans="27:27">
      <c r="AA748787" s="613"/>
    </row>
    <row r="748932" spans="27:27">
      <c r="AA748932" s="613"/>
    </row>
    <row r="748933" spans="27:27">
      <c r="AA748933" s="613"/>
    </row>
    <row r="749078" spans="27:27">
      <c r="AA749078" s="613"/>
    </row>
    <row r="749079" spans="27:27">
      <c r="AA749079" s="613"/>
    </row>
    <row r="749224" spans="27:27">
      <c r="AA749224" s="613"/>
    </row>
    <row r="749225" spans="27:27">
      <c r="AA749225" s="613"/>
    </row>
    <row r="749370" spans="27:27">
      <c r="AA749370" s="613"/>
    </row>
    <row r="749371" spans="27:27">
      <c r="AA749371" s="613"/>
    </row>
    <row r="749516" spans="27:27">
      <c r="AA749516" s="613"/>
    </row>
    <row r="749517" spans="27:27">
      <c r="AA749517" s="613"/>
    </row>
    <row r="749662" spans="27:27">
      <c r="AA749662" s="613"/>
    </row>
    <row r="749663" spans="27:27">
      <c r="AA749663" s="613"/>
    </row>
    <row r="749808" spans="27:27">
      <c r="AA749808" s="613"/>
    </row>
    <row r="749809" spans="27:27">
      <c r="AA749809" s="613"/>
    </row>
    <row r="749954" spans="27:27">
      <c r="AA749954" s="613"/>
    </row>
    <row r="749955" spans="27:27">
      <c r="AA749955" s="613"/>
    </row>
    <row r="750100" spans="27:27">
      <c r="AA750100" s="613"/>
    </row>
    <row r="750101" spans="27:27">
      <c r="AA750101" s="613"/>
    </row>
    <row r="750246" spans="27:27">
      <c r="AA750246" s="613"/>
    </row>
    <row r="750247" spans="27:27">
      <c r="AA750247" s="613"/>
    </row>
    <row r="750392" spans="27:27">
      <c r="AA750392" s="613"/>
    </row>
    <row r="750393" spans="27:27">
      <c r="AA750393" s="613"/>
    </row>
    <row r="750538" spans="27:27">
      <c r="AA750538" s="613"/>
    </row>
    <row r="750539" spans="27:27">
      <c r="AA750539" s="613"/>
    </row>
    <row r="750684" spans="27:27">
      <c r="AA750684" s="613"/>
    </row>
    <row r="750685" spans="27:27">
      <c r="AA750685" s="613"/>
    </row>
    <row r="750830" spans="27:27">
      <c r="AA750830" s="613"/>
    </row>
    <row r="750831" spans="27:27">
      <c r="AA750831" s="613"/>
    </row>
    <row r="750976" spans="27:27">
      <c r="AA750976" s="613"/>
    </row>
    <row r="750977" spans="27:27">
      <c r="AA750977" s="613"/>
    </row>
    <row r="751122" spans="27:27">
      <c r="AA751122" s="613"/>
    </row>
    <row r="751123" spans="27:27">
      <c r="AA751123" s="613"/>
    </row>
    <row r="751268" spans="27:27">
      <c r="AA751268" s="613"/>
    </row>
    <row r="751269" spans="27:27">
      <c r="AA751269" s="613"/>
    </row>
    <row r="751414" spans="27:27">
      <c r="AA751414" s="613"/>
    </row>
    <row r="751415" spans="27:27">
      <c r="AA751415" s="613"/>
    </row>
    <row r="751560" spans="27:27">
      <c r="AA751560" s="613"/>
    </row>
    <row r="751561" spans="27:27">
      <c r="AA751561" s="613"/>
    </row>
    <row r="751706" spans="27:27">
      <c r="AA751706" s="613"/>
    </row>
    <row r="751707" spans="27:27">
      <c r="AA751707" s="613"/>
    </row>
    <row r="751852" spans="27:27">
      <c r="AA751852" s="613"/>
    </row>
    <row r="751853" spans="27:27">
      <c r="AA751853" s="613"/>
    </row>
    <row r="751998" spans="27:27">
      <c r="AA751998" s="613"/>
    </row>
    <row r="751999" spans="27:27">
      <c r="AA751999" s="613"/>
    </row>
    <row r="752144" spans="27:27">
      <c r="AA752144" s="613"/>
    </row>
    <row r="752145" spans="27:27">
      <c r="AA752145" s="613"/>
    </row>
    <row r="752290" spans="27:27">
      <c r="AA752290" s="613"/>
    </row>
    <row r="752291" spans="27:27">
      <c r="AA752291" s="613"/>
    </row>
    <row r="752436" spans="27:27">
      <c r="AA752436" s="613"/>
    </row>
    <row r="752437" spans="27:27">
      <c r="AA752437" s="613"/>
    </row>
    <row r="752582" spans="27:27">
      <c r="AA752582" s="613"/>
    </row>
    <row r="752583" spans="27:27">
      <c r="AA752583" s="613"/>
    </row>
    <row r="752728" spans="27:27">
      <c r="AA752728" s="613"/>
    </row>
    <row r="752729" spans="27:27">
      <c r="AA752729" s="613"/>
    </row>
    <row r="752874" spans="27:27">
      <c r="AA752874" s="613"/>
    </row>
    <row r="752875" spans="27:27">
      <c r="AA752875" s="613"/>
    </row>
    <row r="753020" spans="27:27">
      <c r="AA753020" s="613"/>
    </row>
    <row r="753021" spans="27:27">
      <c r="AA753021" s="613"/>
    </row>
    <row r="753166" spans="27:27">
      <c r="AA753166" s="613"/>
    </row>
    <row r="753167" spans="27:27">
      <c r="AA753167" s="613"/>
    </row>
    <row r="753312" spans="27:27">
      <c r="AA753312" s="613"/>
    </row>
    <row r="753313" spans="27:27">
      <c r="AA753313" s="613"/>
    </row>
    <row r="753458" spans="27:27">
      <c r="AA753458" s="613"/>
    </row>
    <row r="753459" spans="27:27">
      <c r="AA753459" s="613"/>
    </row>
    <row r="753604" spans="27:27">
      <c r="AA753604" s="613"/>
    </row>
    <row r="753605" spans="27:27">
      <c r="AA753605" s="613"/>
    </row>
    <row r="753750" spans="27:27">
      <c r="AA753750" s="613"/>
    </row>
    <row r="753751" spans="27:27">
      <c r="AA753751" s="613"/>
    </row>
    <row r="753896" spans="27:27">
      <c r="AA753896" s="613"/>
    </row>
    <row r="753897" spans="27:27">
      <c r="AA753897" s="613"/>
    </row>
    <row r="754042" spans="27:27">
      <c r="AA754042" s="613"/>
    </row>
    <row r="754043" spans="27:27">
      <c r="AA754043" s="613"/>
    </row>
    <row r="754188" spans="27:27">
      <c r="AA754188" s="613"/>
    </row>
    <row r="754189" spans="27:27">
      <c r="AA754189" s="613"/>
    </row>
    <row r="754334" spans="27:27">
      <c r="AA754334" s="613"/>
    </row>
    <row r="754335" spans="27:27">
      <c r="AA754335" s="613"/>
    </row>
    <row r="754480" spans="27:27">
      <c r="AA754480" s="613"/>
    </row>
    <row r="754481" spans="27:27">
      <c r="AA754481" s="613"/>
    </row>
    <row r="754626" spans="27:27">
      <c r="AA754626" s="613"/>
    </row>
    <row r="754627" spans="27:27">
      <c r="AA754627" s="613"/>
    </row>
    <row r="754772" spans="27:27">
      <c r="AA754772" s="613"/>
    </row>
    <row r="754773" spans="27:27">
      <c r="AA754773" s="613"/>
    </row>
    <row r="754918" spans="27:27">
      <c r="AA754918" s="613"/>
    </row>
    <row r="754919" spans="27:27">
      <c r="AA754919" s="613"/>
    </row>
    <row r="755064" spans="27:27">
      <c r="AA755064" s="613"/>
    </row>
    <row r="755065" spans="27:27">
      <c r="AA755065" s="613"/>
    </row>
    <row r="755210" spans="27:27">
      <c r="AA755210" s="613"/>
    </row>
    <row r="755211" spans="27:27">
      <c r="AA755211" s="613"/>
    </row>
    <row r="755356" spans="27:27">
      <c r="AA755356" s="613"/>
    </row>
    <row r="755357" spans="27:27">
      <c r="AA755357" s="613"/>
    </row>
    <row r="755502" spans="27:27">
      <c r="AA755502" s="613"/>
    </row>
    <row r="755503" spans="27:27">
      <c r="AA755503" s="613"/>
    </row>
    <row r="755648" spans="27:27">
      <c r="AA755648" s="613"/>
    </row>
    <row r="755649" spans="27:27">
      <c r="AA755649" s="613"/>
    </row>
    <row r="755794" spans="27:27">
      <c r="AA755794" s="613"/>
    </row>
    <row r="755795" spans="27:27">
      <c r="AA755795" s="613"/>
    </row>
    <row r="755940" spans="27:27">
      <c r="AA755940" s="613"/>
    </row>
    <row r="755941" spans="27:27">
      <c r="AA755941" s="613"/>
    </row>
    <row r="756086" spans="27:27">
      <c r="AA756086" s="613"/>
    </row>
    <row r="756087" spans="27:27">
      <c r="AA756087" s="613"/>
    </row>
    <row r="756232" spans="27:27">
      <c r="AA756232" s="613"/>
    </row>
    <row r="756233" spans="27:27">
      <c r="AA756233" s="613"/>
    </row>
    <row r="756378" spans="27:27">
      <c r="AA756378" s="613"/>
    </row>
    <row r="756379" spans="27:27">
      <c r="AA756379" s="613"/>
    </row>
    <row r="756524" spans="27:27">
      <c r="AA756524" s="613"/>
    </row>
    <row r="756525" spans="27:27">
      <c r="AA756525" s="613"/>
    </row>
    <row r="756670" spans="27:27">
      <c r="AA756670" s="613"/>
    </row>
    <row r="756671" spans="27:27">
      <c r="AA756671" s="613"/>
    </row>
    <row r="756816" spans="27:27">
      <c r="AA756816" s="613"/>
    </row>
    <row r="756817" spans="27:27">
      <c r="AA756817" s="613"/>
    </row>
    <row r="756962" spans="27:27">
      <c r="AA756962" s="613"/>
    </row>
    <row r="756963" spans="27:27">
      <c r="AA756963" s="613"/>
    </row>
    <row r="757108" spans="27:27">
      <c r="AA757108" s="613"/>
    </row>
    <row r="757109" spans="27:27">
      <c r="AA757109" s="613"/>
    </row>
    <row r="757254" spans="27:27">
      <c r="AA757254" s="613"/>
    </row>
    <row r="757255" spans="27:27">
      <c r="AA757255" s="613"/>
    </row>
    <row r="757400" spans="27:27">
      <c r="AA757400" s="613"/>
    </row>
    <row r="757401" spans="27:27">
      <c r="AA757401" s="613"/>
    </row>
    <row r="757546" spans="27:27">
      <c r="AA757546" s="613"/>
    </row>
    <row r="757547" spans="27:27">
      <c r="AA757547" s="613"/>
    </row>
    <row r="757692" spans="27:27">
      <c r="AA757692" s="613"/>
    </row>
    <row r="757693" spans="27:27">
      <c r="AA757693" s="613"/>
    </row>
    <row r="757838" spans="27:27">
      <c r="AA757838" s="613"/>
    </row>
    <row r="757839" spans="27:27">
      <c r="AA757839" s="613"/>
    </row>
    <row r="757984" spans="27:27">
      <c r="AA757984" s="613"/>
    </row>
    <row r="757985" spans="27:27">
      <c r="AA757985" s="613"/>
    </row>
    <row r="758130" spans="27:27">
      <c r="AA758130" s="613"/>
    </row>
    <row r="758131" spans="27:27">
      <c r="AA758131" s="613"/>
    </row>
    <row r="758276" spans="27:27">
      <c r="AA758276" s="613"/>
    </row>
    <row r="758277" spans="27:27">
      <c r="AA758277" s="613"/>
    </row>
    <row r="758422" spans="27:27">
      <c r="AA758422" s="613"/>
    </row>
    <row r="758423" spans="27:27">
      <c r="AA758423" s="613"/>
    </row>
    <row r="758568" spans="27:27">
      <c r="AA758568" s="613"/>
    </row>
    <row r="758569" spans="27:27">
      <c r="AA758569" s="613"/>
    </row>
    <row r="758714" spans="27:27">
      <c r="AA758714" s="613"/>
    </row>
    <row r="758715" spans="27:27">
      <c r="AA758715" s="613"/>
    </row>
    <row r="758860" spans="27:27">
      <c r="AA758860" s="613"/>
    </row>
    <row r="758861" spans="27:27">
      <c r="AA758861" s="613"/>
    </row>
    <row r="759006" spans="27:27">
      <c r="AA759006" s="613"/>
    </row>
    <row r="759007" spans="27:27">
      <c r="AA759007" s="613"/>
    </row>
    <row r="759152" spans="27:27">
      <c r="AA759152" s="613"/>
    </row>
    <row r="759153" spans="27:27">
      <c r="AA759153" s="613"/>
    </row>
    <row r="759298" spans="27:27">
      <c r="AA759298" s="613"/>
    </row>
    <row r="759299" spans="27:27">
      <c r="AA759299" s="613"/>
    </row>
    <row r="759444" spans="27:27">
      <c r="AA759444" s="613"/>
    </row>
    <row r="759445" spans="27:27">
      <c r="AA759445" s="613"/>
    </row>
    <row r="759590" spans="27:27">
      <c r="AA759590" s="613"/>
    </row>
    <row r="759591" spans="27:27">
      <c r="AA759591" s="613"/>
    </row>
    <row r="759736" spans="27:27">
      <c r="AA759736" s="613"/>
    </row>
    <row r="759737" spans="27:27">
      <c r="AA759737" s="613"/>
    </row>
    <row r="759882" spans="27:27">
      <c r="AA759882" s="613"/>
    </row>
    <row r="759883" spans="27:27">
      <c r="AA759883" s="613"/>
    </row>
    <row r="760028" spans="27:27">
      <c r="AA760028" s="613"/>
    </row>
    <row r="760029" spans="27:27">
      <c r="AA760029" s="613"/>
    </row>
    <row r="760174" spans="27:27">
      <c r="AA760174" s="613"/>
    </row>
    <row r="760175" spans="27:27">
      <c r="AA760175" s="613"/>
    </row>
    <row r="760320" spans="27:27">
      <c r="AA760320" s="613"/>
    </row>
    <row r="760321" spans="27:27">
      <c r="AA760321" s="613"/>
    </row>
    <row r="760466" spans="27:27">
      <c r="AA760466" s="613"/>
    </row>
    <row r="760467" spans="27:27">
      <c r="AA760467" s="613"/>
    </row>
    <row r="760612" spans="27:27">
      <c r="AA760612" s="613"/>
    </row>
    <row r="760613" spans="27:27">
      <c r="AA760613" s="613"/>
    </row>
    <row r="760758" spans="27:27">
      <c r="AA760758" s="613"/>
    </row>
    <row r="760759" spans="27:27">
      <c r="AA760759" s="613"/>
    </row>
    <row r="760904" spans="27:27">
      <c r="AA760904" s="613"/>
    </row>
    <row r="760905" spans="27:27">
      <c r="AA760905" s="613"/>
    </row>
    <row r="761050" spans="27:27">
      <c r="AA761050" s="613"/>
    </row>
    <row r="761051" spans="27:27">
      <c r="AA761051" s="613"/>
    </row>
    <row r="761196" spans="27:27">
      <c r="AA761196" s="613"/>
    </row>
    <row r="761197" spans="27:27">
      <c r="AA761197" s="613"/>
    </row>
    <row r="761342" spans="27:27">
      <c r="AA761342" s="613"/>
    </row>
    <row r="761343" spans="27:27">
      <c r="AA761343" s="613"/>
    </row>
    <row r="761488" spans="27:27">
      <c r="AA761488" s="613"/>
    </row>
    <row r="761489" spans="27:27">
      <c r="AA761489" s="613"/>
    </row>
    <row r="761634" spans="27:27">
      <c r="AA761634" s="613"/>
    </row>
    <row r="761635" spans="27:27">
      <c r="AA761635" s="613"/>
    </row>
    <row r="761780" spans="27:27">
      <c r="AA761780" s="613"/>
    </row>
    <row r="761781" spans="27:27">
      <c r="AA761781" s="613"/>
    </row>
    <row r="761926" spans="27:27">
      <c r="AA761926" s="613"/>
    </row>
    <row r="761927" spans="27:27">
      <c r="AA761927" s="613"/>
    </row>
    <row r="762072" spans="27:27">
      <c r="AA762072" s="613"/>
    </row>
    <row r="762073" spans="27:27">
      <c r="AA762073" s="613"/>
    </row>
    <row r="762218" spans="27:27">
      <c r="AA762218" s="613"/>
    </row>
    <row r="762219" spans="27:27">
      <c r="AA762219" s="613"/>
    </row>
    <row r="762364" spans="27:27">
      <c r="AA762364" s="613"/>
    </row>
    <row r="762365" spans="27:27">
      <c r="AA762365" s="613"/>
    </row>
    <row r="762510" spans="27:27">
      <c r="AA762510" s="613"/>
    </row>
    <row r="762511" spans="27:27">
      <c r="AA762511" s="613"/>
    </row>
    <row r="762656" spans="27:27">
      <c r="AA762656" s="613"/>
    </row>
    <row r="762657" spans="27:27">
      <c r="AA762657" s="613"/>
    </row>
    <row r="762802" spans="27:27">
      <c r="AA762802" s="613"/>
    </row>
    <row r="762803" spans="27:27">
      <c r="AA762803" s="613"/>
    </row>
    <row r="762948" spans="27:27">
      <c r="AA762948" s="613"/>
    </row>
    <row r="762949" spans="27:27">
      <c r="AA762949" s="613"/>
    </row>
    <row r="763094" spans="27:27">
      <c r="AA763094" s="613"/>
    </row>
    <row r="763095" spans="27:27">
      <c r="AA763095" s="613"/>
    </row>
    <row r="763240" spans="27:27">
      <c r="AA763240" s="613"/>
    </row>
    <row r="763241" spans="27:27">
      <c r="AA763241" s="613"/>
    </row>
    <row r="763386" spans="27:27">
      <c r="AA763386" s="613"/>
    </row>
    <row r="763387" spans="27:27">
      <c r="AA763387" s="613"/>
    </row>
    <row r="763532" spans="27:27">
      <c r="AA763532" s="613"/>
    </row>
    <row r="763533" spans="27:27">
      <c r="AA763533" s="613"/>
    </row>
    <row r="763678" spans="27:27">
      <c r="AA763678" s="613"/>
    </row>
    <row r="763679" spans="27:27">
      <c r="AA763679" s="613"/>
    </row>
    <row r="763824" spans="27:27">
      <c r="AA763824" s="613"/>
    </row>
    <row r="763825" spans="27:27">
      <c r="AA763825" s="613"/>
    </row>
    <row r="763970" spans="27:27">
      <c r="AA763970" s="613"/>
    </row>
    <row r="763971" spans="27:27">
      <c r="AA763971" s="613"/>
    </row>
    <row r="764116" spans="27:27">
      <c r="AA764116" s="613"/>
    </row>
    <row r="764117" spans="27:27">
      <c r="AA764117" s="613"/>
    </row>
    <row r="764262" spans="27:27">
      <c r="AA764262" s="613"/>
    </row>
    <row r="764263" spans="27:27">
      <c r="AA764263" s="613"/>
    </row>
    <row r="764408" spans="27:27">
      <c r="AA764408" s="613"/>
    </row>
    <row r="764409" spans="27:27">
      <c r="AA764409" s="613"/>
    </row>
    <row r="764554" spans="27:27">
      <c r="AA764554" s="613"/>
    </row>
    <row r="764555" spans="27:27">
      <c r="AA764555" s="613"/>
    </row>
    <row r="764700" spans="27:27">
      <c r="AA764700" s="613"/>
    </row>
    <row r="764701" spans="27:27">
      <c r="AA764701" s="613"/>
    </row>
    <row r="764846" spans="27:27">
      <c r="AA764846" s="613"/>
    </row>
    <row r="764847" spans="27:27">
      <c r="AA764847" s="613"/>
    </row>
    <row r="764992" spans="27:27">
      <c r="AA764992" s="613"/>
    </row>
    <row r="764993" spans="27:27">
      <c r="AA764993" s="613"/>
    </row>
    <row r="765138" spans="27:27">
      <c r="AA765138" s="613"/>
    </row>
    <row r="765139" spans="27:27">
      <c r="AA765139" s="613"/>
    </row>
    <row r="765284" spans="27:27">
      <c r="AA765284" s="613"/>
    </row>
    <row r="765285" spans="27:27">
      <c r="AA765285" s="613"/>
    </row>
    <row r="765430" spans="27:27">
      <c r="AA765430" s="613"/>
    </row>
    <row r="765431" spans="27:27">
      <c r="AA765431" s="613"/>
    </row>
    <row r="765576" spans="27:27">
      <c r="AA765576" s="613"/>
    </row>
    <row r="765577" spans="27:27">
      <c r="AA765577" s="613"/>
    </row>
    <row r="765722" spans="27:27">
      <c r="AA765722" s="613"/>
    </row>
    <row r="765723" spans="27:27">
      <c r="AA765723" s="613"/>
    </row>
    <row r="765868" spans="27:27">
      <c r="AA765868" s="613"/>
    </row>
    <row r="765869" spans="27:27">
      <c r="AA765869" s="613"/>
    </row>
    <row r="766014" spans="27:27">
      <c r="AA766014" s="613"/>
    </row>
    <row r="766015" spans="27:27">
      <c r="AA766015" s="613"/>
    </row>
    <row r="766160" spans="27:27">
      <c r="AA766160" s="613"/>
    </row>
    <row r="766161" spans="27:27">
      <c r="AA766161" s="613"/>
    </row>
    <row r="766306" spans="27:27">
      <c r="AA766306" s="613"/>
    </row>
    <row r="766307" spans="27:27">
      <c r="AA766307" s="613"/>
    </row>
    <row r="766452" spans="27:27">
      <c r="AA766452" s="613"/>
    </row>
    <row r="766453" spans="27:27">
      <c r="AA766453" s="613"/>
    </row>
    <row r="766598" spans="27:27">
      <c r="AA766598" s="613"/>
    </row>
    <row r="766599" spans="27:27">
      <c r="AA766599" s="613"/>
    </row>
    <row r="766744" spans="27:27">
      <c r="AA766744" s="613"/>
    </row>
    <row r="766745" spans="27:27">
      <c r="AA766745" s="613"/>
    </row>
    <row r="766890" spans="27:27">
      <c r="AA766890" s="613"/>
    </row>
    <row r="766891" spans="27:27">
      <c r="AA766891" s="613"/>
    </row>
    <row r="767036" spans="27:27">
      <c r="AA767036" s="613"/>
    </row>
    <row r="767037" spans="27:27">
      <c r="AA767037" s="613"/>
    </row>
    <row r="767182" spans="27:27">
      <c r="AA767182" s="613"/>
    </row>
    <row r="767183" spans="27:27">
      <c r="AA767183" s="613"/>
    </row>
    <row r="767328" spans="27:27">
      <c r="AA767328" s="613"/>
    </row>
    <row r="767329" spans="27:27">
      <c r="AA767329" s="613"/>
    </row>
    <row r="767474" spans="27:27">
      <c r="AA767474" s="613"/>
    </row>
    <row r="767475" spans="27:27">
      <c r="AA767475" s="613"/>
    </row>
    <row r="767620" spans="27:27">
      <c r="AA767620" s="613"/>
    </row>
    <row r="767621" spans="27:27">
      <c r="AA767621" s="613"/>
    </row>
    <row r="767766" spans="27:27">
      <c r="AA767766" s="613"/>
    </row>
    <row r="767767" spans="27:27">
      <c r="AA767767" s="613"/>
    </row>
    <row r="767912" spans="27:27">
      <c r="AA767912" s="613"/>
    </row>
    <row r="767913" spans="27:27">
      <c r="AA767913" s="613"/>
    </row>
    <row r="768058" spans="27:27">
      <c r="AA768058" s="613"/>
    </row>
    <row r="768059" spans="27:27">
      <c r="AA768059" s="613"/>
    </row>
    <row r="768204" spans="27:27">
      <c r="AA768204" s="613"/>
    </row>
    <row r="768205" spans="27:27">
      <c r="AA768205" s="613"/>
    </row>
    <row r="768350" spans="27:27">
      <c r="AA768350" s="613"/>
    </row>
    <row r="768351" spans="27:27">
      <c r="AA768351" s="613"/>
    </row>
    <row r="768496" spans="27:27">
      <c r="AA768496" s="613"/>
    </row>
    <row r="768497" spans="27:27">
      <c r="AA768497" s="613"/>
    </row>
    <row r="768642" spans="27:27">
      <c r="AA768642" s="613"/>
    </row>
    <row r="768643" spans="27:27">
      <c r="AA768643" s="613"/>
    </row>
    <row r="768788" spans="27:27">
      <c r="AA768788" s="613"/>
    </row>
    <row r="768789" spans="27:27">
      <c r="AA768789" s="613"/>
    </row>
    <row r="768934" spans="27:27">
      <c r="AA768934" s="613"/>
    </row>
    <row r="768935" spans="27:27">
      <c r="AA768935" s="613"/>
    </row>
    <row r="769080" spans="27:27">
      <c r="AA769080" s="613"/>
    </row>
    <row r="769081" spans="27:27">
      <c r="AA769081" s="613"/>
    </row>
    <row r="769226" spans="27:27">
      <c r="AA769226" s="613"/>
    </row>
    <row r="769227" spans="27:27">
      <c r="AA769227" s="613"/>
    </row>
    <row r="769372" spans="27:27">
      <c r="AA769372" s="613"/>
    </row>
    <row r="769373" spans="27:27">
      <c r="AA769373" s="613"/>
    </row>
    <row r="769518" spans="27:27">
      <c r="AA769518" s="613"/>
    </row>
    <row r="769519" spans="27:27">
      <c r="AA769519" s="613"/>
    </row>
    <row r="769664" spans="27:27">
      <c r="AA769664" s="613"/>
    </row>
    <row r="769665" spans="27:27">
      <c r="AA769665" s="613"/>
    </row>
    <row r="769810" spans="27:27">
      <c r="AA769810" s="613"/>
    </row>
    <row r="769811" spans="27:27">
      <c r="AA769811" s="613"/>
    </row>
    <row r="769956" spans="27:27">
      <c r="AA769956" s="613"/>
    </row>
    <row r="769957" spans="27:27">
      <c r="AA769957" s="613"/>
    </row>
    <row r="770102" spans="27:27">
      <c r="AA770102" s="613"/>
    </row>
    <row r="770103" spans="27:27">
      <c r="AA770103" s="613"/>
    </row>
    <row r="770248" spans="27:27">
      <c r="AA770248" s="613"/>
    </row>
    <row r="770249" spans="27:27">
      <c r="AA770249" s="613"/>
    </row>
    <row r="770394" spans="27:27">
      <c r="AA770394" s="613"/>
    </row>
    <row r="770395" spans="27:27">
      <c r="AA770395" s="613"/>
    </row>
    <row r="770540" spans="27:27">
      <c r="AA770540" s="613"/>
    </row>
    <row r="770541" spans="27:27">
      <c r="AA770541" s="613"/>
    </row>
    <row r="770686" spans="27:27">
      <c r="AA770686" s="613"/>
    </row>
    <row r="770687" spans="27:27">
      <c r="AA770687" s="613"/>
    </row>
    <row r="770832" spans="27:27">
      <c r="AA770832" s="613"/>
    </row>
    <row r="770833" spans="27:27">
      <c r="AA770833" s="613"/>
    </row>
    <row r="770978" spans="27:27">
      <c r="AA770978" s="613"/>
    </row>
    <row r="770979" spans="27:27">
      <c r="AA770979" s="613"/>
    </row>
    <row r="771124" spans="27:27">
      <c r="AA771124" s="613"/>
    </row>
    <row r="771125" spans="27:27">
      <c r="AA771125" s="613"/>
    </row>
    <row r="771270" spans="27:27">
      <c r="AA771270" s="613"/>
    </row>
    <row r="771271" spans="27:27">
      <c r="AA771271" s="613"/>
    </row>
    <row r="771416" spans="27:27">
      <c r="AA771416" s="613"/>
    </row>
    <row r="771417" spans="27:27">
      <c r="AA771417" s="613"/>
    </row>
    <row r="771562" spans="27:27">
      <c r="AA771562" s="613"/>
    </row>
    <row r="771563" spans="27:27">
      <c r="AA771563" s="613"/>
    </row>
    <row r="771708" spans="27:27">
      <c r="AA771708" s="613"/>
    </row>
    <row r="771709" spans="27:27">
      <c r="AA771709" s="613"/>
    </row>
    <row r="771854" spans="27:27">
      <c r="AA771854" s="613"/>
    </row>
    <row r="771855" spans="27:27">
      <c r="AA771855" s="613"/>
    </row>
    <row r="772000" spans="27:27">
      <c r="AA772000" s="613"/>
    </row>
    <row r="772001" spans="27:27">
      <c r="AA772001" s="613"/>
    </row>
    <row r="772146" spans="27:27">
      <c r="AA772146" s="613"/>
    </row>
    <row r="772147" spans="27:27">
      <c r="AA772147" s="613"/>
    </row>
    <row r="772292" spans="27:27">
      <c r="AA772292" s="613"/>
    </row>
    <row r="772293" spans="27:27">
      <c r="AA772293" s="613"/>
    </row>
    <row r="772438" spans="27:27">
      <c r="AA772438" s="613"/>
    </row>
    <row r="772439" spans="27:27">
      <c r="AA772439" s="613"/>
    </row>
    <row r="772584" spans="27:27">
      <c r="AA772584" s="613"/>
    </row>
    <row r="772585" spans="27:27">
      <c r="AA772585" s="613"/>
    </row>
    <row r="772730" spans="27:27">
      <c r="AA772730" s="613"/>
    </row>
    <row r="772731" spans="27:27">
      <c r="AA772731" s="613"/>
    </row>
    <row r="772876" spans="27:27">
      <c r="AA772876" s="613"/>
    </row>
    <row r="772877" spans="27:27">
      <c r="AA772877" s="613"/>
    </row>
    <row r="773022" spans="27:27">
      <c r="AA773022" s="613"/>
    </row>
    <row r="773023" spans="27:27">
      <c r="AA773023" s="613"/>
    </row>
    <row r="773168" spans="27:27">
      <c r="AA773168" s="613"/>
    </row>
    <row r="773169" spans="27:27">
      <c r="AA773169" s="613"/>
    </row>
    <row r="773314" spans="27:27">
      <c r="AA773314" s="613"/>
    </row>
    <row r="773315" spans="27:27">
      <c r="AA773315" s="613"/>
    </row>
    <row r="773460" spans="27:27">
      <c r="AA773460" s="613"/>
    </row>
    <row r="773461" spans="27:27">
      <c r="AA773461" s="613"/>
    </row>
    <row r="773606" spans="27:27">
      <c r="AA773606" s="613"/>
    </row>
    <row r="773607" spans="27:27">
      <c r="AA773607" s="613"/>
    </row>
    <row r="773752" spans="27:27">
      <c r="AA773752" s="613"/>
    </row>
    <row r="773753" spans="27:27">
      <c r="AA773753" s="613"/>
    </row>
    <row r="773898" spans="27:27">
      <c r="AA773898" s="613"/>
    </row>
    <row r="773899" spans="27:27">
      <c r="AA773899" s="613"/>
    </row>
    <row r="774044" spans="27:27">
      <c r="AA774044" s="613"/>
    </row>
    <row r="774045" spans="27:27">
      <c r="AA774045" s="613"/>
    </row>
    <row r="774190" spans="27:27">
      <c r="AA774190" s="613"/>
    </row>
    <row r="774191" spans="27:27">
      <c r="AA774191" s="613"/>
    </row>
    <row r="774336" spans="27:27">
      <c r="AA774336" s="613"/>
    </row>
    <row r="774337" spans="27:27">
      <c r="AA774337" s="613"/>
    </row>
    <row r="774482" spans="27:27">
      <c r="AA774482" s="613"/>
    </row>
    <row r="774483" spans="27:27">
      <c r="AA774483" s="613"/>
    </row>
    <row r="774628" spans="27:27">
      <c r="AA774628" s="613"/>
    </row>
    <row r="774629" spans="27:27">
      <c r="AA774629" s="613"/>
    </row>
    <row r="774774" spans="27:27">
      <c r="AA774774" s="613"/>
    </row>
    <row r="774775" spans="27:27">
      <c r="AA774775" s="613"/>
    </row>
    <row r="774920" spans="27:27">
      <c r="AA774920" s="613"/>
    </row>
    <row r="774921" spans="27:27">
      <c r="AA774921" s="613"/>
    </row>
    <row r="775066" spans="27:27">
      <c r="AA775066" s="613"/>
    </row>
    <row r="775067" spans="27:27">
      <c r="AA775067" s="613"/>
    </row>
    <row r="775212" spans="27:27">
      <c r="AA775212" s="613"/>
    </row>
    <row r="775213" spans="27:27">
      <c r="AA775213" s="613"/>
    </row>
    <row r="775358" spans="27:27">
      <c r="AA775358" s="613"/>
    </row>
    <row r="775359" spans="27:27">
      <c r="AA775359" s="613"/>
    </row>
    <row r="775504" spans="27:27">
      <c r="AA775504" s="613"/>
    </row>
    <row r="775505" spans="27:27">
      <c r="AA775505" s="613"/>
    </row>
    <row r="775650" spans="27:27">
      <c r="AA775650" s="613"/>
    </row>
    <row r="775651" spans="27:27">
      <c r="AA775651" s="613"/>
    </row>
    <row r="775796" spans="27:27">
      <c r="AA775796" s="613"/>
    </row>
    <row r="775797" spans="27:27">
      <c r="AA775797" s="613"/>
    </row>
    <row r="775942" spans="27:27">
      <c r="AA775942" s="613"/>
    </row>
    <row r="775943" spans="27:27">
      <c r="AA775943" s="613"/>
    </row>
    <row r="776088" spans="27:27">
      <c r="AA776088" s="613"/>
    </row>
    <row r="776089" spans="27:27">
      <c r="AA776089" s="613"/>
    </row>
    <row r="776234" spans="27:27">
      <c r="AA776234" s="613"/>
    </row>
    <row r="776235" spans="27:27">
      <c r="AA776235" s="613"/>
    </row>
    <row r="776380" spans="27:27">
      <c r="AA776380" s="613"/>
    </row>
    <row r="776381" spans="27:27">
      <c r="AA776381" s="613"/>
    </row>
    <row r="776526" spans="27:27">
      <c r="AA776526" s="613"/>
    </row>
    <row r="776527" spans="27:27">
      <c r="AA776527" s="613"/>
    </row>
    <row r="776672" spans="27:27">
      <c r="AA776672" s="613"/>
    </row>
    <row r="776673" spans="27:27">
      <c r="AA776673" s="613"/>
    </row>
    <row r="776818" spans="27:27">
      <c r="AA776818" s="613"/>
    </row>
    <row r="776819" spans="27:27">
      <c r="AA776819" s="613"/>
    </row>
    <row r="776964" spans="27:27">
      <c r="AA776964" s="613"/>
    </row>
    <row r="776965" spans="27:27">
      <c r="AA776965" s="613"/>
    </row>
    <row r="777110" spans="27:27">
      <c r="AA777110" s="613"/>
    </row>
    <row r="777111" spans="27:27">
      <c r="AA777111" s="613"/>
    </row>
    <row r="777256" spans="27:27">
      <c r="AA777256" s="613"/>
    </row>
    <row r="777257" spans="27:27">
      <c r="AA777257" s="613"/>
    </row>
    <row r="777402" spans="27:27">
      <c r="AA777402" s="613"/>
    </row>
    <row r="777403" spans="27:27">
      <c r="AA777403" s="613"/>
    </row>
    <row r="777548" spans="27:27">
      <c r="AA777548" s="613"/>
    </row>
    <row r="777549" spans="27:27">
      <c r="AA777549" s="613"/>
    </row>
    <row r="777694" spans="27:27">
      <c r="AA777694" s="613"/>
    </row>
    <row r="777695" spans="27:27">
      <c r="AA777695" s="613"/>
    </row>
    <row r="777840" spans="27:27">
      <c r="AA777840" s="613"/>
    </row>
    <row r="777841" spans="27:27">
      <c r="AA777841" s="613"/>
    </row>
    <row r="777986" spans="27:27">
      <c r="AA777986" s="613"/>
    </row>
    <row r="777987" spans="27:27">
      <c r="AA777987" s="613"/>
    </row>
    <row r="778132" spans="27:27">
      <c r="AA778132" s="613"/>
    </row>
    <row r="778133" spans="27:27">
      <c r="AA778133" s="613"/>
    </row>
    <row r="778278" spans="27:27">
      <c r="AA778278" s="613"/>
    </row>
    <row r="778279" spans="27:27">
      <c r="AA778279" s="613"/>
    </row>
    <row r="778424" spans="27:27">
      <c r="AA778424" s="613"/>
    </row>
    <row r="778425" spans="27:27">
      <c r="AA778425" s="613"/>
    </row>
    <row r="778570" spans="27:27">
      <c r="AA778570" s="613"/>
    </row>
    <row r="778571" spans="27:27">
      <c r="AA778571" s="613"/>
    </row>
    <row r="778716" spans="27:27">
      <c r="AA778716" s="613"/>
    </row>
    <row r="778717" spans="27:27">
      <c r="AA778717" s="613"/>
    </row>
    <row r="778862" spans="27:27">
      <c r="AA778862" s="613"/>
    </row>
    <row r="778863" spans="27:27">
      <c r="AA778863" s="613"/>
    </row>
    <row r="779008" spans="27:27">
      <c r="AA779008" s="613"/>
    </row>
    <row r="779009" spans="27:27">
      <c r="AA779009" s="613"/>
    </row>
    <row r="779154" spans="27:27">
      <c r="AA779154" s="613"/>
    </row>
    <row r="779155" spans="27:27">
      <c r="AA779155" s="613"/>
    </row>
    <row r="779300" spans="27:27">
      <c r="AA779300" s="613"/>
    </row>
    <row r="779301" spans="27:27">
      <c r="AA779301" s="613"/>
    </row>
    <row r="779446" spans="27:27">
      <c r="AA779446" s="613"/>
    </row>
    <row r="779447" spans="27:27">
      <c r="AA779447" s="613"/>
    </row>
    <row r="779592" spans="27:27">
      <c r="AA779592" s="613"/>
    </row>
    <row r="779593" spans="27:27">
      <c r="AA779593" s="613"/>
    </row>
    <row r="779738" spans="27:27">
      <c r="AA779738" s="613"/>
    </row>
    <row r="779739" spans="27:27">
      <c r="AA779739" s="613"/>
    </row>
    <row r="779884" spans="27:27">
      <c r="AA779884" s="613"/>
    </row>
    <row r="779885" spans="27:27">
      <c r="AA779885" s="613"/>
    </row>
    <row r="780030" spans="27:27">
      <c r="AA780030" s="613"/>
    </row>
    <row r="780031" spans="27:27">
      <c r="AA780031" s="613"/>
    </row>
    <row r="780176" spans="27:27">
      <c r="AA780176" s="613"/>
    </row>
    <row r="780177" spans="27:27">
      <c r="AA780177" s="613"/>
    </row>
    <row r="780322" spans="27:27">
      <c r="AA780322" s="613"/>
    </row>
    <row r="780323" spans="27:27">
      <c r="AA780323" s="613"/>
    </row>
    <row r="780468" spans="27:27">
      <c r="AA780468" s="613"/>
    </row>
    <row r="780469" spans="27:27">
      <c r="AA780469" s="613"/>
    </row>
    <row r="780614" spans="27:27">
      <c r="AA780614" s="613"/>
    </row>
    <row r="780615" spans="27:27">
      <c r="AA780615" s="613"/>
    </row>
    <row r="780760" spans="27:27">
      <c r="AA780760" s="613"/>
    </row>
    <row r="780761" spans="27:27">
      <c r="AA780761" s="613"/>
    </row>
    <row r="780906" spans="27:27">
      <c r="AA780906" s="613"/>
    </row>
    <row r="780907" spans="27:27">
      <c r="AA780907" s="613"/>
    </row>
    <row r="781052" spans="27:27">
      <c r="AA781052" s="613"/>
    </row>
    <row r="781053" spans="27:27">
      <c r="AA781053" s="613"/>
    </row>
    <row r="781198" spans="27:27">
      <c r="AA781198" s="613"/>
    </row>
    <row r="781199" spans="27:27">
      <c r="AA781199" s="613"/>
    </row>
    <row r="781344" spans="27:27">
      <c r="AA781344" s="613"/>
    </row>
    <row r="781345" spans="27:27">
      <c r="AA781345" s="613"/>
    </row>
    <row r="781490" spans="27:27">
      <c r="AA781490" s="613"/>
    </row>
    <row r="781491" spans="27:27">
      <c r="AA781491" s="613"/>
    </row>
    <row r="781636" spans="27:27">
      <c r="AA781636" s="613"/>
    </row>
    <row r="781637" spans="27:27">
      <c r="AA781637" s="613"/>
    </row>
    <row r="781782" spans="27:27">
      <c r="AA781782" s="613"/>
    </row>
    <row r="781783" spans="27:27">
      <c r="AA781783" s="613"/>
    </row>
    <row r="781928" spans="27:27">
      <c r="AA781928" s="613"/>
    </row>
    <row r="781929" spans="27:27">
      <c r="AA781929" s="613"/>
    </row>
    <row r="782074" spans="27:27">
      <c r="AA782074" s="613"/>
    </row>
    <row r="782075" spans="27:27">
      <c r="AA782075" s="613"/>
    </row>
    <row r="782220" spans="27:27">
      <c r="AA782220" s="613"/>
    </row>
    <row r="782221" spans="27:27">
      <c r="AA782221" s="613"/>
    </row>
    <row r="782366" spans="27:27">
      <c r="AA782366" s="613"/>
    </row>
    <row r="782367" spans="27:27">
      <c r="AA782367" s="613"/>
    </row>
    <row r="782512" spans="27:27">
      <c r="AA782512" s="613"/>
    </row>
    <row r="782513" spans="27:27">
      <c r="AA782513" s="613"/>
    </row>
    <row r="782658" spans="27:27">
      <c r="AA782658" s="613"/>
    </row>
    <row r="782659" spans="27:27">
      <c r="AA782659" s="613"/>
    </row>
    <row r="782804" spans="27:27">
      <c r="AA782804" s="613"/>
    </row>
    <row r="782805" spans="27:27">
      <c r="AA782805" s="613"/>
    </row>
    <row r="782950" spans="27:27">
      <c r="AA782950" s="613"/>
    </row>
    <row r="782951" spans="27:27">
      <c r="AA782951" s="613"/>
    </row>
    <row r="783096" spans="27:27">
      <c r="AA783096" s="613"/>
    </row>
    <row r="783097" spans="27:27">
      <c r="AA783097" s="613"/>
    </row>
    <row r="783242" spans="27:27">
      <c r="AA783242" s="613"/>
    </row>
    <row r="783243" spans="27:27">
      <c r="AA783243" s="613"/>
    </row>
    <row r="783388" spans="27:27">
      <c r="AA783388" s="613"/>
    </row>
    <row r="783389" spans="27:27">
      <c r="AA783389" s="613"/>
    </row>
    <row r="783534" spans="27:27">
      <c r="AA783534" s="613"/>
    </row>
    <row r="783535" spans="27:27">
      <c r="AA783535" s="613"/>
    </row>
    <row r="783680" spans="27:27">
      <c r="AA783680" s="613"/>
    </row>
    <row r="783681" spans="27:27">
      <c r="AA783681" s="613"/>
    </row>
    <row r="783826" spans="27:27">
      <c r="AA783826" s="613"/>
    </row>
    <row r="783827" spans="27:27">
      <c r="AA783827" s="613"/>
    </row>
    <row r="783972" spans="27:27">
      <c r="AA783972" s="613"/>
    </row>
    <row r="783973" spans="27:27">
      <c r="AA783973" s="613"/>
    </row>
    <row r="784118" spans="27:27">
      <c r="AA784118" s="613"/>
    </row>
    <row r="784119" spans="27:27">
      <c r="AA784119" s="613"/>
    </row>
    <row r="784264" spans="27:27">
      <c r="AA784264" s="613"/>
    </row>
    <row r="784265" spans="27:27">
      <c r="AA784265" s="613"/>
    </row>
    <row r="784410" spans="27:27">
      <c r="AA784410" s="613"/>
    </row>
    <row r="784411" spans="27:27">
      <c r="AA784411" s="613"/>
    </row>
    <row r="784556" spans="27:27">
      <c r="AA784556" s="613"/>
    </row>
    <row r="784557" spans="27:27">
      <c r="AA784557" s="613"/>
    </row>
    <row r="784702" spans="27:27">
      <c r="AA784702" s="613"/>
    </row>
    <row r="784703" spans="27:27">
      <c r="AA784703" s="613"/>
    </row>
    <row r="784848" spans="27:27">
      <c r="AA784848" s="613"/>
    </row>
    <row r="784849" spans="27:27">
      <c r="AA784849" s="613"/>
    </row>
    <row r="784994" spans="27:27">
      <c r="AA784994" s="613"/>
    </row>
    <row r="784995" spans="27:27">
      <c r="AA784995" s="613"/>
    </row>
    <row r="785140" spans="27:27">
      <c r="AA785140" s="613"/>
    </row>
    <row r="785141" spans="27:27">
      <c r="AA785141" s="613"/>
    </row>
    <row r="785286" spans="27:27">
      <c r="AA785286" s="613"/>
    </row>
    <row r="785287" spans="27:27">
      <c r="AA785287" s="613"/>
    </row>
    <row r="785432" spans="27:27">
      <c r="AA785432" s="613"/>
    </row>
    <row r="785433" spans="27:27">
      <c r="AA785433" s="613"/>
    </row>
    <row r="785578" spans="27:27">
      <c r="AA785578" s="613"/>
    </row>
    <row r="785579" spans="27:27">
      <c r="AA785579" s="613"/>
    </row>
    <row r="785724" spans="27:27">
      <c r="AA785724" s="613"/>
    </row>
    <row r="785725" spans="27:27">
      <c r="AA785725" s="613"/>
    </row>
    <row r="785870" spans="27:27">
      <c r="AA785870" s="613"/>
    </row>
    <row r="785871" spans="27:27">
      <c r="AA785871" s="613"/>
    </row>
    <row r="786016" spans="27:27">
      <c r="AA786016" s="613"/>
    </row>
    <row r="786017" spans="27:27">
      <c r="AA786017" s="613"/>
    </row>
    <row r="786162" spans="27:27">
      <c r="AA786162" s="613"/>
    </row>
    <row r="786163" spans="27:27">
      <c r="AA786163" s="613"/>
    </row>
    <row r="786308" spans="27:27">
      <c r="AA786308" s="613"/>
    </row>
    <row r="786309" spans="27:27">
      <c r="AA786309" s="613"/>
    </row>
    <row r="786454" spans="27:27">
      <c r="AA786454" s="613"/>
    </row>
    <row r="786455" spans="27:27">
      <c r="AA786455" s="613"/>
    </row>
    <row r="786600" spans="27:27">
      <c r="AA786600" s="613"/>
    </row>
    <row r="786601" spans="27:27">
      <c r="AA786601" s="613"/>
    </row>
    <row r="786746" spans="27:27">
      <c r="AA786746" s="613"/>
    </row>
    <row r="786747" spans="27:27">
      <c r="AA786747" s="613"/>
    </row>
    <row r="786892" spans="27:27">
      <c r="AA786892" s="613"/>
    </row>
    <row r="786893" spans="27:27">
      <c r="AA786893" s="613"/>
    </row>
    <row r="787038" spans="27:27">
      <c r="AA787038" s="613"/>
    </row>
    <row r="787039" spans="27:27">
      <c r="AA787039" s="613"/>
    </row>
    <row r="787184" spans="27:27">
      <c r="AA787184" s="613"/>
    </row>
    <row r="787185" spans="27:27">
      <c r="AA787185" s="613"/>
    </row>
    <row r="787330" spans="27:27">
      <c r="AA787330" s="613"/>
    </row>
    <row r="787331" spans="27:27">
      <c r="AA787331" s="613"/>
    </row>
    <row r="787476" spans="27:27">
      <c r="AA787476" s="613"/>
    </row>
    <row r="787477" spans="27:27">
      <c r="AA787477" s="613"/>
    </row>
    <row r="787622" spans="27:27">
      <c r="AA787622" s="613"/>
    </row>
    <row r="787623" spans="27:27">
      <c r="AA787623" s="613"/>
    </row>
    <row r="787768" spans="27:27">
      <c r="AA787768" s="613"/>
    </row>
    <row r="787769" spans="27:27">
      <c r="AA787769" s="613"/>
    </row>
    <row r="787914" spans="27:27">
      <c r="AA787914" s="613"/>
    </row>
    <row r="787915" spans="27:27">
      <c r="AA787915" s="613"/>
    </row>
    <row r="788060" spans="27:27">
      <c r="AA788060" s="613"/>
    </row>
    <row r="788061" spans="27:27">
      <c r="AA788061" s="613"/>
    </row>
    <row r="788206" spans="27:27">
      <c r="AA788206" s="613"/>
    </row>
    <row r="788207" spans="27:27">
      <c r="AA788207" s="613"/>
    </row>
    <row r="788352" spans="27:27">
      <c r="AA788352" s="613"/>
    </row>
    <row r="788353" spans="27:27">
      <c r="AA788353" s="613"/>
    </row>
    <row r="788498" spans="27:27">
      <c r="AA788498" s="613"/>
    </row>
    <row r="788499" spans="27:27">
      <c r="AA788499" s="613"/>
    </row>
    <row r="788644" spans="27:27">
      <c r="AA788644" s="613"/>
    </row>
    <row r="788645" spans="27:27">
      <c r="AA788645" s="613"/>
    </row>
    <row r="788790" spans="27:27">
      <c r="AA788790" s="613"/>
    </row>
    <row r="788791" spans="27:27">
      <c r="AA788791" s="613"/>
    </row>
    <row r="788936" spans="27:27">
      <c r="AA788936" s="613"/>
    </row>
    <row r="788937" spans="27:27">
      <c r="AA788937" s="613"/>
    </row>
    <row r="789082" spans="27:27">
      <c r="AA789082" s="613"/>
    </row>
    <row r="789083" spans="27:27">
      <c r="AA789083" s="613"/>
    </row>
    <row r="789228" spans="27:27">
      <c r="AA789228" s="613"/>
    </row>
    <row r="789229" spans="27:27">
      <c r="AA789229" s="613"/>
    </row>
    <row r="789374" spans="27:27">
      <c r="AA789374" s="613"/>
    </row>
    <row r="789375" spans="27:27">
      <c r="AA789375" s="613"/>
    </row>
    <row r="789520" spans="27:27">
      <c r="AA789520" s="613"/>
    </row>
    <row r="789521" spans="27:27">
      <c r="AA789521" s="613"/>
    </row>
    <row r="789666" spans="27:27">
      <c r="AA789666" s="613"/>
    </row>
    <row r="789667" spans="27:27">
      <c r="AA789667" s="613"/>
    </row>
    <row r="789812" spans="27:27">
      <c r="AA789812" s="613"/>
    </row>
    <row r="789813" spans="27:27">
      <c r="AA789813" s="613"/>
    </row>
    <row r="789958" spans="27:27">
      <c r="AA789958" s="613"/>
    </row>
    <row r="789959" spans="27:27">
      <c r="AA789959" s="613"/>
    </row>
    <row r="790104" spans="27:27">
      <c r="AA790104" s="613"/>
    </row>
    <row r="790105" spans="27:27">
      <c r="AA790105" s="613"/>
    </row>
    <row r="790250" spans="27:27">
      <c r="AA790250" s="613"/>
    </row>
    <row r="790251" spans="27:27">
      <c r="AA790251" s="613"/>
    </row>
    <row r="790396" spans="27:27">
      <c r="AA790396" s="613"/>
    </row>
    <row r="790397" spans="27:27">
      <c r="AA790397" s="613"/>
    </row>
    <row r="790542" spans="27:27">
      <c r="AA790542" s="613"/>
    </row>
    <row r="790543" spans="27:27">
      <c r="AA790543" s="613"/>
    </row>
    <row r="790688" spans="27:27">
      <c r="AA790688" s="613"/>
    </row>
    <row r="790689" spans="27:27">
      <c r="AA790689" s="613"/>
    </row>
    <row r="790834" spans="27:27">
      <c r="AA790834" s="613"/>
    </row>
    <row r="790835" spans="27:27">
      <c r="AA790835" s="613"/>
    </row>
    <row r="790980" spans="27:27">
      <c r="AA790980" s="613"/>
    </row>
    <row r="790981" spans="27:27">
      <c r="AA790981" s="613"/>
    </row>
    <row r="791126" spans="27:27">
      <c r="AA791126" s="613"/>
    </row>
    <row r="791127" spans="27:27">
      <c r="AA791127" s="613"/>
    </row>
    <row r="791272" spans="27:27">
      <c r="AA791272" s="613"/>
    </row>
    <row r="791273" spans="27:27">
      <c r="AA791273" s="613"/>
    </row>
    <row r="791418" spans="27:27">
      <c r="AA791418" s="613"/>
    </row>
    <row r="791419" spans="27:27">
      <c r="AA791419" s="613"/>
    </row>
    <row r="791564" spans="27:27">
      <c r="AA791564" s="613"/>
    </row>
    <row r="791565" spans="27:27">
      <c r="AA791565" s="613"/>
    </row>
    <row r="791710" spans="27:27">
      <c r="AA791710" s="613"/>
    </row>
    <row r="791711" spans="27:27">
      <c r="AA791711" s="613"/>
    </row>
    <row r="791856" spans="27:27">
      <c r="AA791856" s="613"/>
    </row>
    <row r="791857" spans="27:27">
      <c r="AA791857" s="613"/>
    </row>
    <row r="792002" spans="27:27">
      <c r="AA792002" s="613"/>
    </row>
    <row r="792003" spans="27:27">
      <c r="AA792003" s="613"/>
    </row>
    <row r="792148" spans="27:27">
      <c r="AA792148" s="613"/>
    </row>
    <row r="792149" spans="27:27">
      <c r="AA792149" s="613"/>
    </row>
    <row r="792294" spans="27:27">
      <c r="AA792294" s="613"/>
    </row>
    <row r="792295" spans="27:27">
      <c r="AA792295" s="613"/>
    </row>
    <row r="792440" spans="27:27">
      <c r="AA792440" s="613"/>
    </row>
    <row r="792441" spans="27:27">
      <c r="AA792441" s="613"/>
    </row>
    <row r="792586" spans="27:27">
      <c r="AA792586" s="613"/>
    </row>
    <row r="792587" spans="27:27">
      <c r="AA792587" s="613"/>
    </row>
    <row r="792732" spans="27:27">
      <c r="AA792732" s="613"/>
    </row>
    <row r="792733" spans="27:27">
      <c r="AA792733" s="613"/>
    </row>
    <row r="792878" spans="27:27">
      <c r="AA792878" s="613"/>
    </row>
    <row r="792879" spans="27:27">
      <c r="AA792879" s="613"/>
    </row>
    <row r="793024" spans="27:27">
      <c r="AA793024" s="613"/>
    </row>
    <row r="793025" spans="27:27">
      <c r="AA793025" s="613"/>
    </row>
    <row r="793170" spans="27:27">
      <c r="AA793170" s="613"/>
    </row>
    <row r="793171" spans="27:27">
      <c r="AA793171" s="613"/>
    </row>
    <row r="793316" spans="27:27">
      <c r="AA793316" s="613"/>
    </row>
    <row r="793317" spans="27:27">
      <c r="AA793317" s="613"/>
    </row>
    <row r="793462" spans="27:27">
      <c r="AA793462" s="613"/>
    </row>
    <row r="793463" spans="27:27">
      <c r="AA793463" s="613"/>
    </row>
    <row r="793608" spans="27:27">
      <c r="AA793608" s="613"/>
    </row>
    <row r="793609" spans="27:27">
      <c r="AA793609" s="613"/>
    </row>
    <row r="793754" spans="27:27">
      <c r="AA793754" s="613"/>
    </row>
    <row r="793755" spans="27:27">
      <c r="AA793755" s="613"/>
    </row>
    <row r="793900" spans="27:27">
      <c r="AA793900" s="613"/>
    </row>
    <row r="793901" spans="27:27">
      <c r="AA793901" s="613"/>
    </row>
    <row r="794046" spans="27:27">
      <c r="AA794046" s="613"/>
    </row>
    <row r="794047" spans="27:27">
      <c r="AA794047" s="613"/>
    </row>
    <row r="794192" spans="27:27">
      <c r="AA794192" s="613"/>
    </row>
    <row r="794193" spans="27:27">
      <c r="AA794193" s="613"/>
    </row>
    <row r="794338" spans="27:27">
      <c r="AA794338" s="613"/>
    </row>
    <row r="794339" spans="27:27">
      <c r="AA794339" s="613"/>
    </row>
    <row r="794484" spans="27:27">
      <c r="AA794484" s="613"/>
    </row>
    <row r="794485" spans="27:27">
      <c r="AA794485" s="613"/>
    </row>
    <row r="794630" spans="27:27">
      <c r="AA794630" s="613"/>
    </row>
    <row r="794631" spans="27:27">
      <c r="AA794631" s="613"/>
    </row>
    <row r="794776" spans="27:27">
      <c r="AA794776" s="613"/>
    </row>
    <row r="794777" spans="27:27">
      <c r="AA794777" s="613"/>
    </row>
    <row r="794922" spans="27:27">
      <c r="AA794922" s="613"/>
    </row>
    <row r="794923" spans="27:27">
      <c r="AA794923" s="613"/>
    </row>
    <row r="795068" spans="27:27">
      <c r="AA795068" s="613"/>
    </row>
    <row r="795069" spans="27:27">
      <c r="AA795069" s="613"/>
    </row>
    <row r="795214" spans="27:27">
      <c r="AA795214" s="613"/>
    </row>
    <row r="795215" spans="27:27">
      <c r="AA795215" s="613"/>
    </row>
    <row r="795360" spans="27:27">
      <c r="AA795360" s="613"/>
    </row>
    <row r="795361" spans="27:27">
      <c r="AA795361" s="613"/>
    </row>
    <row r="795506" spans="27:27">
      <c r="AA795506" s="613"/>
    </row>
    <row r="795507" spans="27:27">
      <c r="AA795507" s="613"/>
    </row>
    <row r="795652" spans="27:27">
      <c r="AA795652" s="613"/>
    </row>
    <row r="795653" spans="27:27">
      <c r="AA795653" s="613"/>
    </row>
    <row r="795798" spans="27:27">
      <c r="AA795798" s="613"/>
    </row>
    <row r="795799" spans="27:27">
      <c r="AA795799" s="613"/>
    </row>
    <row r="795944" spans="27:27">
      <c r="AA795944" s="613"/>
    </row>
    <row r="795945" spans="27:27">
      <c r="AA795945" s="613"/>
    </row>
    <row r="796090" spans="27:27">
      <c r="AA796090" s="613"/>
    </row>
    <row r="796091" spans="27:27">
      <c r="AA796091" s="613"/>
    </row>
    <row r="796236" spans="27:27">
      <c r="AA796236" s="613"/>
    </row>
    <row r="796237" spans="27:27">
      <c r="AA796237" s="613"/>
    </row>
    <row r="796382" spans="27:27">
      <c r="AA796382" s="613"/>
    </row>
    <row r="796383" spans="27:27">
      <c r="AA796383" s="613"/>
    </row>
    <row r="796528" spans="27:27">
      <c r="AA796528" s="613"/>
    </row>
    <row r="796529" spans="27:27">
      <c r="AA796529" s="613"/>
    </row>
    <row r="796674" spans="27:27">
      <c r="AA796674" s="613"/>
    </row>
    <row r="796675" spans="27:27">
      <c r="AA796675" s="613"/>
    </row>
    <row r="796820" spans="27:27">
      <c r="AA796820" s="613"/>
    </row>
    <row r="796821" spans="27:27">
      <c r="AA796821" s="613"/>
    </row>
    <row r="796966" spans="27:27">
      <c r="AA796966" s="613"/>
    </row>
    <row r="796967" spans="27:27">
      <c r="AA796967" s="613"/>
    </row>
    <row r="797112" spans="27:27">
      <c r="AA797112" s="613"/>
    </row>
    <row r="797113" spans="27:27">
      <c r="AA797113" s="613"/>
    </row>
    <row r="797258" spans="27:27">
      <c r="AA797258" s="613"/>
    </row>
    <row r="797259" spans="27:27">
      <c r="AA797259" s="613"/>
    </row>
    <row r="797404" spans="27:27">
      <c r="AA797404" s="613"/>
    </row>
    <row r="797405" spans="27:27">
      <c r="AA797405" s="613"/>
    </row>
    <row r="797550" spans="27:27">
      <c r="AA797550" s="613"/>
    </row>
    <row r="797551" spans="27:27">
      <c r="AA797551" s="613"/>
    </row>
    <row r="797696" spans="27:27">
      <c r="AA797696" s="613"/>
    </row>
    <row r="797697" spans="27:27">
      <c r="AA797697" s="613"/>
    </row>
    <row r="797842" spans="27:27">
      <c r="AA797842" s="613"/>
    </row>
    <row r="797843" spans="27:27">
      <c r="AA797843" s="613"/>
    </row>
    <row r="797988" spans="27:27">
      <c r="AA797988" s="613"/>
    </row>
    <row r="797989" spans="27:27">
      <c r="AA797989" s="613"/>
    </row>
    <row r="798134" spans="27:27">
      <c r="AA798134" s="613"/>
    </row>
    <row r="798135" spans="27:27">
      <c r="AA798135" s="613"/>
    </row>
    <row r="798280" spans="27:27">
      <c r="AA798280" s="613"/>
    </row>
    <row r="798281" spans="27:27">
      <c r="AA798281" s="613"/>
    </row>
    <row r="798426" spans="27:27">
      <c r="AA798426" s="613"/>
    </row>
    <row r="798427" spans="27:27">
      <c r="AA798427" s="613"/>
    </row>
    <row r="798572" spans="27:27">
      <c r="AA798572" s="613"/>
    </row>
    <row r="798573" spans="27:27">
      <c r="AA798573" s="613"/>
    </row>
    <row r="798718" spans="27:27">
      <c r="AA798718" s="613"/>
    </row>
    <row r="798719" spans="27:27">
      <c r="AA798719" s="613"/>
    </row>
    <row r="798864" spans="27:27">
      <c r="AA798864" s="613"/>
    </row>
    <row r="798865" spans="27:27">
      <c r="AA798865" s="613"/>
    </row>
    <row r="799010" spans="27:27">
      <c r="AA799010" s="613"/>
    </row>
    <row r="799011" spans="27:27">
      <c r="AA799011" s="613"/>
    </row>
    <row r="799156" spans="27:27">
      <c r="AA799156" s="613"/>
    </row>
    <row r="799157" spans="27:27">
      <c r="AA799157" s="613"/>
    </row>
    <row r="799302" spans="27:27">
      <c r="AA799302" s="613"/>
    </row>
    <row r="799303" spans="27:27">
      <c r="AA799303" s="613"/>
    </row>
    <row r="799448" spans="27:27">
      <c r="AA799448" s="613"/>
    </row>
    <row r="799449" spans="27:27">
      <c r="AA799449" s="613"/>
    </row>
    <row r="799594" spans="27:27">
      <c r="AA799594" s="613"/>
    </row>
    <row r="799595" spans="27:27">
      <c r="AA799595" s="613"/>
    </row>
    <row r="799740" spans="27:27">
      <c r="AA799740" s="613"/>
    </row>
    <row r="799741" spans="27:27">
      <c r="AA799741" s="613"/>
    </row>
    <row r="799886" spans="27:27">
      <c r="AA799886" s="613"/>
    </row>
    <row r="799887" spans="27:27">
      <c r="AA799887" s="613"/>
    </row>
    <row r="800032" spans="27:27">
      <c r="AA800032" s="613"/>
    </row>
    <row r="800033" spans="27:27">
      <c r="AA800033" s="613"/>
    </row>
    <row r="800178" spans="27:27">
      <c r="AA800178" s="613"/>
    </row>
    <row r="800179" spans="27:27">
      <c r="AA800179" s="613"/>
    </row>
    <row r="800324" spans="27:27">
      <c r="AA800324" s="613"/>
    </row>
    <row r="800325" spans="27:27">
      <c r="AA800325" s="613"/>
    </row>
    <row r="800470" spans="27:27">
      <c r="AA800470" s="613"/>
    </row>
    <row r="800471" spans="27:27">
      <c r="AA800471" s="613"/>
    </row>
    <row r="800616" spans="27:27">
      <c r="AA800616" s="613"/>
    </row>
    <row r="800617" spans="27:27">
      <c r="AA800617" s="613"/>
    </row>
    <row r="800762" spans="27:27">
      <c r="AA800762" s="613"/>
    </row>
    <row r="800763" spans="27:27">
      <c r="AA800763" s="613"/>
    </row>
    <row r="800908" spans="27:27">
      <c r="AA800908" s="613"/>
    </row>
    <row r="800909" spans="27:27">
      <c r="AA800909" s="613"/>
    </row>
    <row r="801054" spans="27:27">
      <c r="AA801054" s="613"/>
    </row>
    <row r="801055" spans="27:27">
      <c r="AA801055" s="613"/>
    </row>
    <row r="801200" spans="27:27">
      <c r="AA801200" s="613"/>
    </row>
    <row r="801201" spans="27:27">
      <c r="AA801201" s="613"/>
    </row>
    <row r="801346" spans="27:27">
      <c r="AA801346" s="613"/>
    </row>
    <row r="801347" spans="27:27">
      <c r="AA801347" s="613"/>
    </row>
    <row r="801492" spans="27:27">
      <c r="AA801492" s="613"/>
    </row>
    <row r="801493" spans="27:27">
      <c r="AA801493" s="613"/>
    </row>
    <row r="801638" spans="27:27">
      <c r="AA801638" s="613"/>
    </row>
    <row r="801639" spans="27:27">
      <c r="AA801639" s="613"/>
    </row>
    <row r="801784" spans="27:27">
      <c r="AA801784" s="613"/>
    </row>
    <row r="801785" spans="27:27">
      <c r="AA801785" s="613"/>
    </row>
    <row r="801930" spans="27:27">
      <c r="AA801930" s="613"/>
    </row>
    <row r="801931" spans="27:27">
      <c r="AA801931" s="613"/>
    </row>
    <row r="802076" spans="27:27">
      <c r="AA802076" s="613"/>
    </row>
    <row r="802077" spans="27:27">
      <c r="AA802077" s="613"/>
    </row>
    <row r="802222" spans="27:27">
      <c r="AA802222" s="613"/>
    </row>
    <row r="802223" spans="27:27">
      <c r="AA802223" s="613"/>
    </row>
    <row r="802368" spans="27:27">
      <c r="AA802368" s="613"/>
    </row>
    <row r="802369" spans="27:27">
      <c r="AA802369" s="613"/>
    </row>
    <row r="802514" spans="27:27">
      <c r="AA802514" s="613"/>
    </row>
    <row r="802515" spans="27:27">
      <c r="AA802515" s="613"/>
    </row>
    <row r="802660" spans="27:27">
      <c r="AA802660" s="613"/>
    </row>
    <row r="802661" spans="27:27">
      <c r="AA802661" s="613"/>
    </row>
    <row r="802806" spans="27:27">
      <c r="AA802806" s="613"/>
    </row>
    <row r="802807" spans="27:27">
      <c r="AA802807" s="613"/>
    </row>
    <row r="802952" spans="27:27">
      <c r="AA802952" s="613"/>
    </row>
    <row r="802953" spans="27:27">
      <c r="AA802953" s="613"/>
    </row>
    <row r="803098" spans="27:27">
      <c r="AA803098" s="613"/>
    </row>
    <row r="803099" spans="27:27">
      <c r="AA803099" s="613"/>
    </row>
    <row r="803244" spans="27:27">
      <c r="AA803244" s="613"/>
    </row>
    <row r="803245" spans="27:27">
      <c r="AA803245" s="613"/>
    </row>
    <row r="803390" spans="27:27">
      <c r="AA803390" s="613"/>
    </row>
    <row r="803391" spans="27:27">
      <c r="AA803391" s="613"/>
    </row>
    <row r="803536" spans="27:27">
      <c r="AA803536" s="613"/>
    </row>
    <row r="803537" spans="27:27">
      <c r="AA803537" s="613"/>
    </row>
    <row r="803682" spans="27:27">
      <c r="AA803682" s="613"/>
    </row>
    <row r="803683" spans="27:27">
      <c r="AA803683" s="613"/>
    </row>
    <row r="803828" spans="27:27">
      <c r="AA803828" s="613"/>
    </row>
    <row r="803829" spans="27:27">
      <c r="AA803829" s="613"/>
    </row>
    <row r="803974" spans="27:27">
      <c r="AA803974" s="613"/>
    </row>
    <row r="803975" spans="27:27">
      <c r="AA803975" s="613"/>
    </row>
    <row r="804120" spans="27:27">
      <c r="AA804120" s="613"/>
    </row>
    <row r="804121" spans="27:27">
      <c r="AA804121" s="613"/>
    </row>
    <row r="804266" spans="27:27">
      <c r="AA804266" s="613"/>
    </row>
    <row r="804267" spans="27:27">
      <c r="AA804267" s="613"/>
    </row>
    <row r="804412" spans="27:27">
      <c r="AA804412" s="613"/>
    </row>
    <row r="804413" spans="27:27">
      <c r="AA804413" s="613"/>
    </row>
    <row r="804558" spans="27:27">
      <c r="AA804558" s="613"/>
    </row>
    <row r="804559" spans="27:27">
      <c r="AA804559" s="613"/>
    </row>
    <row r="804704" spans="27:27">
      <c r="AA804704" s="613"/>
    </row>
    <row r="804705" spans="27:27">
      <c r="AA804705" s="613"/>
    </row>
    <row r="804850" spans="27:27">
      <c r="AA804850" s="613"/>
    </row>
    <row r="804851" spans="27:27">
      <c r="AA804851" s="613"/>
    </row>
    <row r="804996" spans="27:27">
      <c r="AA804996" s="613"/>
    </row>
    <row r="804997" spans="27:27">
      <c r="AA804997" s="613"/>
    </row>
    <row r="805142" spans="27:27">
      <c r="AA805142" s="613"/>
    </row>
    <row r="805143" spans="27:27">
      <c r="AA805143" s="613"/>
    </row>
    <row r="805288" spans="27:27">
      <c r="AA805288" s="613"/>
    </row>
    <row r="805289" spans="27:27">
      <c r="AA805289" s="613"/>
    </row>
    <row r="805434" spans="27:27">
      <c r="AA805434" s="613"/>
    </row>
    <row r="805435" spans="27:27">
      <c r="AA805435" s="613"/>
    </row>
    <row r="805580" spans="27:27">
      <c r="AA805580" s="613"/>
    </row>
    <row r="805581" spans="27:27">
      <c r="AA805581" s="613"/>
    </row>
    <row r="805726" spans="27:27">
      <c r="AA805726" s="613"/>
    </row>
    <row r="805727" spans="27:27">
      <c r="AA805727" s="613"/>
    </row>
    <row r="805872" spans="27:27">
      <c r="AA805872" s="613"/>
    </row>
    <row r="805873" spans="27:27">
      <c r="AA805873" s="613"/>
    </row>
    <row r="806018" spans="27:27">
      <c r="AA806018" s="613"/>
    </row>
    <row r="806019" spans="27:27">
      <c r="AA806019" s="613"/>
    </row>
    <row r="806164" spans="27:27">
      <c r="AA806164" s="613"/>
    </row>
    <row r="806165" spans="27:27">
      <c r="AA806165" s="613"/>
    </row>
    <row r="806310" spans="27:27">
      <c r="AA806310" s="613"/>
    </row>
    <row r="806311" spans="27:27">
      <c r="AA806311" s="613"/>
    </row>
    <row r="806456" spans="27:27">
      <c r="AA806456" s="613"/>
    </row>
    <row r="806457" spans="27:27">
      <c r="AA806457" s="613"/>
    </row>
    <row r="806602" spans="27:27">
      <c r="AA806602" s="613"/>
    </row>
    <row r="806603" spans="27:27">
      <c r="AA806603" s="613"/>
    </row>
    <row r="806748" spans="27:27">
      <c r="AA806748" s="613"/>
    </row>
    <row r="806749" spans="27:27">
      <c r="AA806749" s="613"/>
    </row>
    <row r="806894" spans="27:27">
      <c r="AA806894" s="613"/>
    </row>
    <row r="806895" spans="27:27">
      <c r="AA806895" s="613"/>
    </row>
    <row r="807040" spans="27:27">
      <c r="AA807040" s="613"/>
    </row>
    <row r="807041" spans="27:27">
      <c r="AA807041" s="613"/>
    </row>
    <row r="807186" spans="27:27">
      <c r="AA807186" s="613"/>
    </row>
    <row r="807187" spans="27:27">
      <c r="AA807187" s="613"/>
    </row>
    <row r="807332" spans="27:27">
      <c r="AA807332" s="613"/>
    </row>
    <row r="807333" spans="27:27">
      <c r="AA807333" s="613"/>
    </row>
    <row r="807478" spans="27:27">
      <c r="AA807478" s="613"/>
    </row>
    <row r="807479" spans="27:27">
      <c r="AA807479" s="613"/>
    </row>
    <row r="807624" spans="27:27">
      <c r="AA807624" s="613"/>
    </row>
    <row r="807625" spans="27:27">
      <c r="AA807625" s="613"/>
    </row>
    <row r="807770" spans="27:27">
      <c r="AA807770" s="613"/>
    </row>
    <row r="807771" spans="27:27">
      <c r="AA807771" s="613"/>
    </row>
    <row r="807916" spans="27:27">
      <c r="AA807916" s="613"/>
    </row>
    <row r="807917" spans="27:27">
      <c r="AA807917" s="613"/>
    </row>
    <row r="808062" spans="27:27">
      <c r="AA808062" s="613"/>
    </row>
    <row r="808063" spans="27:27">
      <c r="AA808063" s="613"/>
    </row>
    <row r="808208" spans="27:27">
      <c r="AA808208" s="613"/>
    </row>
    <row r="808209" spans="27:27">
      <c r="AA808209" s="613"/>
    </row>
    <row r="808354" spans="27:27">
      <c r="AA808354" s="613"/>
    </row>
    <row r="808355" spans="27:27">
      <c r="AA808355" s="613"/>
    </row>
    <row r="808500" spans="27:27">
      <c r="AA808500" s="613"/>
    </row>
    <row r="808501" spans="27:27">
      <c r="AA808501" s="613"/>
    </row>
    <row r="808646" spans="27:27">
      <c r="AA808646" s="613"/>
    </row>
    <row r="808647" spans="27:27">
      <c r="AA808647" s="613"/>
    </row>
    <row r="808792" spans="27:27">
      <c r="AA808792" s="613"/>
    </row>
    <row r="808793" spans="27:27">
      <c r="AA808793" s="613"/>
    </row>
    <row r="808938" spans="27:27">
      <c r="AA808938" s="613"/>
    </row>
    <row r="808939" spans="27:27">
      <c r="AA808939" s="613"/>
    </row>
    <row r="809084" spans="27:27">
      <c r="AA809084" s="613"/>
    </row>
    <row r="809085" spans="27:27">
      <c r="AA809085" s="613"/>
    </row>
    <row r="809230" spans="27:27">
      <c r="AA809230" s="613"/>
    </row>
    <row r="809231" spans="27:27">
      <c r="AA809231" s="613"/>
    </row>
    <row r="809376" spans="27:27">
      <c r="AA809376" s="613"/>
    </row>
    <row r="809377" spans="27:27">
      <c r="AA809377" s="613"/>
    </row>
    <row r="809522" spans="27:27">
      <c r="AA809522" s="613"/>
    </row>
    <row r="809523" spans="27:27">
      <c r="AA809523" s="613"/>
    </row>
    <row r="809668" spans="27:27">
      <c r="AA809668" s="613"/>
    </row>
    <row r="809669" spans="27:27">
      <c r="AA809669" s="613"/>
    </row>
    <row r="809814" spans="27:27">
      <c r="AA809814" s="613"/>
    </row>
    <row r="809815" spans="27:27">
      <c r="AA809815" s="613"/>
    </row>
    <row r="809960" spans="27:27">
      <c r="AA809960" s="613"/>
    </row>
    <row r="809961" spans="27:27">
      <c r="AA809961" s="613"/>
    </row>
    <row r="810106" spans="27:27">
      <c r="AA810106" s="613"/>
    </row>
    <row r="810107" spans="27:27">
      <c r="AA810107" s="613"/>
    </row>
    <row r="810252" spans="27:27">
      <c r="AA810252" s="613"/>
    </row>
    <row r="810253" spans="27:27">
      <c r="AA810253" s="613"/>
    </row>
    <row r="810398" spans="27:27">
      <c r="AA810398" s="613"/>
    </row>
    <row r="810399" spans="27:27">
      <c r="AA810399" s="613"/>
    </row>
    <row r="810544" spans="27:27">
      <c r="AA810544" s="613"/>
    </row>
    <row r="810545" spans="27:27">
      <c r="AA810545" s="613"/>
    </row>
    <row r="810690" spans="27:27">
      <c r="AA810690" s="613"/>
    </row>
    <row r="810691" spans="27:27">
      <c r="AA810691" s="613"/>
    </row>
    <row r="810836" spans="27:27">
      <c r="AA810836" s="613"/>
    </row>
    <row r="810837" spans="27:27">
      <c r="AA810837" s="613"/>
    </row>
    <row r="810982" spans="27:27">
      <c r="AA810982" s="613"/>
    </row>
    <row r="810983" spans="27:27">
      <c r="AA810983" s="613"/>
    </row>
    <row r="811128" spans="27:27">
      <c r="AA811128" s="613"/>
    </row>
    <row r="811129" spans="27:27">
      <c r="AA811129" s="613"/>
    </row>
    <row r="811274" spans="27:27">
      <c r="AA811274" s="613"/>
    </row>
    <row r="811275" spans="27:27">
      <c r="AA811275" s="613"/>
    </row>
    <row r="811420" spans="27:27">
      <c r="AA811420" s="613"/>
    </row>
    <row r="811421" spans="27:27">
      <c r="AA811421" s="613"/>
    </row>
    <row r="811566" spans="27:27">
      <c r="AA811566" s="613"/>
    </row>
    <row r="811567" spans="27:27">
      <c r="AA811567" s="613"/>
    </row>
    <row r="811712" spans="27:27">
      <c r="AA811712" s="613"/>
    </row>
    <row r="811713" spans="27:27">
      <c r="AA811713" s="613"/>
    </row>
    <row r="811858" spans="27:27">
      <c r="AA811858" s="613"/>
    </row>
    <row r="811859" spans="27:27">
      <c r="AA811859" s="613"/>
    </row>
    <row r="812004" spans="27:27">
      <c r="AA812004" s="613"/>
    </row>
    <row r="812005" spans="27:27">
      <c r="AA812005" s="613"/>
    </row>
    <row r="812150" spans="27:27">
      <c r="AA812150" s="613"/>
    </row>
    <row r="812151" spans="27:27">
      <c r="AA812151" s="613"/>
    </row>
    <row r="812296" spans="27:27">
      <c r="AA812296" s="613"/>
    </row>
    <row r="812297" spans="27:27">
      <c r="AA812297" s="613"/>
    </row>
    <row r="812442" spans="27:27">
      <c r="AA812442" s="613"/>
    </row>
    <row r="812443" spans="27:27">
      <c r="AA812443" s="613"/>
    </row>
    <row r="812588" spans="27:27">
      <c r="AA812588" s="613"/>
    </row>
    <row r="812589" spans="27:27">
      <c r="AA812589" s="613"/>
    </row>
    <row r="812734" spans="27:27">
      <c r="AA812734" s="613"/>
    </row>
    <row r="812735" spans="27:27">
      <c r="AA812735" s="613"/>
    </row>
    <row r="812880" spans="27:27">
      <c r="AA812880" s="613"/>
    </row>
    <row r="812881" spans="27:27">
      <c r="AA812881" s="613"/>
    </row>
    <row r="813026" spans="27:27">
      <c r="AA813026" s="613"/>
    </row>
    <row r="813027" spans="27:27">
      <c r="AA813027" s="613"/>
    </row>
    <row r="813172" spans="27:27">
      <c r="AA813172" s="613"/>
    </row>
    <row r="813173" spans="27:27">
      <c r="AA813173" s="613"/>
    </row>
    <row r="813318" spans="27:27">
      <c r="AA813318" s="613"/>
    </row>
    <row r="813319" spans="27:27">
      <c r="AA813319" s="613"/>
    </row>
    <row r="813464" spans="27:27">
      <c r="AA813464" s="613"/>
    </row>
    <row r="813465" spans="27:27">
      <c r="AA813465" s="613"/>
    </row>
    <row r="813610" spans="27:27">
      <c r="AA813610" s="613"/>
    </row>
    <row r="813611" spans="27:27">
      <c r="AA813611" s="613"/>
    </row>
    <row r="813756" spans="27:27">
      <c r="AA813756" s="613"/>
    </row>
    <row r="813757" spans="27:27">
      <c r="AA813757" s="613"/>
    </row>
    <row r="813902" spans="27:27">
      <c r="AA813902" s="613"/>
    </row>
    <row r="813903" spans="27:27">
      <c r="AA813903" s="613"/>
    </row>
    <row r="814048" spans="27:27">
      <c r="AA814048" s="613"/>
    </row>
    <row r="814049" spans="27:27">
      <c r="AA814049" s="613"/>
    </row>
    <row r="814194" spans="27:27">
      <c r="AA814194" s="613"/>
    </row>
    <row r="814195" spans="27:27">
      <c r="AA814195" s="613"/>
    </row>
    <row r="814340" spans="27:27">
      <c r="AA814340" s="613"/>
    </row>
    <row r="814341" spans="27:27">
      <c r="AA814341" s="613"/>
    </row>
    <row r="814486" spans="27:27">
      <c r="AA814486" s="613"/>
    </row>
    <row r="814487" spans="27:27">
      <c r="AA814487" s="613"/>
    </row>
    <row r="814632" spans="27:27">
      <c r="AA814632" s="613"/>
    </row>
    <row r="814633" spans="27:27">
      <c r="AA814633" s="613"/>
    </row>
    <row r="814778" spans="27:27">
      <c r="AA814778" s="613"/>
    </row>
    <row r="814779" spans="27:27">
      <c r="AA814779" s="613"/>
    </row>
    <row r="814924" spans="27:27">
      <c r="AA814924" s="613"/>
    </row>
    <row r="814925" spans="27:27">
      <c r="AA814925" s="613"/>
    </row>
    <row r="815070" spans="27:27">
      <c r="AA815070" s="613"/>
    </row>
    <row r="815071" spans="27:27">
      <c r="AA815071" s="613"/>
    </row>
    <row r="815216" spans="27:27">
      <c r="AA815216" s="613"/>
    </row>
    <row r="815217" spans="27:27">
      <c r="AA815217" s="613"/>
    </row>
    <row r="815362" spans="27:27">
      <c r="AA815362" s="613"/>
    </row>
    <row r="815363" spans="27:27">
      <c r="AA815363" s="613"/>
    </row>
    <row r="815508" spans="27:27">
      <c r="AA815508" s="613"/>
    </row>
    <row r="815509" spans="27:27">
      <c r="AA815509" s="613"/>
    </row>
    <row r="815654" spans="27:27">
      <c r="AA815654" s="613"/>
    </row>
    <row r="815655" spans="27:27">
      <c r="AA815655" s="613"/>
    </row>
    <row r="815800" spans="27:27">
      <c r="AA815800" s="613"/>
    </row>
    <row r="815801" spans="27:27">
      <c r="AA815801" s="613"/>
    </row>
    <row r="815946" spans="27:27">
      <c r="AA815946" s="613"/>
    </row>
    <row r="815947" spans="27:27">
      <c r="AA815947" s="613"/>
    </row>
    <row r="816092" spans="27:27">
      <c r="AA816092" s="613"/>
    </row>
    <row r="816093" spans="27:27">
      <c r="AA816093" s="613"/>
    </row>
    <row r="816238" spans="27:27">
      <c r="AA816238" s="613"/>
    </row>
    <row r="816239" spans="27:27">
      <c r="AA816239" s="613"/>
    </row>
    <row r="816384" spans="27:27">
      <c r="AA816384" s="613"/>
    </row>
    <row r="816385" spans="27:27">
      <c r="AA816385" s="613"/>
    </row>
    <row r="816530" spans="27:27">
      <c r="AA816530" s="613"/>
    </row>
    <row r="816531" spans="27:27">
      <c r="AA816531" s="613"/>
    </row>
    <row r="816676" spans="27:27">
      <c r="AA816676" s="613"/>
    </row>
    <row r="816677" spans="27:27">
      <c r="AA816677" s="613"/>
    </row>
    <row r="816822" spans="27:27">
      <c r="AA816822" s="613"/>
    </row>
    <row r="816823" spans="27:27">
      <c r="AA816823" s="613"/>
    </row>
    <row r="816968" spans="27:27">
      <c r="AA816968" s="613"/>
    </row>
    <row r="816969" spans="27:27">
      <c r="AA816969" s="613"/>
    </row>
    <row r="817114" spans="27:27">
      <c r="AA817114" s="613"/>
    </row>
    <row r="817115" spans="27:27">
      <c r="AA817115" s="613"/>
    </row>
    <row r="817260" spans="27:27">
      <c r="AA817260" s="613"/>
    </row>
    <row r="817261" spans="27:27">
      <c r="AA817261" s="613"/>
    </row>
    <row r="817406" spans="27:27">
      <c r="AA817406" s="613"/>
    </row>
    <row r="817407" spans="27:27">
      <c r="AA817407" s="613"/>
    </row>
    <row r="817552" spans="27:27">
      <c r="AA817552" s="613"/>
    </row>
    <row r="817553" spans="27:27">
      <c r="AA817553" s="613"/>
    </row>
    <row r="817698" spans="27:27">
      <c r="AA817698" s="613"/>
    </row>
    <row r="817699" spans="27:27">
      <c r="AA817699" s="613"/>
    </row>
    <row r="817844" spans="27:27">
      <c r="AA817844" s="613"/>
    </row>
    <row r="817845" spans="27:27">
      <c r="AA817845" s="613"/>
    </row>
    <row r="817990" spans="27:27">
      <c r="AA817990" s="613"/>
    </row>
    <row r="817991" spans="27:27">
      <c r="AA817991" s="613"/>
    </row>
    <row r="818136" spans="27:27">
      <c r="AA818136" s="613"/>
    </row>
    <row r="818137" spans="27:27">
      <c r="AA818137" s="613"/>
    </row>
    <row r="818282" spans="27:27">
      <c r="AA818282" s="613"/>
    </row>
    <row r="818283" spans="27:27">
      <c r="AA818283" s="613"/>
    </row>
    <row r="818428" spans="27:27">
      <c r="AA818428" s="613"/>
    </row>
    <row r="818429" spans="27:27">
      <c r="AA818429" s="613"/>
    </row>
    <row r="818574" spans="27:27">
      <c r="AA818574" s="613"/>
    </row>
    <row r="818575" spans="27:27">
      <c r="AA818575" s="613"/>
    </row>
    <row r="818720" spans="27:27">
      <c r="AA818720" s="613"/>
    </row>
    <row r="818721" spans="27:27">
      <c r="AA818721" s="613"/>
    </row>
    <row r="818866" spans="27:27">
      <c r="AA818866" s="613"/>
    </row>
    <row r="818867" spans="27:27">
      <c r="AA818867" s="613"/>
    </row>
    <row r="819012" spans="27:27">
      <c r="AA819012" s="613"/>
    </row>
    <row r="819013" spans="27:27">
      <c r="AA819013" s="613"/>
    </row>
    <row r="819158" spans="27:27">
      <c r="AA819158" s="613"/>
    </row>
    <row r="819159" spans="27:27">
      <c r="AA819159" s="613"/>
    </row>
    <row r="819304" spans="27:27">
      <c r="AA819304" s="613"/>
    </row>
    <row r="819305" spans="27:27">
      <c r="AA819305" s="613"/>
    </row>
    <row r="819450" spans="27:27">
      <c r="AA819450" s="613"/>
    </row>
    <row r="819451" spans="27:27">
      <c r="AA819451" s="613"/>
    </row>
    <row r="819596" spans="27:27">
      <c r="AA819596" s="613"/>
    </row>
    <row r="819597" spans="27:27">
      <c r="AA819597" s="613"/>
    </row>
    <row r="819742" spans="27:27">
      <c r="AA819742" s="613"/>
    </row>
    <row r="819743" spans="27:27">
      <c r="AA819743" s="613"/>
    </row>
    <row r="819888" spans="27:27">
      <c r="AA819888" s="613"/>
    </row>
    <row r="819889" spans="27:27">
      <c r="AA819889" s="613"/>
    </row>
    <row r="820034" spans="27:27">
      <c r="AA820034" s="613"/>
    </row>
    <row r="820035" spans="27:27">
      <c r="AA820035" s="613"/>
    </row>
    <row r="820180" spans="27:27">
      <c r="AA820180" s="613"/>
    </row>
    <row r="820181" spans="27:27">
      <c r="AA820181" s="613"/>
    </row>
    <row r="820326" spans="27:27">
      <c r="AA820326" s="613"/>
    </row>
    <row r="820327" spans="27:27">
      <c r="AA820327" s="613"/>
    </row>
    <row r="820472" spans="27:27">
      <c r="AA820472" s="613"/>
    </row>
    <row r="820473" spans="27:27">
      <c r="AA820473" s="613"/>
    </row>
    <row r="820618" spans="27:27">
      <c r="AA820618" s="613"/>
    </row>
    <row r="820619" spans="27:27">
      <c r="AA820619" s="613"/>
    </row>
    <row r="820764" spans="27:27">
      <c r="AA820764" s="613"/>
    </row>
    <row r="820765" spans="27:27">
      <c r="AA820765" s="613"/>
    </row>
    <row r="820910" spans="27:27">
      <c r="AA820910" s="613"/>
    </row>
    <row r="820911" spans="27:27">
      <c r="AA820911" s="613"/>
    </row>
    <row r="821056" spans="27:27">
      <c r="AA821056" s="613"/>
    </row>
    <row r="821057" spans="27:27">
      <c r="AA821057" s="613"/>
    </row>
    <row r="821202" spans="27:27">
      <c r="AA821202" s="613"/>
    </row>
    <row r="821203" spans="27:27">
      <c r="AA821203" s="613"/>
    </row>
    <row r="821348" spans="27:27">
      <c r="AA821348" s="613"/>
    </row>
    <row r="821349" spans="27:27">
      <c r="AA821349" s="613"/>
    </row>
    <row r="821494" spans="27:27">
      <c r="AA821494" s="613"/>
    </row>
    <row r="821495" spans="27:27">
      <c r="AA821495" s="613"/>
    </row>
    <row r="821640" spans="27:27">
      <c r="AA821640" s="613"/>
    </row>
    <row r="821641" spans="27:27">
      <c r="AA821641" s="613"/>
    </row>
    <row r="821786" spans="27:27">
      <c r="AA821786" s="613"/>
    </row>
    <row r="821787" spans="27:27">
      <c r="AA821787" s="613"/>
    </row>
    <row r="821932" spans="27:27">
      <c r="AA821932" s="613"/>
    </row>
    <row r="821933" spans="27:27">
      <c r="AA821933" s="613"/>
    </row>
    <row r="822078" spans="27:27">
      <c r="AA822078" s="613"/>
    </row>
    <row r="822079" spans="27:27">
      <c r="AA822079" s="613"/>
    </row>
    <row r="822224" spans="27:27">
      <c r="AA822224" s="613"/>
    </row>
    <row r="822225" spans="27:27">
      <c r="AA822225" s="613"/>
    </row>
    <row r="822370" spans="27:27">
      <c r="AA822370" s="613"/>
    </row>
    <row r="822371" spans="27:27">
      <c r="AA822371" s="613"/>
    </row>
    <row r="822516" spans="27:27">
      <c r="AA822516" s="613"/>
    </row>
    <row r="822517" spans="27:27">
      <c r="AA822517" s="613"/>
    </row>
    <row r="822662" spans="27:27">
      <c r="AA822662" s="613"/>
    </row>
    <row r="822663" spans="27:27">
      <c r="AA822663" s="613"/>
    </row>
    <row r="822808" spans="27:27">
      <c r="AA822808" s="613"/>
    </row>
    <row r="822809" spans="27:27">
      <c r="AA822809" s="613"/>
    </row>
    <row r="822954" spans="27:27">
      <c r="AA822954" s="613"/>
    </row>
    <row r="822955" spans="27:27">
      <c r="AA822955" s="613"/>
    </row>
    <row r="823100" spans="27:27">
      <c r="AA823100" s="613"/>
    </row>
    <row r="823101" spans="27:27">
      <c r="AA823101" s="613"/>
    </row>
    <row r="823246" spans="27:27">
      <c r="AA823246" s="613"/>
    </row>
    <row r="823247" spans="27:27">
      <c r="AA823247" s="613"/>
    </row>
    <row r="823392" spans="27:27">
      <c r="AA823392" s="613"/>
    </row>
    <row r="823393" spans="27:27">
      <c r="AA823393" s="613"/>
    </row>
    <row r="823538" spans="27:27">
      <c r="AA823538" s="613"/>
    </row>
    <row r="823539" spans="27:27">
      <c r="AA823539" s="613"/>
    </row>
    <row r="823684" spans="27:27">
      <c r="AA823684" s="613"/>
    </row>
    <row r="823685" spans="27:27">
      <c r="AA823685" s="613"/>
    </row>
    <row r="823830" spans="27:27">
      <c r="AA823830" s="613"/>
    </row>
    <row r="823831" spans="27:27">
      <c r="AA823831" s="613"/>
    </row>
    <row r="823976" spans="27:27">
      <c r="AA823976" s="613"/>
    </row>
    <row r="823977" spans="27:27">
      <c r="AA823977" s="613"/>
    </row>
    <row r="824122" spans="27:27">
      <c r="AA824122" s="613"/>
    </row>
    <row r="824123" spans="27:27">
      <c r="AA824123" s="613"/>
    </row>
    <row r="824268" spans="27:27">
      <c r="AA824268" s="613"/>
    </row>
    <row r="824269" spans="27:27">
      <c r="AA824269" s="613"/>
    </row>
    <row r="824414" spans="27:27">
      <c r="AA824414" s="613"/>
    </row>
    <row r="824415" spans="27:27">
      <c r="AA824415" s="613"/>
    </row>
    <row r="824560" spans="27:27">
      <c r="AA824560" s="613"/>
    </row>
    <row r="824561" spans="27:27">
      <c r="AA824561" s="613"/>
    </row>
    <row r="824706" spans="27:27">
      <c r="AA824706" s="613"/>
    </row>
    <row r="824707" spans="27:27">
      <c r="AA824707" s="613"/>
    </row>
    <row r="824852" spans="27:27">
      <c r="AA824852" s="613"/>
    </row>
    <row r="824853" spans="27:27">
      <c r="AA824853" s="613"/>
    </row>
    <row r="824998" spans="27:27">
      <c r="AA824998" s="613"/>
    </row>
    <row r="824999" spans="27:27">
      <c r="AA824999" s="613"/>
    </row>
    <row r="825144" spans="27:27">
      <c r="AA825144" s="613"/>
    </row>
    <row r="825145" spans="27:27">
      <c r="AA825145" s="613"/>
    </row>
    <row r="825290" spans="27:27">
      <c r="AA825290" s="613"/>
    </row>
    <row r="825291" spans="27:27">
      <c r="AA825291" s="613"/>
    </row>
    <row r="825436" spans="27:27">
      <c r="AA825436" s="613"/>
    </row>
    <row r="825437" spans="27:27">
      <c r="AA825437" s="613"/>
    </row>
    <row r="825582" spans="27:27">
      <c r="AA825582" s="613"/>
    </row>
    <row r="825583" spans="27:27">
      <c r="AA825583" s="613"/>
    </row>
    <row r="825728" spans="27:27">
      <c r="AA825728" s="613"/>
    </row>
    <row r="825729" spans="27:27">
      <c r="AA825729" s="613"/>
    </row>
    <row r="825874" spans="27:27">
      <c r="AA825874" s="613"/>
    </row>
    <row r="825875" spans="27:27">
      <c r="AA825875" s="613"/>
    </row>
    <row r="826020" spans="27:27">
      <c r="AA826020" s="613"/>
    </row>
    <row r="826021" spans="27:27">
      <c r="AA826021" s="613"/>
    </row>
    <row r="826166" spans="27:27">
      <c r="AA826166" s="613"/>
    </row>
    <row r="826167" spans="27:27">
      <c r="AA826167" s="613"/>
    </row>
    <row r="826312" spans="27:27">
      <c r="AA826312" s="613"/>
    </row>
    <row r="826313" spans="27:27">
      <c r="AA826313" s="613"/>
    </row>
    <row r="826458" spans="27:27">
      <c r="AA826458" s="613"/>
    </row>
    <row r="826459" spans="27:27">
      <c r="AA826459" s="613"/>
    </row>
    <row r="826604" spans="27:27">
      <c r="AA826604" s="613"/>
    </row>
    <row r="826605" spans="27:27">
      <c r="AA826605" s="613"/>
    </row>
    <row r="826750" spans="27:27">
      <c r="AA826750" s="613"/>
    </row>
    <row r="826751" spans="27:27">
      <c r="AA826751" s="613"/>
    </row>
    <row r="826896" spans="27:27">
      <c r="AA826896" s="613"/>
    </row>
    <row r="826897" spans="27:27">
      <c r="AA826897" s="613"/>
    </row>
    <row r="827042" spans="27:27">
      <c r="AA827042" s="613"/>
    </row>
    <row r="827043" spans="27:27">
      <c r="AA827043" s="613"/>
    </row>
    <row r="827188" spans="27:27">
      <c r="AA827188" s="613"/>
    </row>
    <row r="827189" spans="27:27">
      <c r="AA827189" s="613"/>
    </row>
    <row r="827334" spans="27:27">
      <c r="AA827334" s="613"/>
    </row>
    <row r="827335" spans="27:27">
      <c r="AA827335" s="613"/>
    </row>
    <row r="827480" spans="27:27">
      <c r="AA827480" s="613"/>
    </row>
    <row r="827481" spans="27:27">
      <c r="AA827481" s="613"/>
    </row>
    <row r="827626" spans="27:27">
      <c r="AA827626" s="613"/>
    </row>
    <row r="827627" spans="27:27">
      <c r="AA827627" s="613"/>
    </row>
    <row r="827772" spans="27:27">
      <c r="AA827772" s="613"/>
    </row>
    <row r="827773" spans="27:27">
      <c r="AA827773" s="613"/>
    </row>
    <row r="827918" spans="27:27">
      <c r="AA827918" s="613"/>
    </row>
    <row r="827919" spans="27:27">
      <c r="AA827919" s="613"/>
    </row>
    <row r="828064" spans="27:27">
      <c r="AA828064" s="613"/>
    </row>
    <row r="828065" spans="27:27">
      <c r="AA828065" s="613"/>
    </row>
    <row r="828210" spans="27:27">
      <c r="AA828210" s="613"/>
    </row>
    <row r="828211" spans="27:27">
      <c r="AA828211" s="613"/>
    </row>
    <row r="828356" spans="27:27">
      <c r="AA828356" s="613"/>
    </row>
    <row r="828357" spans="27:27">
      <c r="AA828357" s="613"/>
    </row>
    <row r="828502" spans="27:27">
      <c r="AA828502" s="613"/>
    </row>
    <row r="828503" spans="27:27">
      <c r="AA828503" s="613"/>
    </row>
    <row r="828648" spans="27:27">
      <c r="AA828648" s="613"/>
    </row>
    <row r="828649" spans="27:27">
      <c r="AA828649" s="613"/>
    </row>
    <row r="828794" spans="27:27">
      <c r="AA828794" s="613"/>
    </row>
    <row r="828795" spans="27:27">
      <c r="AA828795" s="613"/>
    </row>
    <row r="828940" spans="27:27">
      <c r="AA828940" s="613"/>
    </row>
    <row r="828941" spans="27:27">
      <c r="AA828941" s="613"/>
    </row>
    <row r="829086" spans="27:27">
      <c r="AA829086" s="613"/>
    </row>
    <row r="829087" spans="27:27">
      <c r="AA829087" s="613"/>
    </row>
    <row r="829232" spans="27:27">
      <c r="AA829232" s="613"/>
    </row>
    <row r="829233" spans="27:27">
      <c r="AA829233" s="613"/>
    </row>
    <row r="829378" spans="27:27">
      <c r="AA829378" s="613"/>
    </row>
    <row r="829379" spans="27:27">
      <c r="AA829379" s="613"/>
    </row>
    <row r="829524" spans="27:27">
      <c r="AA829524" s="613"/>
    </row>
    <row r="829525" spans="27:27">
      <c r="AA829525" s="613"/>
    </row>
    <row r="829670" spans="27:27">
      <c r="AA829670" s="613"/>
    </row>
    <row r="829671" spans="27:27">
      <c r="AA829671" s="613"/>
    </row>
    <row r="829816" spans="27:27">
      <c r="AA829816" s="613"/>
    </row>
    <row r="829817" spans="27:27">
      <c r="AA829817" s="613"/>
    </row>
    <row r="829962" spans="27:27">
      <c r="AA829962" s="613"/>
    </row>
    <row r="829963" spans="27:27">
      <c r="AA829963" s="613"/>
    </row>
    <row r="830108" spans="27:27">
      <c r="AA830108" s="613"/>
    </row>
    <row r="830109" spans="27:27">
      <c r="AA830109" s="613"/>
    </row>
    <row r="830254" spans="27:27">
      <c r="AA830254" s="613"/>
    </row>
    <row r="830255" spans="27:27">
      <c r="AA830255" s="613"/>
    </row>
    <row r="830400" spans="27:27">
      <c r="AA830400" s="613"/>
    </row>
    <row r="830401" spans="27:27">
      <c r="AA830401" s="613"/>
    </row>
    <row r="830546" spans="27:27">
      <c r="AA830546" s="613"/>
    </row>
    <row r="830547" spans="27:27">
      <c r="AA830547" s="613"/>
    </row>
    <row r="830692" spans="27:27">
      <c r="AA830692" s="613"/>
    </row>
    <row r="830693" spans="27:27">
      <c r="AA830693" s="613"/>
    </row>
    <row r="830838" spans="27:27">
      <c r="AA830838" s="613"/>
    </row>
    <row r="830839" spans="27:27">
      <c r="AA830839" s="613"/>
    </row>
    <row r="830984" spans="27:27">
      <c r="AA830984" s="613"/>
    </row>
    <row r="830985" spans="27:27">
      <c r="AA830985" s="613"/>
    </row>
    <row r="831130" spans="27:27">
      <c r="AA831130" s="613"/>
    </row>
    <row r="831131" spans="27:27">
      <c r="AA831131" s="613"/>
    </row>
    <row r="831276" spans="27:27">
      <c r="AA831276" s="613"/>
    </row>
    <row r="831277" spans="27:27">
      <c r="AA831277" s="613"/>
    </row>
    <row r="831422" spans="27:27">
      <c r="AA831422" s="613"/>
    </row>
    <row r="831423" spans="27:27">
      <c r="AA831423" s="613"/>
    </row>
    <row r="831568" spans="27:27">
      <c r="AA831568" s="613"/>
    </row>
    <row r="831569" spans="27:27">
      <c r="AA831569" s="613"/>
    </row>
    <row r="831714" spans="27:27">
      <c r="AA831714" s="613"/>
    </row>
    <row r="831715" spans="27:27">
      <c r="AA831715" s="613"/>
    </row>
    <row r="831860" spans="27:27">
      <c r="AA831860" s="613"/>
    </row>
    <row r="831861" spans="27:27">
      <c r="AA831861" s="613"/>
    </row>
    <row r="832006" spans="27:27">
      <c r="AA832006" s="613"/>
    </row>
    <row r="832007" spans="27:27">
      <c r="AA832007" s="613"/>
    </row>
    <row r="832152" spans="27:27">
      <c r="AA832152" s="613"/>
    </row>
    <row r="832153" spans="27:27">
      <c r="AA832153" s="613"/>
    </row>
    <row r="832298" spans="27:27">
      <c r="AA832298" s="613"/>
    </row>
    <row r="832299" spans="27:27">
      <c r="AA832299" s="613"/>
    </row>
    <row r="832444" spans="27:27">
      <c r="AA832444" s="613"/>
    </row>
    <row r="832445" spans="27:27">
      <c r="AA832445" s="613"/>
    </row>
    <row r="832590" spans="27:27">
      <c r="AA832590" s="613"/>
    </row>
    <row r="832591" spans="27:27">
      <c r="AA832591" s="613"/>
    </row>
    <row r="832736" spans="27:27">
      <c r="AA832736" s="613"/>
    </row>
    <row r="832737" spans="27:27">
      <c r="AA832737" s="613"/>
    </row>
    <row r="832882" spans="27:27">
      <c r="AA832882" s="613"/>
    </row>
    <row r="832883" spans="27:27">
      <c r="AA832883" s="613"/>
    </row>
    <row r="833028" spans="27:27">
      <c r="AA833028" s="613"/>
    </row>
    <row r="833029" spans="27:27">
      <c r="AA833029" s="613"/>
    </row>
    <row r="833174" spans="27:27">
      <c r="AA833174" s="613"/>
    </row>
    <row r="833175" spans="27:27">
      <c r="AA833175" s="613"/>
    </row>
    <row r="833320" spans="27:27">
      <c r="AA833320" s="613"/>
    </row>
    <row r="833321" spans="27:27">
      <c r="AA833321" s="613"/>
    </row>
    <row r="833466" spans="27:27">
      <c r="AA833466" s="613"/>
    </row>
    <row r="833467" spans="27:27">
      <c r="AA833467" s="613"/>
    </row>
    <row r="833612" spans="27:27">
      <c r="AA833612" s="613"/>
    </row>
    <row r="833613" spans="27:27">
      <c r="AA833613" s="613"/>
    </row>
    <row r="833758" spans="27:27">
      <c r="AA833758" s="613"/>
    </row>
    <row r="833759" spans="27:27">
      <c r="AA833759" s="613"/>
    </row>
    <row r="833904" spans="27:27">
      <c r="AA833904" s="613"/>
    </row>
    <row r="833905" spans="27:27">
      <c r="AA833905" s="613"/>
    </row>
    <row r="834050" spans="27:27">
      <c r="AA834050" s="613"/>
    </row>
    <row r="834051" spans="27:27">
      <c r="AA834051" s="613"/>
    </row>
    <row r="834196" spans="27:27">
      <c r="AA834196" s="613"/>
    </row>
    <row r="834197" spans="27:27">
      <c r="AA834197" s="613"/>
    </row>
    <row r="834342" spans="27:27">
      <c r="AA834342" s="613"/>
    </row>
    <row r="834343" spans="27:27">
      <c r="AA834343" s="613"/>
    </row>
    <row r="834488" spans="27:27">
      <c r="AA834488" s="613"/>
    </row>
    <row r="834489" spans="27:27">
      <c r="AA834489" s="613"/>
    </row>
    <row r="834634" spans="27:27">
      <c r="AA834634" s="613"/>
    </row>
    <row r="834635" spans="27:27">
      <c r="AA834635" s="613"/>
    </row>
    <row r="834780" spans="27:27">
      <c r="AA834780" s="613"/>
    </row>
    <row r="834781" spans="27:27">
      <c r="AA834781" s="613"/>
    </row>
    <row r="834926" spans="27:27">
      <c r="AA834926" s="613"/>
    </row>
    <row r="834927" spans="27:27">
      <c r="AA834927" s="613"/>
    </row>
    <row r="835072" spans="27:27">
      <c r="AA835072" s="613"/>
    </row>
    <row r="835073" spans="27:27">
      <c r="AA835073" s="613"/>
    </row>
    <row r="835218" spans="27:27">
      <c r="AA835218" s="613"/>
    </row>
    <row r="835219" spans="27:27">
      <c r="AA835219" s="613"/>
    </row>
    <row r="835364" spans="27:27">
      <c r="AA835364" s="613"/>
    </row>
    <row r="835365" spans="27:27">
      <c r="AA835365" s="613"/>
    </row>
    <row r="835510" spans="27:27">
      <c r="AA835510" s="613"/>
    </row>
    <row r="835511" spans="27:27">
      <c r="AA835511" s="613"/>
    </row>
    <row r="835656" spans="27:27">
      <c r="AA835656" s="613"/>
    </row>
    <row r="835657" spans="27:27">
      <c r="AA835657" s="613"/>
    </row>
    <row r="835802" spans="27:27">
      <c r="AA835802" s="613"/>
    </row>
    <row r="835803" spans="27:27">
      <c r="AA835803" s="613"/>
    </row>
    <row r="835948" spans="27:27">
      <c r="AA835948" s="613"/>
    </row>
    <row r="835949" spans="27:27">
      <c r="AA835949" s="613"/>
    </row>
    <row r="836094" spans="27:27">
      <c r="AA836094" s="613"/>
    </row>
    <row r="836095" spans="27:27">
      <c r="AA836095" s="613"/>
    </row>
    <row r="836240" spans="27:27">
      <c r="AA836240" s="613"/>
    </row>
    <row r="836241" spans="27:27">
      <c r="AA836241" s="613"/>
    </row>
    <row r="836386" spans="27:27">
      <c r="AA836386" s="613"/>
    </row>
    <row r="836387" spans="27:27">
      <c r="AA836387" s="613"/>
    </row>
    <row r="836532" spans="27:27">
      <c r="AA836532" s="613"/>
    </row>
    <row r="836533" spans="27:27">
      <c r="AA836533" s="613"/>
    </row>
    <row r="836678" spans="27:27">
      <c r="AA836678" s="613"/>
    </row>
    <row r="836679" spans="27:27">
      <c r="AA836679" s="613"/>
    </row>
    <row r="836824" spans="27:27">
      <c r="AA836824" s="613"/>
    </row>
    <row r="836825" spans="27:27">
      <c r="AA836825" s="613"/>
    </row>
    <row r="836970" spans="27:27">
      <c r="AA836970" s="613"/>
    </row>
    <row r="836971" spans="27:27">
      <c r="AA836971" s="613"/>
    </row>
    <row r="837116" spans="27:27">
      <c r="AA837116" s="613"/>
    </row>
    <row r="837117" spans="27:27">
      <c r="AA837117" s="613"/>
    </row>
    <row r="837262" spans="27:27">
      <c r="AA837262" s="613"/>
    </row>
    <row r="837263" spans="27:27">
      <c r="AA837263" s="613"/>
    </row>
    <row r="837408" spans="27:27">
      <c r="AA837408" s="613"/>
    </row>
    <row r="837409" spans="27:27">
      <c r="AA837409" s="613"/>
    </row>
    <row r="837554" spans="27:27">
      <c r="AA837554" s="613"/>
    </row>
    <row r="837555" spans="27:27">
      <c r="AA837555" s="613"/>
    </row>
    <row r="837700" spans="27:27">
      <c r="AA837700" s="613"/>
    </row>
    <row r="837701" spans="27:27">
      <c r="AA837701" s="613"/>
    </row>
    <row r="837846" spans="27:27">
      <c r="AA837846" s="613"/>
    </row>
    <row r="837847" spans="27:27">
      <c r="AA837847" s="613"/>
    </row>
    <row r="837992" spans="27:27">
      <c r="AA837992" s="613"/>
    </row>
    <row r="837993" spans="27:27">
      <c r="AA837993" s="613"/>
    </row>
    <row r="838138" spans="27:27">
      <c r="AA838138" s="613"/>
    </row>
    <row r="838139" spans="27:27">
      <c r="AA838139" s="613"/>
    </row>
    <row r="838284" spans="27:27">
      <c r="AA838284" s="613"/>
    </row>
    <row r="838285" spans="27:27">
      <c r="AA838285" s="613"/>
    </row>
    <row r="838430" spans="27:27">
      <c r="AA838430" s="613"/>
    </row>
    <row r="838431" spans="27:27">
      <c r="AA838431" s="613"/>
    </row>
    <row r="838576" spans="27:27">
      <c r="AA838576" s="613"/>
    </row>
    <row r="838577" spans="27:27">
      <c r="AA838577" s="613"/>
    </row>
    <row r="838722" spans="27:27">
      <c r="AA838722" s="613"/>
    </row>
    <row r="838723" spans="27:27">
      <c r="AA838723" s="613"/>
    </row>
    <row r="838868" spans="27:27">
      <c r="AA838868" s="613"/>
    </row>
    <row r="838869" spans="27:27">
      <c r="AA838869" s="613"/>
    </row>
    <row r="839014" spans="27:27">
      <c r="AA839014" s="613"/>
    </row>
    <row r="839015" spans="27:27">
      <c r="AA839015" s="613"/>
    </row>
    <row r="839160" spans="27:27">
      <c r="AA839160" s="613"/>
    </row>
    <row r="839161" spans="27:27">
      <c r="AA839161" s="613"/>
    </row>
    <row r="839306" spans="27:27">
      <c r="AA839306" s="613"/>
    </row>
    <row r="839307" spans="27:27">
      <c r="AA839307" s="613"/>
    </row>
    <row r="839452" spans="27:27">
      <c r="AA839452" s="613"/>
    </row>
    <row r="839453" spans="27:27">
      <c r="AA839453" s="613"/>
    </row>
    <row r="839598" spans="27:27">
      <c r="AA839598" s="613"/>
    </row>
    <row r="839599" spans="27:27">
      <c r="AA839599" s="613"/>
    </row>
    <row r="839744" spans="27:27">
      <c r="AA839744" s="613"/>
    </row>
    <row r="839745" spans="27:27">
      <c r="AA839745" s="613"/>
    </row>
    <row r="839890" spans="27:27">
      <c r="AA839890" s="613"/>
    </row>
    <row r="839891" spans="27:27">
      <c r="AA839891" s="613"/>
    </row>
    <row r="840036" spans="27:27">
      <c r="AA840036" s="613"/>
    </row>
    <row r="840037" spans="27:27">
      <c r="AA840037" s="613"/>
    </row>
    <row r="840182" spans="27:27">
      <c r="AA840182" s="613"/>
    </row>
    <row r="840183" spans="27:27">
      <c r="AA840183" s="613"/>
    </row>
    <row r="840328" spans="27:27">
      <c r="AA840328" s="613"/>
    </row>
    <row r="840329" spans="27:27">
      <c r="AA840329" s="613"/>
    </row>
    <row r="840474" spans="27:27">
      <c r="AA840474" s="613"/>
    </row>
    <row r="840475" spans="27:27">
      <c r="AA840475" s="613"/>
    </row>
    <row r="840620" spans="27:27">
      <c r="AA840620" s="613"/>
    </row>
    <row r="840621" spans="27:27">
      <c r="AA840621" s="613"/>
    </row>
    <row r="840766" spans="27:27">
      <c r="AA840766" s="613"/>
    </row>
    <row r="840767" spans="27:27">
      <c r="AA840767" s="613"/>
    </row>
    <row r="840912" spans="27:27">
      <c r="AA840912" s="613"/>
    </row>
    <row r="840913" spans="27:27">
      <c r="AA840913" s="613"/>
    </row>
    <row r="841058" spans="27:27">
      <c r="AA841058" s="613"/>
    </row>
    <row r="841059" spans="27:27">
      <c r="AA841059" s="613"/>
    </row>
    <row r="841204" spans="27:27">
      <c r="AA841204" s="613"/>
    </row>
    <row r="841205" spans="27:27">
      <c r="AA841205" s="613"/>
    </row>
    <row r="841350" spans="27:27">
      <c r="AA841350" s="613"/>
    </row>
    <row r="841351" spans="27:27">
      <c r="AA841351" s="613"/>
    </row>
    <row r="841496" spans="27:27">
      <c r="AA841496" s="613"/>
    </row>
    <row r="841497" spans="27:27">
      <c r="AA841497" s="613"/>
    </row>
    <row r="841642" spans="27:27">
      <c r="AA841642" s="613"/>
    </row>
    <row r="841643" spans="27:27">
      <c r="AA841643" s="613"/>
    </row>
    <row r="841788" spans="27:27">
      <c r="AA841788" s="613"/>
    </row>
    <row r="841789" spans="27:27">
      <c r="AA841789" s="613"/>
    </row>
    <row r="841934" spans="27:27">
      <c r="AA841934" s="613"/>
    </row>
    <row r="841935" spans="27:27">
      <c r="AA841935" s="613"/>
    </row>
    <row r="842080" spans="27:27">
      <c r="AA842080" s="613"/>
    </row>
    <row r="842081" spans="27:27">
      <c r="AA842081" s="613"/>
    </row>
    <row r="842226" spans="27:27">
      <c r="AA842226" s="613"/>
    </row>
    <row r="842227" spans="27:27">
      <c r="AA842227" s="613"/>
    </row>
    <row r="842372" spans="27:27">
      <c r="AA842372" s="613"/>
    </row>
    <row r="842373" spans="27:27">
      <c r="AA842373" s="613"/>
    </row>
    <row r="842518" spans="27:27">
      <c r="AA842518" s="613"/>
    </row>
    <row r="842519" spans="27:27">
      <c r="AA842519" s="613"/>
    </row>
    <row r="842664" spans="27:27">
      <c r="AA842664" s="613"/>
    </row>
    <row r="842665" spans="27:27">
      <c r="AA842665" s="613"/>
    </row>
    <row r="842810" spans="27:27">
      <c r="AA842810" s="613"/>
    </row>
    <row r="842811" spans="27:27">
      <c r="AA842811" s="613"/>
    </row>
    <row r="842956" spans="27:27">
      <c r="AA842956" s="613"/>
    </row>
    <row r="842957" spans="27:27">
      <c r="AA842957" s="613"/>
    </row>
    <row r="843102" spans="27:27">
      <c r="AA843102" s="613"/>
    </row>
    <row r="843103" spans="27:27">
      <c r="AA843103" s="613"/>
    </row>
    <row r="843248" spans="27:27">
      <c r="AA843248" s="613"/>
    </row>
    <row r="843249" spans="27:27">
      <c r="AA843249" s="613"/>
    </row>
    <row r="843394" spans="27:27">
      <c r="AA843394" s="613"/>
    </row>
    <row r="843395" spans="27:27">
      <c r="AA843395" s="613"/>
    </row>
    <row r="843540" spans="27:27">
      <c r="AA843540" s="613"/>
    </row>
    <row r="843541" spans="27:27">
      <c r="AA843541" s="613"/>
    </row>
    <row r="843686" spans="27:27">
      <c r="AA843686" s="613"/>
    </row>
    <row r="843687" spans="27:27">
      <c r="AA843687" s="613"/>
    </row>
    <row r="843832" spans="27:27">
      <c r="AA843832" s="613"/>
    </row>
    <row r="843833" spans="27:27">
      <c r="AA843833" s="613"/>
    </row>
    <row r="843978" spans="27:27">
      <c r="AA843978" s="613"/>
    </row>
    <row r="843979" spans="27:27">
      <c r="AA843979" s="613"/>
    </row>
    <row r="844124" spans="27:27">
      <c r="AA844124" s="613"/>
    </row>
    <row r="844125" spans="27:27">
      <c r="AA844125" s="613"/>
    </row>
    <row r="844270" spans="27:27">
      <c r="AA844270" s="613"/>
    </row>
    <row r="844271" spans="27:27">
      <c r="AA844271" s="613"/>
    </row>
    <row r="844416" spans="27:27">
      <c r="AA844416" s="613"/>
    </row>
    <row r="844417" spans="27:27">
      <c r="AA844417" s="613"/>
    </row>
    <row r="844562" spans="27:27">
      <c r="AA844562" s="613"/>
    </row>
    <row r="844563" spans="27:27">
      <c r="AA844563" s="613"/>
    </row>
    <row r="844708" spans="27:27">
      <c r="AA844708" s="613"/>
    </row>
    <row r="844709" spans="27:27">
      <c r="AA844709" s="613"/>
    </row>
    <row r="844854" spans="27:27">
      <c r="AA844854" s="613"/>
    </row>
    <row r="844855" spans="27:27">
      <c r="AA844855" s="613"/>
    </row>
    <row r="845000" spans="27:27">
      <c r="AA845000" s="613"/>
    </row>
    <row r="845001" spans="27:27">
      <c r="AA845001" s="613"/>
    </row>
    <row r="845146" spans="27:27">
      <c r="AA845146" s="613"/>
    </row>
    <row r="845147" spans="27:27">
      <c r="AA845147" s="613"/>
    </row>
    <row r="845292" spans="27:27">
      <c r="AA845292" s="613"/>
    </row>
    <row r="845293" spans="27:27">
      <c r="AA845293" s="613"/>
    </row>
    <row r="845438" spans="27:27">
      <c r="AA845438" s="613"/>
    </row>
    <row r="845439" spans="27:27">
      <c r="AA845439" s="613"/>
    </row>
    <row r="845584" spans="27:27">
      <c r="AA845584" s="613"/>
    </row>
    <row r="845585" spans="27:27">
      <c r="AA845585" s="613"/>
    </row>
    <row r="845730" spans="27:27">
      <c r="AA845730" s="613"/>
    </row>
    <row r="845731" spans="27:27">
      <c r="AA845731" s="613"/>
    </row>
    <row r="845876" spans="27:27">
      <c r="AA845876" s="613"/>
    </row>
    <row r="845877" spans="27:27">
      <c r="AA845877" s="613"/>
    </row>
    <row r="846022" spans="27:27">
      <c r="AA846022" s="613"/>
    </row>
    <row r="846023" spans="27:27">
      <c r="AA846023" s="613"/>
    </row>
    <row r="846168" spans="27:27">
      <c r="AA846168" s="613"/>
    </row>
    <row r="846169" spans="27:27">
      <c r="AA846169" s="613"/>
    </row>
    <row r="846314" spans="27:27">
      <c r="AA846314" s="613"/>
    </row>
    <row r="846315" spans="27:27">
      <c r="AA846315" s="613"/>
    </row>
    <row r="846460" spans="27:27">
      <c r="AA846460" s="613"/>
    </row>
    <row r="846461" spans="27:27">
      <c r="AA846461" s="613"/>
    </row>
    <row r="846606" spans="27:27">
      <c r="AA846606" s="613"/>
    </row>
    <row r="846607" spans="27:27">
      <c r="AA846607" s="613"/>
    </row>
    <row r="846752" spans="27:27">
      <c r="AA846752" s="613"/>
    </row>
    <row r="846753" spans="27:27">
      <c r="AA846753" s="613"/>
    </row>
    <row r="846898" spans="27:27">
      <c r="AA846898" s="613"/>
    </row>
    <row r="846899" spans="27:27">
      <c r="AA846899" s="613"/>
    </row>
    <row r="847044" spans="27:27">
      <c r="AA847044" s="613"/>
    </row>
    <row r="847045" spans="27:27">
      <c r="AA847045" s="613"/>
    </row>
    <row r="847190" spans="27:27">
      <c r="AA847190" s="613"/>
    </row>
    <row r="847191" spans="27:27">
      <c r="AA847191" s="613"/>
    </row>
    <row r="847336" spans="27:27">
      <c r="AA847336" s="613"/>
    </row>
    <row r="847337" spans="27:27">
      <c r="AA847337" s="613"/>
    </row>
    <row r="847482" spans="27:27">
      <c r="AA847482" s="613"/>
    </row>
    <row r="847483" spans="27:27">
      <c r="AA847483" s="613"/>
    </row>
    <row r="847628" spans="27:27">
      <c r="AA847628" s="613"/>
    </row>
    <row r="847629" spans="27:27">
      <c r="AA847629" s="613"/>
    </row>
    <row r="847774" spans="27:27">
      <c r="AA847774" s="613"/>
    </row>
    <row r="847775" spans="27:27">
      <c r="AA847775" s="613"/>
    </row>
    <row r="847920" spans="27:27">
      <c r="AA847920" s="613"/>
    </row>
    <row r="847921" spans="27:27">
      <c r="AA847921" s="613"/>
    </row>
    <row r="848066" spans="27:27">
      <c r="AA848066" s="613"/>
    </row>
    <row r="848067" spans="27:27">
      <c r="AA848067" s="613"/>
    </row>
    <row r="848212" spans="27:27">
      <c r="AA848212" s="613"/>
    </row>
    <row r="848213" spans="27:27">
      <c r="AA848213" s="613"/>
    </row>
    <row r="848358" spans="27:27">
      <c r="AA848358" s="613"/>
    </row>
    <row r="848359" spans="27:27">
      <c r="AA848359" s="613"/>
    </row>
    <row r="848504" spans="27:27">
      <c r="AA848504" s="613"/>
    </row>
    <row r="848505" spans="27:27">
      <c r="AA848505" s="613"/>
    </row>
    <row r="848650" spans="27:27">
      <c r="AA848650" s="613"/>
    </row>
    <row r="848651" spans="27:27">
      <c r="AA848651" s="613"/>
    </row>
    <row r="848796" spans="27:27">
      <c r="AA848796" s="613"/>
    </row>
    <row r="848797" spans="27:27">
      <c r="AA848797" s="613"/>
    </row>
    <row r="848942" spans="27:27">
      <c r="AA848942" s="613"/>
    </row>
    <row r="848943" spans="27:27">
      <c r="AA848943" s="613"/>
    </row>
    <row r="849088" spans="27:27">
      <c r="AA849088" s="613"/>
    </row>
    <row r="849089" spans="27:27">
      <c r="AA849089" s="613"/>
    </row>
    <row r="849234" spans="27:27">
      <c r="AA849234" s="613"/>
    </row>
    <row r="849235" spans="27:27">
      <c r="AA849235" s="613"/>
    </row>
    <row r="849380" spans="27:27">
      <c r="AA849380" s="613"/>
    </row>
    <row r="849381" spans="27:27">
      <c r="AA849381" s="613"/>
    </row>
    <row r="849526" spans="27:27">
      <c r="AA849526" s="613"/>
    </row>
    <row r="849527" spans="27:27">
      <c r="AA849527" s="613"/>
    </row>
    <row r="849672" spans="27:27">
      <c r="AA849672" s="613"/>
    </row>
    <row r="849673" spans="27:27">
      <c r="AA849673" s="613"/>
    </row>
    <row r="849818" spans="27:27">
      <c r="AA849818" s="613"/>
    </row>
    <row r="849819" spans="27:27">
      <c r="AA849819" s="613"/>
    </row>
    <row r="849964" spans="27:27">
      <c r="AA849964" s="613"/>
    </row>
    <row r="849965" spans="27:27">
      <c r="AA849965" s="613"/>
    </row>
    <row r="850110" spans="27:27">
      <c r="AA850110" s="613"/>
    </row>
    <row r="850111" spans="27:27">
      <c r="AA850111" s="613"/>
    </row>
    <row r="850256" spans="27:27">
      <c r="AA850256" s="613"/>
    </row>
    <row r="850257" spans="27:27">
      <c r="AA850257" s="613"/>
    </row>
    <row r="850402" spans="27:27">
      <c r="AA850402" s="613"/>
    </row>
    <row r="850403" spans="27:27">
      <c r="AA850403" s="613"/>
    </row>
    <row r="850548" spans="27:27">
      <c r="AA850548" s="613"/>
    </row>
    <row r="850549" spans="27:27">
      <c r="AA850549" s="613"/>
    </row>
    <row r="850694" spans="27:27">
      <c r="AA850694" s="613"/>
    </row>
    <row r="850695" spans="27:27">
      <c r="AA850695" s="613"/>
    </row>
    <row r="850840" spans="27:27">
      <c r="AA850840" s="613"/>
    </row>
    <row r="850841" spans="27:27">
      <c r="AA850841" s="613"/>
    </row>
    <row r="850986" spans="27:27">
      <c r="AA850986" s="613"/>
    </row>
    <row r="850987" spans="27:27">
      <c r="AA850987" s="613"/>
    </row>
    <row r="851132" spans="27:27">
      <c r="AA851132" s="613"/>
    </row>
    <row r="851133" spans="27:27">
      <c r="AA851133" s="613"/>
    </row>
    <row r="851278" spans="27:27">
      <c r="AA851278" s="613"/>
    </row>
    <row r="851279" spans="27:27">
      <c r="AA851279" s="613"/>
    </row>
    <row r="851424" spans="27:27">
      <c r="AA851424" s="613"/>
    </row>
    <row r="851425" spans="27:27">
      <c r="AA851425" s="613"/>
    </row>
    <row r="851570" spans="27:27">
      <c r="AA851570" s="613"/>
    </row>
    <row r="851571" spans="27:27">
      <c r="AA851571" s="613"/>
    </row>
    <row r="851716" spans="27:27">
      <c r="AA851716" s="613"/>
    </row>
    <row r="851717" spans="27:27">
      <c r="AA851717" s="613"/>
    </row>
    <row r="851862" spans="27:27">
      <c r="AA851862" s="613"/>
    </row>
    <row r="851863" spans="27:27">
      <c r="AA851863" s="613"/>
    </row>
    <row r="852008" spans="27:27">
      <c r="AA852008" s="613"/>
    </row>
    <row r="852009" spans="27:27">
      <c r="AA852009" s="613"/>
    </row>
    <row r="852154" spans="27:27">
      <c r="AA852154" s="613"/>
    </row>
    <row r="852155" spans="27:27">
      <c r="AA852155" s="613"/>
    </row>
    <row r="852300" spans="27:27">
      <c r="AA852300" s="613"/>
    </row>
    <row r="852301" spans="27:27">
      <c r="AA852301" s="613"/>
    </row>
    <row r="852446" spans="27:27">
      <c r="AA852446" s="613"/>
    </row>
    <row r="852447" spans="27:27">
      <c r="AA852447" s="613"/>
    </row>
    <row r="852592" spans="27:27">
      <c r="AA852592" s="613"/>
    </row>
    <row r="852593" spans="27:27">
      <c r="AA852593" s="613"/>
    </row>
    <row r="852738" spans="27:27">
      <c r="AA852738" s="613"/>
    </row>
    <row r="852739" spans="27:27">
      <c r="AA852739" s="613"/>
    </row>
    <row r="852884" spans="27:27">
      <c r="AA852884" s="613"/>
    </row>
    <row r="852885" spans="27:27">
      <c r="AA852885" s="613"/>
    </row>
    <row r="853030" spans="27:27">
      <c r="AA853030" s="613"/>
    </row>
    <row r="853031" spans="27:27">
      <c r="AA853031" s="613"/>
    </row>
    <row r="853176" spans="27:27">
      <c r="AA853176" s="613"/>
    </row>
    <row r="853177" spans="27:27">
      <c r="AA853177" s="613"/>
    </row>
    <row r="853322" spans="27:27">
      <c r="AA853322" s="613"/>
    </row>
    <row r="853323" spans="27:27">
      <c r="AA853323" s="613"/>
    </row>
    <row r="853468" spans="27:27">
      <c r="AA853468" s="613"/>
    </row>
    <row r="853469" spans="27:27">
      <c r="AA853469" s="613"/>
    </row>
    <row r="853614" spans="27:27">
      <c r="AA853614" s="613"/>
    </row>
    <row r="853615" spans="27:27">
      <c r="AA853615" s="613"/>
    </row>
    <row r="853760" spans="27:27">
      <c r="AA853760" s="613"/>
    </row>
    <row r="853761" spans="27:27">
      <c r="AA853761" s="613"/>
    </row>
    <row r="853906" spans="27:27">
      <c r="AA853906" s="613"/>
    </row>
    <row r="853907" spans="27:27">
      <c r="AA853907" s="613"/>
    </row>
    <row r="854052" spans="27:27">
      <c r="AA854052" s="613"/>
    </row>
    <row r="854053" spans="27:27">
      <c r="AA854053" s="613"/>
    </row>
    <row r="854198" spans="27:27">
      <c r="AA854198" s="613"/>
    </row>
    <row r="854199" spans="27:27">
      <c r="AA854199" s="613"/>
    </row>
    <row r="854344" spans="27:27">
      <c r="AA854344" s="613"/>
    </row>
    <row r="854345" spans="27:27">
      <c r="AA854345" s="613"/>
    </row>
    <row r="854490" spans="27:27">
      <c r="AA854490" s="613"/>
    </row>
    <row r="854491" spans="27:27">
      <c r="AA854491" s="613"/>
    </row>
    <row r="854636" spans="27:27">
      <c r="AA854636" s="613"/>
    </row>
    <row r="854637" spans="27:27">
      <c r="AA854637" s="613"/>
    </row>
    <row r="854782" spans="27:27">
      <c r="AA854782" s="613"/>
    </row>
    <row r="854783" spans="27:27">
      <c r="AA854783" s="613"/>
    </row>
    <row r="854928" spans="27:27">
      <c r="AA854928" s="613"/>
    </row>
    <row r="854929" spans="27:27">
      <c r="AA854929" s="613"/>
    </row>
    <row r="855074" spans="27:27">
      <c r="AA855074" s="613"/>
    </row>
    <row r="855075" spans="27:27">
      <c r="AA855075" s="613"/>
    </row>
    <row r="855220" spans="27:27">
      <c r="AA855220" s="613"/>
    </row>
    <row r="855221" spans="27:27">
      <c r="AA855221" s="613"/>
    </row>
    <row r="855366" spans="27:27">
      <c r="AA855366" s="613"/>
    </row>
    <row r="855367" spans="27:27">
      <c r="AA855367" s="613"/>
    </row>
    <row r="855512" spans="27:27">
      <c r="AA855512" s="613"/>
    </row>
    <row r="855513" spans="27:27">
      <c r="AA855513" s="613"/>
    </row>
    <row r="855658" spans="27:27">
      <c r="AA855658" s="613"/>
    </row>
    <row r="855659" spans="27:27">
      <c r="AA855659" s="613"/>
    </row>
    <row r="855804" spans="27:27">
      <c r="AA855804" s="613"/>
    </row>
    <row r="855805" spans="27:27">
      <c r="AA855805" s="613"/>
    </row>
    <row r="855950" spans="27:27">
      <c r="AA855950" s="613"/>
    </row>
    <row r="855951" spans="27:27">
      <c r="AA855951" s="613"/>
    </row>
    <row r="856096" spans="27:27">
      <c r="AA856096" s="613"/>
    </row>
    <row r="856097" spans="27:27">
      <c r="AA856097" s="613"/>
    </row>
    <row r="856242" spans="27:27">
      <c r="AA856242" s="613"/>
    </row>
    <row r="856243" spans="27:27">
      <c r="AA856243" s="613"/>
    </row>
    <row r="856388" spans="27:27">
      <c r="AA856388" s="613"/>
    </row>
    <row r="856389" spans="27:27">
      <c r="AA856389" s="613"/>
    </row>
    <row r="856534" spans="27:27">
      <c r="AA856534" s="613"/>
    </row>
    <row r="856535" spans="27:27">
      <c r="AA856535" s="613"/>
    </row>
    <row r="856680" spans="27:27">
      <c r="AA856680" s="613"/>
    </row>
    <row r="856681" spans="27:27">
      <c r="AA856681" s="613"/>
    </row>
    <row r="856826" spans="27:27">
      <c r="AA856826" s="613"/>
    </row>
    <row r="856827" spans="27:27">
      <c r="AA856827" s="613"/>
    </row>
    <row r="856972" spans="27:27">
      <c r="AA856972" s="613"/>
    </row>
    <row r="856973" spans="27:27">
      <c r="AA856973" s="613"/>
    </row>
    <row r="857118" spans="27:27">
      <c r="AA857118" s="613"/>
    </row>
    <row r="857119" spans="27:27">
      <c r="AA857119" s="613"/>
    </row>
    <row r="857264" spans="27:27">
      <c r="AA857264" s="613"/>
    </row>
    <row r="857265" spans="27:27">
      <c r="AA857265" s="613"/>
    </row>
    <row r="857410" spans="27:27">
      <c r="AA857410" s="613"/>
    </row>
    <row r="857411" spans="27:27">
      <c r="AA857411" s="613"/>
    </row>
    <row r="857556" spans="27:27">
      <c r="AA857556" s="613"/>
    </row>
    <row r="857557" spans="27:27">
      <c r="AA857557" s="613"/>
    </row>
    <row r="857702" spans="27:27">
      <c r="AA857702" s="613"/>
    </row>
    <row r="857703" spans="27:27">
      <c r="AA857703" s="613"/>
    </row>
    <row r="857848" spans="27:27">
      <c r="AA857848" s="613"/>
    </row>
    <row r="857849" spans="27:27">
      <c r="AA857849" s="613"/>
    </row>
    <row r="857994" spans="27:27">
      <c r="AA857994" s="613"/>
    </row>
    <row r="857995" spans="27:27">
      <c r="AA857995" s="613"/>
    </row>
    <row r="858140" spans="27:27">
      <c r="AA858140" s="613"/>
    </row>
    <row r="858141" spans="27:27">
      <c r="AA858141" s="613"/>
    </row>
    <row r="858286" spans="27:27">
      <c r="AA858286" s="613"/>
    </row>
    <row r="858287" spans="27:27">
      <c r="AA858287" s="613"/>
    </row>
    <row r="858432" spans="27:27">
      <c r="AA858432" s="613"/>
    </row>
    <row r="858433" spans="27:27">
      <c r="AA858433" s="613"/>
    </row>
    <row r="858578" spans="27:27">
      <c r="AA858578" s="613"/>
    </row>
    <row r="858579" spans="27:27">
      <c r="AA858579" s="613"/>
    </row>
    <row r="858724" spans="27:27">
      <c r="AA858724" s="613"/>
    </row>
    <row r="858725" spans="27:27">
      <c r="AA858725" s="613"/>
    </row>
    <row r="858870" spans="27:27">
      <c r="AA858870" s="613"/>
    </row>
    <row r="858871" spans="27:27">
      <c r="AA858871" s="613"/>
    </row>
    <row r="859016" spans="27:27">
      <c r="AA859016" s="613"/>
    </row>
    <row r="859017" spans="27:27">
      <c r="AA859017" s="613"/>
    </row>
    <row r="859162" spans="27:27">
      <c r="AA859162" s="613"/>
    </row>
    <row r="859163" spans="27:27">
      <c r="AA859163" s="613"/>
    </row>
    <row r="859308" spans="27:27">
      <c r="AA859308" s="613"/>
    </row>
    <row r="859309" spans="27:27">
      <c r="AA859309" s="613"/>
    </row>
    <row r="859454" spans="27:27">
      <c r="AA859454" s="613"/>
    </row>
    <row r="859455" spans="27:27">
      <c r="AA859455" s="613"/>
    </row>
    <row r="859600" spans="27:27">
      <c r="AA859600" s="613"/>
    </row>
    <row r="859601" spans="27:27">
      <c r="AA859601" s="613"/>
    </row>
    <row r="859746" spans="27:27">
      <c r="AA859746" s="613"/>
    </row>
    <row r="859747" spans="27:27">
      <c r="AA859747" s="613"/>
    </row>
    <row r="859892" spans="27:27">
      <c r="AA859892" s="613"/>
    </row>
    <row r="859893" spans="27:27">
      <c r="AA859893" s="613"/>
    </row>
    <row r="860038" spans="27:27">
      <c r="AA860038" s="613"/>
    </row>
    <row r="860039" spans="27:27">
      <c r="AA860039" s="613"/>
    </row>
    <row r="860184" spans="27:27">
      <c r="AA860184" s="613"/>
    </row>
    <row r="860185" spans="27:27">
      <c r="AA860185" s="613"/>
    </row>
    <row r="860330" spans="27:27">
      <c r="AA860330" s="613"/>
    </row>
    <row r="860331" spans="27:27">
      <c r="AA860331" s="613"/>
    </row>
    <row r="860476" spans="27:27">
      <c r="AA860476" s="613"/>
    </row>
    <row r="860477" spans="27:27">
      <c r="AA860477" s="613"/>
    </row>
    <row r="860622" spans="27:27">
      <c r="AA860622" s="613"/>
    </row>
    <row r="860623" spans="27:27">
      <c r="AA860623" s="613"/>
    </row>
    <row r="860768" spans="27:27">
      <c r="AA860768" s="613"/>
    </row>
    <row r="860769" spans="27:27">
      <c r="AA860769" s="613"/>
    </row>
    <row r="860914" spans="27:27">
      <c r="AA860914" s="613"/>
    </row>
    <row r="860915" spans="27:27">
      <c r="AA860915" s="613"/>
    </row>
    <row r="861060" spans="27:27">
      <c r="AA861060" s="613"/>
    </row>
    <row r="861061" spans="27:27">
      <c r="AA861061" s="613"/>
    </row>
    <row r="861206" spans="27:27">
      <c r="AA861206" s="613"/>
    </row>
    <row r="861207" spans="27:27">
      <c r="AA861207" s="613"/>
    </row>
    <row r="861352" spans="27:27">
      <c r="AA861352" s="613"/>
    </row>
    <row r="861353" spans="27:27">
      <c r="AA861353" s="613"/>
    </row>
    <row r="861498" spans="27:27">
      <c r="AA861498" s="613"/>
    </row>
    <row r="861499" spans="27:27">
      <c r="AA861499" s="613"/>
    </row>
    <row r="861644" spans="27:27">
      <c r="AA861644" s="613"/>
    </row>
    <row r="861645" spans="27:27">
      <c r="AA861645" s="613"/>
    </row>
    <row r="861790" spans="27:27">
      <c r="AA861790" s="613"/>
    </row>
    <row r="861791" spans="27:27">
      <c r="AA861791" s="613"/>
    </row>
    <row r="861936" spans="27:27">
      <c r="AA861936" s="613"/>
    </row>
    <row r="861937" spans="27:27">
      <c r="AA861937" s="613"/>
    </row>
    <row r="862082" spans="27:27">
      <c r="AA862082" s="613"/>
    </row>
    <row r="862083" spans="27:27">
      <c r="AA862083" s="613"/>
    </row>
    <row r="862228" spans="27:27">
      <c r="AA862228" s="613"/>
    </row>
    <row r="862229" spans="27:27">
      <c r="AA862229" s="613"/>
    </row>
    <row r="862374" spans="27:27">
      <c r="AA862374" s="613"/>
    </row>
    <row r="862375" spans="27:27">
      <c r="AA862375" s="613"/>
    </row>
    <row r="862520" spans="27:27">
      <c r="AA862520" s="613"/>
    </row>
    <row r="862521" spans="27:27">
      <c r="AA862521" s="613"/>
    </row>
    <row r="862666" spans="27:27">
      <c r="AA862666" s="613"/>
    </row>
    <row r="862667" spans="27:27">
      <c r="AA862667" s="613"/>
    </row>
    <row r="862812" spans="27:27">
      <c r="AA862812" s="613"/>
    </row>
    <row r="862813" spans="27:27">
      <c r="AA862813" s="613"/>
    </row>
    <row r="862958" spans="27:27">
      <c r="AA862958" s="613"/>
    </row>
    <row r="862959" spans="27:27">
      <c r="AA862959" s="613"/>
    </row>
    <row r="863104" spans="27:27">
      <c r="AA863104" s="613"/>
    </row>
    <row r="863105" spans="27:27">
      <c r="AA863105" s="613"/>
    </row>
    <row r="863250" spans="27:27">
      <c r="AA863250" s="613"/>
    </row>
    <row r="863251" spans="27:27">
      <c r="AA863251" s="613"/>
    </row>
    <row r="863396" spans="27:27">
      <c r="AA863396" s="613"/>
    </row>
    <row r="863397" spans="27:27">
      <c r="AA863397" s="613"/>
    </row>
    <row r="863542" spans="27:27">
      <c r="AA863542" s="613"/>
    </row>
    <row r="863543" spans="27:27">
      <c r="AA863543" s="613"/>
    </row>
    <row r="863688" spans="27:27">
      <c r="AA863688" s="613"/>
    </row>
    <row r="863689" spans="27:27">
      <c r="AA863689" s="613"/>
    </row>
    <row r="863834" spans="27:27">
      <c r="AA863834" s="613"/>
    </row>
    <row r="863835" spans="27:27">
      <c r="AA863835" s="613"/>
    </row>
    <row r="863980" spans="27:27">
      <c r="AA863980" s="613"/>
    </row>
    <row r="863981" spans="27:27">
      <c r="AA863981" s="613"/>
    </row>
    <row r="864126" spans="27:27">
      <c r="AA864126" s="613"/>
    </row>
    <row r="864127" spans="27:27">
      <c r="AA864127" s="613"/>
    </row>
    <row r="864272" spans="27:27">
      <c r="AA864272" s="613"/>
    </row>
    <row r="864273" spans="27:27">
      <c r="AA864273" s="613"/>
    </row>
    <row r="864418" spans="27:27">
      <c r="AA864418" s="613"/>
    </row>
    <row r="864419" spans="27:27">
      <c r="AA864419" s="613"/>
    </row>
    <row r="864564" spans="27:27">
      <c r="AA864564" s="613"/>
    </row>
    <row r="864565" spans="27:27">
      <c r="AA864565" s="613"/>
    </row>
    <row r="864710" spans="27:27">
      <c r="AA864710" s="613"/>
    </row>
    <row r="864711" spans="27:27">
      <c r="AA864711" s="613"/>
    </row>
    <row r="864856" spans="27:27">
      <c r="AA864856" s="613"/>
    </row>
    <row r="864857" spans="27:27">
      <c r="AA864857" s="613"/>
    </row>
    <row r="865002" spans="27:27">
      <c r="AA865002" s="613"/>
    </row>
    <row r="865003" spans="27:27">
      <c r="AA865003" s="613"/>
    </row>
    <row r="865148" spans="27:27">
      <c r="AA865148" s="613"/>
    </row>
    <row r="865149" spans="27:27">
      <c r="AA865149" s="613"/>
    </row>
    <row r="865294" spans="27:27">
      <c r="AA865294" s="613"/>
    </row>
    <row r="865295" spans="27:27">
      <c r="AA865295" s="613"/>
    </row>
    <row r="865440" spans="27:27">
      <c r="AA865440" s="613"/>
    </row>
    <row r="865441" spans="27:27">
      <c r="AA865441" s="613"/>
    </row>
    <row r="865586" spans="27:27">
      <c r="AA865586" s="613"/>
    </row>
    <row r="865587" spans="27:27">
      <c r="AA865587" s="613"/>
    </row>
    <row r="865732" spans="27:27">
      <c r="AA865732" s="613"/>
    </row>
    <row r="865733" spans="27:27">
      <c r="AA865733" s="613"/>
    </row>
    <row r="865878" spans="27:27">
      <c r="AA865878" s="613"/>
    </row>
    <row r="865879" spans="27:27">
      <c r="AA865879" s="613"/>
    </row>
    <row r="866024" spans="27:27">
      <c r="AA866024" s="613"/>
    </row>
    <row r="866025" spans="27:27">
      <c r="AA866025" s="613"/>
    </row>
    <row r="866170" spans="27:27">
      <c r="AA866170" s="613"/>
    </row>
    <row r="866171" spans="27:27">
      <c r="AA866171" s="613"/>
    </row>
    <row r="866316" spans="27:27">
      <c r="AA866316" s="613"/>
    </row>
    <row r="866317" spans="27:27">
      <c r="AA866317" s="613"/>
    </row>
    <row r="866462" spans="27:27">
      <c r="AA866462" s="613"/>
    </row>
    <row r="866463" spans="27:27">
      <c r="AA866463" s="613"/>
    </row>
    <row r="866608" spans="27:27">
      <c r="AA866608" s="613"/>
    </row>
    <row r="866609" spans="27:27">
      <c r="AA866609" s="613"/>
    </row>
    <row r="866754" spans="27:27">
      <c r="AA866754" s="613"/>
    </row>
    <row r="866755" spans="27:27">
      <c r="AA866755" s="613"/>
    </row>
    <row r="866900" spans="27:27">
      <c r="AA866900" s="613"/>
    </row>
    <row r="866901" spans="27:27">
      <c r="AA866901" s="613"/>
    </row>
    <row r="867046" spans="27:27">
      <c r="AA867046" s="613"/>
    </row>
    <row r="867047" spans="27:27">
      <c r="AA867047" s="613"/>
    </row>
    <row r="867192" spans="27:27">
      <c r="AA867192" s="613"/>
    </row>
    <row r="867193" spans="27:27">
      <c r="AA867193" s="613"/>
    </row>
    <row r="867338" spans="27:27">
      <c r="AA867338" s="613"/>
    </row>
    <row r="867339" spans="27:27">
      <c r="AA867339" s="613"/>
    </row>
    <row r="867484" spans="27:27">
      <c r="AA867484" s="613"/>
    </row>
    <row r="867485" spans="27:27">
      <c r="AA867485" s="613"/>
    </row>
    <row r="867630" spans="27:27">
      <c r="AA867630" s="613"/>
    </row>
    <row r="867631" spans="27:27">
      <c r="AA867631" s="613"/>
    </row>
    <row r="867776" spans="27:27">
      <c r="AA867776" s="613"/>
    </row>
    <row r="867777" spans="27:27">
      <c r="AA867777" s="613"/>
    </row>
    <row r="867922" spans="27:27">
      <c r="AA867922" s="613"/>
    </row>
    <row r="867923" spans="27:27">
      <c r="AA867923" s="613"/>
    </row>
    <row r="868068" spans="27:27">
      <c r="AA868068" s="613"/>
    </row>
    <row r="868069" spans="27:27">
      <c r="AA868069" s="613"/>
    </row>
    <row r="868214" spans="27:27">
      <c r="AA868214" s="613"/>
    </row>
    <row r="868215" spans="27:27">
      <c r="AA868215" s="613"/>
    </row>
    <row r="868360" spans="27:27">
      <c r="AA868360" s="613"/>
    </row>
    <row r="868361" spans="27:27">
      <c r="AA868361" s="613"/>
    </row>
    <row r="868506" spans="27:27">
      <c r="AA868506" s="613"/>
    </row>
    <row r="868507" spans="27:27">
      <c r="AA868507" s="613"/>
    </row>
    <row r="868652" spans="27:27">
      <c r="AA868652" s="613"/>
    </row>
    <row r="868653" spans="27:27">
      <c r="AA868653" s="613"/>
    </row>
    <row r="868798" spans="27:27">
      <c r="AA868798" s="613"/>
    </row>
    <row r="868799" spans="27:27">
      <c r="AA868799" s="613"/>
    </row>
    <row r="868944" spans="27:27">
      <c r="AA868944" s="613"/>
    </row>
    <row r="868945" spans="27:27">
      <c r="AA868945" s="613"/>
    </row>
    <row r="869090" spans="27:27">
      <c r="AA869090" s="613"/>
    </row>
    <row r="869091" spans="27:27">
      <c r="AA869091" s="613"/>
    </row>
    <row r="869236" spans="27:27">
      <c r="AA869236" s="613"/>
    </row>
    <row r="869237" spans="27:27">
      <c r="AA869237" s="613"/>
    </row>
    <row r="869382" spans="27:27">
      <c r="AA869382" s="613"/>
    </row>
    <row r="869383" spans="27:27">
      <c r="AA869383" s="613"/>
    </row>
    <row r="869528" spans="27:27">
      <c r="AA869528" s="613"/>
    </row>
    <row r="869529" spans="27:27">
      <c r="AA869529" s="613"/>
    </row>
    <row r="869674" spans="27:27">
      <c r="AA869674" s="613"/>
    </row>
    <row r="869675" spans="27:27">
      <c r="AA869675" s="613"/>
    </row>
    <row r="869820" spans="27:27">
      <c r="AA869820" s="613"/>
    </row>
    <row r="869821" spans="27:27">
      <c r="AA869821" s="613"/>
    </row>
    <row r="869966" spans="27:27">
      <c r="AA869966" s="613"/>
    </row>
    <row r="869967" spans="27:27">
      <c r="AA869967" s="613"/>
    </row>
    <row r="870112" spans="27:27">
      <c r="AA870112" s="613"/>
    </row>
    <row r="870113" spans="27:27">
      <c r="AA870113" s="613"/>
    </row>
    <row r="870258" spans="27:27">
      <c r="AA870258" s="613"/>
    </row>
    <row r="870259" spans="27:27">
      <c r="AA870259" s="613"/>
    </row>
    <row r="870404" spans="27:27">
      <c r="AA870404" s="613"/>
    </row>
    <row r="870405" spans="27:27">
      <c r="AA870405" s="613"/>
    </row>
    <row r="870550" spans="27:27">
      <c r="AA870550" s="613"/>
    </row>
    <row r="870551" spans="27:27">
      <c r="AA870551" s="613"/>
    </row>
    <row r="870696" spans="27:27">
      <c r="AA870696" s="613"/>
    </row>
    <row r="870697" spans="27:27">
      <c r="AA870697" s="613"/>
    </row>
    <row r="870842" spans="27:27">
      <c r="AA870842" s="613"/>
    </row>
    <row r="870843" spans="27:27">
      <c r="AA870843" s="613"/>
    </row>
    <row r="870988" spans="27:27">
      <c r="AA870988" s="613"/>
    </row>
    <row r="870989" spans="27:27">
      <c r="AA870989" s="613"/>
    </row>
    <row r="871134" spans="27:27">
      <c r="AA871134" s="613"/>
    </row>
    <row r="871135" spans="27:27">
      <c r="AA871135" s="613"/>
    </row>
    <row r="871280" spans="27:27">
      <c r="AA871280" s="613"/>
    </row>
    <row r="871281" spans="27:27">
      <c r="AA871281" s="613"/>
    </row>
    <row r="871426" spans="27:27">
      <c r="AA871426" s="613"/>
    </row>
    <row r="871427" spans="27:27">
      <c r="AA871427" s="613"/>
    </row>
    <row r="871572" spans="27:27">
      <c r="AA871572" s="613"/>
    </row>
    <row r="871573" spans="27:27">
      <c r="AA871573" s="613"/>
    </row>
    <row r="871718" spans="27:27">
      <c r="AA871718" s="613"/>
    </row>
    <row r="871719" spans="27:27">
      <c r="AA871719" s="613"/>
    </row>
    <row r="871864" spans="27:27">
      <c r="AA871864" s="613"/>
    </row>
    <row r="871865" spans="27:27">
      <c r="AA871865" s="613"/>
    </row>
    <row r="872010" spans="27:27">
      <c r="AA872010" s="613"/>
    </row>
    <row r="872011" spans="27:27">
      <c r="AA872011" s="613"/>
    </row>
    <row r="872156" spans="27:27">
      <c r="AA872156" s="613"/>
    </row>
    <row r="872157" spans="27:27">
      <c r="AA872157" s="613"/>
    </row>
    <row r="872302" spans="27:27">
      <c r="AA872302" s="613"/>
    </row>
    <row r="872303" spans="27:27">
      <c r="AA872303" s="613"/>
    </row>
    <row r="872448" spans="27:27">
      <c r="AA872448" s="613"/>
    </row>
    <row r="872449" spans="27:27">
      <c r="AA872449" s="613"/>
    </row>
    <row r="872594" spans="27:27">
      <c r="AA872594" s="613"/>
    </row>
    <row r="872595" spans="27:27">
      <c r="AA872595" s="613"/>
    </row>
    <row r="872740" spans="27:27">
      <c r="AA872740" s="613"/>
    </row>
    <row r="872741" spans="27:27">
      <c r="AA872741" s="613"/>
    </row>
    <row r="872886" spans="27:27">
      <c r="AA872886" s="613"/>
    </row>
    <row r="872887" spans="27:27">
      <c r="AA872887" s="613"/>
    </row>
    <row r="873032" spans="27:27">
      <c r="AA873032" s="613"/>
    </row>
    <row r="873033" spans="27:27">
      <c r="AA873033" s="613"/>
    </row>
    <row r="873178" spans="27:27">
      <c r="AA873178" s="613"/>
    </row>
    <row r="873179" spans="27:27">
      <c r="AA873179" s="613"/>
    </row>
    <row r="873324" spans="27:27">
      <c r="AA873324" s="613"/>
    </row>
    <row r="873325" spans="27:27">
      <c r="AA873325" s="613"/>
    </row>
    <row r="873470" spans="27:27">
      <c r="AA873470" s="613"/>
    </row>
    <row r="873471" spans="27:27">
      <c r="AA873471" s="613"/>
    </row>
    <row r="873616" spans="27:27">
      <c r="AA873616" s="613"/>
    </row>
    <row r="873617" spans="27:27">
      <c r="AA873617" s="613"/>
    </row>
    <row r="873762" spans="27:27">
      <c r="AA873762" s="613"/>
    </row>
    <row r="873763" spans="27:27">
      <c r="AA873763" s="613"/>
    </row>
    <row r="873908" spans="27:27">
      <c r="AA873908" s="613"/>
    </row>
    <row r="873909" spans="27:27">
      <c r="AA873909" s="613"/>
    </row>
    <row r="874054" spans="27:27">
      <c r="AA874054" s="613"/>
    </row>
    <row r="874055" spans="27:27">
      <c r="AA874055" s="613"/>
    </row>
    <row r="874200" spans="27:27">
      <c r="AA874200" s="613"/>
    </row>
    <row r="874201" spans="27:27">
      <c r="AA874201" s="613"/>
    </row>
    <row r="874346" spans="27:27">
      <c r="AA874346" s="613"/>
    </row>
    <row r="874347" spans="27:27">
      <c r="AA874347" s="613"/>
    </row>
    <row r="874492" spans="27:27">
      <c r="AA874492" s="613"/>
    </row>
    <row r="874493" spans="27:27">
      <c r="AA874493" s="613"/>
    </row>
    <row r="874638" spans="27:27">
      <c r="AA874638" s="613"/>
    </row>
    <row r="874639" spans="27:27">
      <c r="AA874639" s="613"/>
    </row>
    <row r="874784" spans="27:27">
      <c r="AA874784" s="613"/>
    </row>
    <row r="874785" spans="27:27">
      <c r="AA874785" s="613"/>
    </row>
    <row r="874930" spans="27:27">
      <c r="AA874930" s="613"/>
    </row>
    <row r="874931" spans="27:27">
      <c r="AA874931" s="613"/>
    </row>
    <row r="875076" spans="27:27">
      <c r="AA875076" s="613"/>
    </row>
    <row r="875077" spans="27:27">
      <c r="AA875077" s="613"/>
    </row>
    <row r="875222" spans="27:27">
      <c r="AA875222" s="613"/>
    </row>
    <row r="875223" spans="27:27">
      <c r="AA875223" s="613"/>
    </row>
    <row r="875368" spans="27:27">
      <c r="AA875368" s="613"/>
    </row>
    <row r="875369" spans="27:27">
      <c r="AA875369" s="613"/>
    </row>
    <row r="875514" spans="27:27">
      <c r="AA875514" s="613"/>
    </row>
    <row r="875515" spans="27:27">
      <c r="AA875515" s="613"/>
    </row>
    <row r="875660" spans="27:27">
      <c r="AA875660" s="613"/>
    </row>
    <row r="875661" spans="27:27">
      <c r="AA875661" s="613"/>
    </row>
    <row r="875806" spans="27:27">
      <c r="AA875806" s="613"/>
    </row>
    <row r="875807" spans="27:27">
      <c r="AA875807" s="613"/>
    </row>
    <row r="875952" spans="27:27">
      <c r="AA875952" s="613"/>
    </row>
    <row r="875953" spans="27:27">
      <c r="AA875953" s="613"/>
    </row>
    <row r="876098" spans="27:27">
      <c r="AA876098" s="613"/>
    </row>
    <row r="876099" spans="27:27">
      <c r="AA876099" s="613"/>
    </row>
    <row r="876244" spans="27:27">
      <c r="AA876244" s="613"/>
    </row>
    <row r="876245" spans="27:27">
      <c r="AA876245" s="613"/>
    </row>
    <row r="876390" spans="27:27">
      <c r="AA876390" s="613"/>
    </row>
    <row r="876391" spans="27:27">
      <c r="AA876391" s="613"/>
    </row>
    <row r="876536" spans="27:27">
      <c r="AA876536" s="613"/>
    </row>
    <row r="876537" spans="27:27">
      <c r="AA876537" s="613"/>
    </row>
    <row r="876682" spans="27:27">
      <c r="AA876682" s="613"/>
    </row>
    <row r="876683" spans="27:27">
      <c r="AA876683" s="613"/>
    </row>
    <row r="876828" spans="27:27">
      <c r="AA876828" s="613"/>
    </row>
    <row r="876829" spans="27:27">
      <c r="AA876829" s="613"/>
    </row>
    <row r="876974" spans="27:27">
      <c r="AA876974" s="613"/>
    </row>
    <row r="876975" spans="27:27">
      <c r="AA876975" s="613"/>
    </row>
    <row r="877120" spans="27:27">
      <c r="AA877120" s="613"/>
    </row>
    <row r="877121" spans="27:27">
      <c r="AA877121" s="613"/>
    </row>
    <row r="877266" spans="27:27">
      <c r="AA877266" s="613"/>
    </row>
    <row r="877267" spans="27:27">
      <c r="AA877267" s="613"/>
    </row>
    <row r="877412" spans="27:27">
      <c r="AA877412" s="613"/>
    </row>
    <row r="877413" spans="27:27">
      <c r="AA877413" s="613"/>
    </row>
    <row r="877558" spans="27:27">
      <c r="AA877558" s="613"/>
    </row>
    <row r="877559" spans="27:27">
      <c r="AA877559" s="613"/>
    </row>
    <row r="877704" spans="27:27">
      <c r="AA877704" s="613"/>
    </row>
    <row r="877705" spans="27:27">
      <c r="AA877705" s="613"/>
    </row>
    <row r="877850" spans="27:27">
      <c r="AA877850" s="613"/>
    </row>
    <row r="877851" spans="27:27">
      <c r="AA877851" s="613"/>
    </row>
    <row r="877996" spans="27:27">
      <c r="AA877996" s="613"/>
    </row>
    <row r="877997" spans="27:27">
      <c r="AA877997" s="613"/>
    </row>
    <row r="878142" spans="27:27">
      <c r="AA878142" s="613"/>
    </row>
    <row r="878143" spans="27:27">
      <c r="AA878143" s="613"/>
    </row>
    <row r="878288" spans="27:27">
      <c r="AA878288" s="613"/>
    </row>
    <row r="878289" spans="27:27">
      <c r="AA878289" s="613"/>
    </row>
    <row r="878434" spans="27:27">
      <c r="AA878434" s="613"/>
    </row>
    <row r="878435" spans="27:27">
      <c r="AA878435" s="613"/>
    </row>
    <row r="878580" spans="27:27">
      <c r="AA878580" s="613"/>
    </row>
    <row r="878581" spans="27:27">
      <c r="AA878581" s="613"/>
    </row>
    <row r="878726" spans="27:27">
      <c r="AA878726" s="613"/>
    </row>
    <row r="878727" spans="27:27">
      <c r="AA878727" s="613"/>
    </row>
    <row r="878872" spans="27:27">
      <c r="AA878872" s="613"/>
    </row>
    <row r="878873" spans="27:27">
      <c r="AA878873" s="613"/>
    </row>
    <row r="879018" spans="27:27">
      <c r="AA879018" s="613"/>
    </row>
    <row r="879019" spans="27:27">
      <c r="AA879019" s="613"/>
    </row>
    <row r="879164" spans="27:27">
      <c r="AA879164" s="613"/>
    </row>
    <row r="879165" spans="27:27">
      <c r="AA879165" s="613"/>
    </row>
    <row r="879310" spans="27:27">
      <c r="AA879310" s="613"/>
    </row>
    <row r="879311" spans="27:27">
      <c r="AA879311" s="613"/>
    </row>
    <row r="879456" spans="27:27">
      <c r="AA879456" s="613"/>
    </row>
    <row r="879457" spans="27:27">
      <c r="AA879457" s="613"/>
    </row>
    <row r="879602" spans="27:27">
      <c r="AA879602" s="613"/>
    </row>
    <row r="879603" spans="27:27">
      <c r="AA879603" s="613"/>
    </row>
    <row r="879748" spans="27:27">
      <c r="AA879748" s="613"/>
    </row>
    <row r="879749" spans="27:27">
      <c r="AA879749" s="613"/>
    </row>
    <row r="879894" spans="27:27">
      <c r="AA879894" s="613"/>
    </row>
    <row r="879895" spans="27:27">
      <c r="AA879895" s="613"/>
    </row>
    <row r="880040" spans="27:27">
      <c r="AA880040" s="613"/>
    </row>
    <row r="880041" spans="27:27">
      <c r="AA880041" s="613"/>
    </row>
    <row r="880186" spans="27:27">
      <c r="AA880186" s="613"/>
    </row>
    <row r="880187" spans="27:27">
      <c r="AA880187" s="613"/>
    </row>
    <row r="880332" spans="27:27">
      <c r="AA880332" s="613"/>
    </row>
    <row r="880333" spans="27:27">
      <c r="AA880333" s="613"/>
    </row>
    <row r="880478" spans="27:27">
      <c r="AA880478" s="613"/>
    </row>
    <row r="880479" spans="27:27">
      <c r="AA880479" s="613"/>
    </row>
    <row r="880624" spans="27:27">
      <c r="AA880624" s="613"/>
    </row>
    <row r="880625" spans="27:27">
      <c r="AA880625" s="613"/>
    </row>
    <row r="880770" spans="27:27">
      <c r="AA880770" s="613"/>
    </row>
    <row r="880771" spans="27:27">
      <c r="AA880771" s="613"/>
    </row>
    <row r="880916" spans="27:27">
      <c r="AA880916" s="613"/>
    </row>
    <row r="880917" spans="27:27">
      <c r="AA880917" s="613"/>
    </row>
    <row r="881062" spans="27:27">
      <c r="AA881062" s="613"/>
    </row>
    <row r="881063" spans="27:27">
      <c r="AA881063" s="613"/>
    </row>
    <row r="881208" spans="27:27">
      <c r="AA881208" s="613"/>
    </row>
    <row r="881209" spans="27:27">
      <c r="AA881209" s="613"/>
    </row>
    <row r="881354" spans="27:27">
      <c r="AA881354" s="613"/>
    </row>
    <row r="881355" spans="27:27">
      <c r="AA881355" s="613"/>
    </row>
    <row r="881500" spans="27:27">
      <c r="AA881500" s="613"/>
    </row>
    <row r="881501" spans="27:27">
      <c r="AA881501" s="613"/>
    </row>
    <row r="881646" spans="27:27">
      <c r="AA881646" s="613"/>
    </row>
    <row r="881647" spans="27:27">
      <c r="AA881647" s="613"/>
    </row>
    <row r="881792" spans="27:27">
      <c r="AA881792" s="613"/>
    </row>
    <row r="881793" spans="27:27">
      <c r="AA881793" s="613"/>
    </row>
    <row r="881938" spans="27:27">
      <c r="AA881938" s="613"/>
    </row>
    <row r="881939" spans="27:27">
      <c r="AA881939" s="613"/>
    </row>
    <row r="882084" spans="27:27">
      <c r="AA882084" s="613"/>
    </row>
    <row r="882085" spans="27:27">
      <c r="AA882085" s="613"/>
    </row>
    <row r="882230" spans="27:27">
      <c r="AA882230" s="613"/>
    </row>
    <row r="882231" spans="27:27">
      <c r="AA882231" s="613"/>
    </row>
    <row r="882376" spans="27:27">
      <c r="AA882376" s="613"/>
    </row>
    <row r="882377" spans="27:27">
      <c r="AA882377" s="613"/>
    </row>
    <row r="882522" spans="27:27">
      <c r="AA882522" s="613"/>
    </row>
    <row r="882523" spans="27:27">
      <c r="AA882523" s="613"/>
    </row>
    <row r="882668" spans="27:27">
      <c r="AA882668" s="613"/>
    </row>
    <row r="882669" spans="27:27">
      <c r="AA882669" s="613"/>
    </row>
    <row r="882814" spans="27:27">
      <c r="AA882814" s="613"/>
    </row>
    <row r="882815" spans="27:27">
      <c r="AA882815" s="613"/>
    </row>
    <row r="882960" spans="27:27">
      <c r="AA882960" s="613"/>
    </row>
    <row r="882961" spans="27:27">
      <c r="AA882961" s="613"/>
    </row>
    <row r="883106" spans="27:27">
      <c r="AA883106" s="613"/>
    </row>
    <row r="883107" spans="27:27">
      <c r="AA883107" s="613"/>
    </row>
    <row r="883252" spans="27:27">
      <c r="AA883252" s="613"/>
    </row>
    <row r="883253" spans="27:27">
      <c r="AA883253" s="613"/>
    </row>
    <row r="883398" spans="27:27">
      <c r="AA883398" s="613"/>
    </row>
    <row r="883399" spans="27:27">
      <c r="AA883399" s="613"/>
    </row>
    <row r="883544" spans="27:27">
      <c r="AA883544" s="613"/>
    </row>
    <row r="883545" spans="27:27">
      <c r="AA883545" s="613"/>
    </row>
    <row r="883690" spans="27:27">
      <c r="AA883690" s="613"/>
    </row>
    <row r="883691" spans="27:27">
      <c r="AA883691" s="613"/>
    </row>
    <row r="883836" spans="27:27">
      <c r="AA883836" s="613"/>
    </row>
    <row r="883837" spans="27:27">
      <c r="AA883837" s="613"/>
    </row>
    <row r="883982" spans="27:27">
      <c r="AA883982" s="613"/>
    </row>
    <row r="883983" spans="27:27">
      <c r="AA883983" s="613"/>
    </row>
    <row r="884128" spans="27:27">
      <c r="AA884128" s="613"/>
    </row>
    <row r="884129" spans="27:27">
      <c r="AA884129" s="613"/>
    </row>
    <row r="884274" spans="27:27">
      <c r="AA884274" s="613"/>
    </row>
    <row r="884275" spans="27:27">
      <c r="AA884275" s="613"/>
    </row>
    <row r="884420" spans="27:27">
      <c r="AA884420" s="613"/>
    </row>
    <row r="884421" spans="27:27">
      <c r="AA884421" s="613"/>
    </row>
    <row r="884566" spans="27:27">
      <c r="AA884566" s="613"/>
    </row>
    <row r="884567" spans="27:27">
      <c r="AA884567" s="613"/>
    </row>
    <row r="884712" spans="27:27">
      <c r="AA884712" s="613"/>
    </row>
    <row r="884713" spans="27:27">
      <c r="AA884713" s="613"/>
    </row>
    <row r="884858" spans="27:27">
      <c r="AA884858" s="613"/>
    </row>
    <row r="884859" spans="27:27">
      <c r="AA884859" s="613"/>
    </row>
    <row r="885004" spans="27:27">
      <c r="AA885004" s="613"/>
    </row>
    <row r="885005" spans="27:27">
      <c r="AA885005" s="613"/>
    </row>
    <row r="885150" spans="27:27">
      <c r="AA885150" s="613"/>
    </row>
    <row r="885151" spans="27:27">
      <c r="AA885151" s="613"/>
    </row>
    <row r="885296" spans="27:27">
      <c r="AA885296" s="613"/>
    </row>
    <row r="885297" spans="27:27">
      <c r="AA885297" s="613"/>
    </row>
    <row r="885442" spans="27:27">
      <c r="AA885442" s="613"/>
    </row>
    <row r="885443" spans="27:27">
      <c r="AA885443" s="613"/>
    </row>
    <row r="885588" spans="27:27">
      <c r="AA885588" s="613"/>
    </row>
    <row r="885589" spans="27:27">
      <c r="AA885589" s="613"/>
    </row>
    <row r="885734" spans="27:27">
      <c r="AA885734" s="613"/>
    </row>
    <row r="885735" spans="27:27">
      <c r="AA885735" s="613"/>
    </row>
    <row r="885880" spans="27:27">
      <c r="AA885880" s="613"/>
    </row>
    <row r="885881" spans="27:27">
      <c r="AA885881" s="613"/>
    </row>
    <row r="886026" spans="27:27">
      <c r="AA886026" s="613"/>
    </row>
    <row r="886027" spans="27:27">
      <c r="AA886027" s="613"/>
    </row>
    <row r="886172" spans="27:27">
      <c r="AA886172" s="613"/>
    </row>
    <row r="886173" spans="27:27">
      <c r="AA886173" s="613"/>
    </row>
    <row r="886318" spans="27:27">
      <c r="AA886318" s="613"/>
    </row>
    <row r="886319" spans="27:27">
      <c r="AA886319" s="613"/>
    </row>
    <row r="886464" spans="27:27">
      <c r="AA886464" s="613"/>
    </row>
    <row r="886465" spans="27:27">
      <c r="AA886465" s="613"/>
    </row>
    <row r="886610" spans="27:27">
      <c r="AA886610" s="613"/>
    </row>
    <row r="886611" spans="27:27">
      <c r="AA886611" s="613"/>
    </row>
    <row r="886756" spans="27:27">
      <c r="AA886756" s="613"/>
    </row>
    <row r="886757" spans="27:27">
      <c r="AA886757" s="613"/>
    </row>
    <row r="886902" spans="27:27">
      <c r="AA886902" s="613"/>
    </row>
    <row r="886903" spans="27:27">
      <c r="AA886903" s="613"/>
    </row>
    <row r="887048" spans="27:27">
      <c r="AA887048" s="613"/>
    </row>
    <row r="887049" spans="27:27">
      <c r="AA887049" s="613"/>
    </row>
    <row r="887194" spans="27:27">
      <c r="AA887194" s="613"/>
    </row>
    <row r="887195" spans="27:27">
      <c r="AA887195" s="613"/>
    </row>
    <row r="887340" spans="27:27">
      <c r="AA887340" s="613"/>
    </row>
    <row r="887341" spans="27:27">
      <c r="AA887341" s="613"/>
    </row>
    <row r="887486" spans="27:27">
      <c r="AA887486" s="613"/>
    </row>
    <row r="887487" spans="27:27">
      <c r="AA887487" s="613"/>
    </row>
    <row r="887632" spans="27:27">
      <c r="AA887632" s="613"/>
    </row>
    <row r="887633" spans="27:27">
      <c r="AA887633" s="613"/>
    </row>
    <row r="887778" spans="27:27">
      <c r="AA887778" s="613"/>
    </row>
    <row r="887779" spans="27:27">
      <c r="AA887779" s="613"/>
    </row>
    <row r="887924" spans="27:27">
      <c r="AA887924" s="613"/>
    </row>
    <row r="887925" spans="27:27">
      <c r="AA887925" s="613"/>
    </row>
    <row r="888070" spans="27:27">
      <c r="AA888070" s="613"/>
    </row>
    <row r="888071" spans="27:27">
      <c r="AA888071" s="613"/>
    </row>
    <row r="888216" spans="27:27">
      <c r="AA888216" s="613"/>
    </row>
    <row r="888217" spans="27:27">
      <c r="AA888217" s="613"/>
    </row>
    <row r="888362" spans="27:27">
      <c r="AA888362" s="613"/>
    </row>
    <row r="888363" spans="27:27">
      <c r="AA888363" s="613"/>
    </row>
    <row r="888508" spans="27:27">
      <c r="AA888508" s="613"/>
    </row>
    <row r="888509" spans="27:27">
      <c r="AA888509" s="613"/>
    </row>
    <row r="888654" spans="27:27">
      <c r="AA888654" s="613"/>
    </row>
    <row r="888655" spans="27:27">
      <c r="AA888655" s="613"/>
    </row>
    <row r="888800" spans="27:27">
      <c r="AA888800" s="613"/>
    </row>
    <row r="888801" spans="27:27">
      <c r="AA888801" s="613"/>
    </row>
    <row r="888946" spans="27:27">
      <c r="AA888946" s="613"/>
    </row>
    <row r="888947" spans="27:27">
      <c r="AA888947" s="613"/>
    </row>
    <row r="889092" spans="27:27">
      <c r="AA889092" s="613"/>
    </row>
    <row r="889093" spans="27:27">
      <c r="AA889093" s="613"/>
    </row>
    <row r="889238" spans="27:27">
      <c r="AA889238" s="613"/>
    </row>
    <row r="889239" spans="27:27">
      <c r="AA889239" s="613"/>
    </row>
    <row r="889384" spans="27:27">
      <c r="AA889384" s="613"/>
    </row>
    <row r="889385" spans="27:27">
      <c r="AA889385" s="613"/>
    </row>
    <row r="889530" spans="27:27">
      <c r="AA889530" s="613"/>
    </row>
    <row r="889531" spans="27:27">
      <c r="AA889531" s="613"/>
    </row>
    <row r="889676" spans="27:27">
      <c r="AA889676" s="613"/>
    </row>
    <row r="889677" spans="27:27">
      <c r="AA889677" s="613"/>
    </row>
    <row r="889822" spans="27:27">
      <c r="AA889822" s="613"/>
    </row>
    <row r="889823" spans="27:27">
      <c r="AA889823" s="613"/>
    </row>
    <row r="889968" spans="27:27">
      <c r="AA889968" s="613"/>
    </row>
    <row r="889969" spans="27:27">
      <c r="AA889969" s="613"/>
    </row>
    <row r="890114" spans="27:27">
      <c r="AA890114" s="613"/>
    </row>
    <row r="890115" spans="27:27">
      <c r="AA890115" s="613"/>
    </row>
    <row r="890260" spans="27:27">
      <c r="AA890260" s="613"/>
    </row>
    <row r="890261" spans="27:27">
      <c r="AA890261" s="613"/>
    </row>
    <row r="890406" spans="27:27">
      <c r="AA890406" s="613"/>
    </row>
    <row r="890407" spans="27:27">
      <c r="AA890407" s="613"/>
    </row>
    <row r="890552" spans="27:27">
      <c r="AA890552" s="613"/>
    </row>
    <row r="890553" spans="27:27">
      <c r="AA890553" s="613"/>
    </row>
    <row r="890698" spans="27:27">
      <c r="AA890698" s="613"/>
    </row>
    <row r="890699" spans="27:27">
      <c r="AA890699" s="613"/>
    </row>
    <row r="890844" spans="27:27">
      <c r="AA890844" s="613"/>
    </row>
    <row r="890845" spans="27:27">
      <c r="AA890845" s="613"/>
    </row>
    <row r="890990" spans="27:27">
      <c r="AA890990" s="613"/>
    </row>
    <row r="890991" spans="27:27">
      <c r="AA890991" s="613"/>
    </row>
    <row r="891136" spans="27:27">
      <c r="AA891136" s="613"/>
    </row>
    <row r="891137" spans="27:27">
      <c r="AA891137" s="613"/>
    </row>
    <row r="891282" spans="27:27">
      <c r="AA891282" s="613"/>
    </row>
    <row r="891283" spans="27:27">
      <c r="AA891283" s="613"/>
    </row>
    <row r="891428" spans="27:27">
      <c r="AA891428" s="613"/>
    </row>
    <row r="891429" spans="27:27">
      <c r="AA891429" s="613"/>
    </row>
    <row r="891574" spans="27:27">
      <c r="AA891574" s="613"/>
    </row>
    <row r="891575" spans="27:27">
      <c r="AA891575" s="613"/>
    </row>
    <row r="891720" spans="27:27">
      <c r="AA891720" s="613"/>
    </row>
    <row r="891721" spans="27:27">
      <c r="AA891721" s="613"/>
    </row>
    <row r="891866" spans="27:27">
      <c r="AA891866" s="613"/>
    </row>
    <row r="891867" spans="27:27">
      <c r="AA891867" s="613"/>
    </row>
    <row r="892012" spans="27:27">
      <c r="AA892012" s="613"/>
    </row>
    <row r="892013" spans="27:27">
      <c r="AA892013" s="613"/>
    </row>
    <row r="892158" spans="27:27">
      <c r="AA892158" s="613"/>
    </row>
    <row r="892159" spans="27:27">
      <c r="AA892159" s="613"/>
    </row>
    <row r="892304" spans="27:27">
      <c r="AA892304" s="613"/>
    </row>
    <row r="892305" spans="27:27">
      <c r="AA892305" s="613"/>
    </row>
    <row r="892450" spans="27:27">
      <c r="AA892450" s="613"/>
    </row>
    <row r="892451" spans="27:27">
      <c r="AA892451" s="613"/>
    </row>
    <row r="892596" spans="27:27">
      <c r="AA892596" s="613"/>
    </row>
    <row r="892597" spans="27:27">
      <c r="AA892597" s="613"/>
    </row>
    <row r="892742" spans="27:27">
      <c r="AA892742" s="613"/>
    </row>
    <row r="892743" spans="27:27">
      <c r="AA892743" s="613"/>
    </row>
    <row r="892888" spans="27:27">
      <c r="AA892888" s="613"/>
    </row>
    <row r="892889" spans="27:27">
      <c r="AA892889" s="613"/>
    </row>
    <row r="893034" spans="27:27">
      <c r="AA893034" s="613"/>
    </row>
    <row r="893035" spans="27:27">
      <c r="AA893035" s="613"/>
    </row>
    <row r="893180" spans="27:27">
      <c r="AA893180" s="613"/>
    </row>
    <row r="893181" spans="27:27">
      <c r="AA893181" s="613"/>
    </row>
    <row r="893326" spans="27:27">
      <c r="AA893326" s="613"/>
    </row>
    <row r="893327" spans="27:27">
      <c r="AA893327" s="613"/>
    </row>
    <row r="893472" spans="27:27">
      <c r="AA893472" s="613"/>
    </row>
    <row r="893473" spans="27:27">
      <c r="AA893473" s="613"/>
    </row>
    <row r="893618" spans="27:27">
      <c r="AA893618" s="613"/>
    </row>
    <row r="893619" spans="27:27">
      <c r="AA893619" s="613"/>
    </row>
    <row r="893764" spans="27:27">
      <c r="AA893764" s="613"/>
    </row>
    <row r="893765" spans="27:27">
      <c r="AA893765" s="613"/>
    </row>
    <row r="893910" spans="27:27">
      <c r="AA893910" s="613"/>
    </row>
    <row r="893911" spans="27:27">
      <c r="AA893911" s="613"/>
    </row>
    <row r="894056" spans="27:27">
      <c r="AA894056" s="613"/>
    </row>
    <row r="894057" spans="27:27">
      <c r="AA894057" s="613"/>
    </row>
    <row r="894202" spans="27:27">
      <c r="AA894202" s="613"/>
    </row>
    <row r="894203" spans="27:27">
      <c r="AA894203" s="613"/>
    </row>
    <row r="894348" spans="27:27">
      <c r="AA894348" s="613"/>
    </row>
    <row r="894349" spans="27:27">
      <c r="AA894349" s="613"/>
    </row>
    <row r="894494" spans="27:27">
      <c r="AA894494" s="613"/>
    </row>
    <row r="894495" spans="27:27">
      <c r="AA894495" s="613"/>
    </row>
    <row r="894640" spans="27:27">
      <c r="AA894640" s="613"/>
    </row>
    <row r="894641" spans="27:27">
      <c r="AA894641" s="613"/>
    </row>
    <row r="894786" spans="27:27">
      <c r="AA894786" s="613"/>
    </row>
    <row r="894787" spans="27:27">
      <c r="AA894787" s="613"/>
    </row>
    <row r="894932" spans="27:27">
      <c r="AA894932" s="613"/>
    </row>
    <row r="894933" spans="27:27">
      <c r="AA894933" s="613"/>
    </row>
    <row r="895078" spans="27:27">
      <c r="AA895078" s="613"/>
    </row>
    <row r="895079" spans="27:27">
      <c r="AA895079" s="613"/>
    </row>
    <row r="895224" spans="27:27">
      <c r="AA895224" s="613"/>
    </row>
    <row r="895225" spans="27:27">
      <c r="AA895225" s="613"/>
    </row>
    <row r="895370" spans="27:27">
      <c r="AA895370" s="613"/>
    </row>
    <row r="895371" spans="27:27">
      <c r="AA895371" s="613"/>
    </row>
    <row r="895516" spans="27:27">
      <c r="AA895516" s="613"/>
    </row>
    <row r="895517" spans="27:27">
      <c r="AA895517" s="613"/>
    </row>
    <row r="895662" spans="27:27">
      <c r="AA895662" s="613"/>
    </row>
    <row r="895663" spans="27:27">
      <c r="AA895663" s="613"/>
    </row>
    <row r="895808" spans="27:27">
      <c r="AA895808" s="613"/>
    </row>
    <row r="895809" spans="27:27">
      <c r="AA895809" s="613"/>
    </row>
    <row r="895954" spans="27:27">
      <c r="AA895954" s="613"/>
    </row>
    <row r="895955" spans="27:27">
      <c r="AA895955" s="613"/>
    </row>
    <row r="896100" spans="27:27">
      <c r="AA896100" s="613"/>
    </row>
    <row r="896101" spans="27:27">
      <c r="AA896101" s="613"/>
    </row>
    <row r="896246" spans="27:27">
      <c r="AA896246" s="613"/>
    </row>
    <row r="896247" spans="27:27">
      <c r="AA896247" s="613"/>
    </row>
    <row r="896392" spans="27:27">
      <c r="AA896392" s="613"/>
    </row>
    <row r="896393" spans="27:27">
      <c r="AA896393" s="613"/>
    </row>
    <row r="896538" spans="27:27">
      <c r="AA896538" s="613"/>
    </row>
    <row r="896539" spans="27:27">
      <c r="AA896539" s="613"/>
    </row>
    <row r="896684" spans="27:27">
      <c r="AA896684" s="613"/>
    </row>
    <row r="896685" spans="27:27">
      <c r="AA896685" s="613"/>
    </row>
    <row r="896830" spans="27:27">
      <c r="AA896830" s="613"/>
    </row>
    <row r="896831" spans="27:27">
      <c r="AA896831" s="613"/>
    </row>
    <row r="896976" spans="27:27">
      <c r="AA896976" s="613"/>
    </row>
    <row r="896977" spans="27:27">
      <c r="AA896977" s="613"/>
    </row>
    <row r="897122" spans="27:27">
      <c r="AA897122" s="613"/>
    </row>
    <row r="897123" spans="27:27">
      <c r="AA897123" s="613"/>
    </row>
    <row r="897268" spans="27:27">
      <c r="AA897268" s="613"/>
    </row>
    <row r="897269" spans="27:27">
      <c r="AA897269" s="613"/>
    </row>
    <row r="897414" spans="27:27">
      <c r="AA897414" s="613"/>
    </row>
    <row r="897415" spans="27:27">
      <c r="AA897415" s="613"/>
    </row>
    <row r="897560" spans="27:27">
      <c r="AA897560" s="613"/>
    </row>
    <row r="897561" spans="27:27">
      <c r="AA897561" s="613"/>
    </row>
    <row r="897706" spans="27:27">
      <c r="AA897706" s="613"/>
    </row>
    <row r="897707" spans="27:27">
      <c r="AA897707" s="613"/>
    </row>
    <row r="897852" spans="27:27">
      <c r="AA897852" s="613"/>
    </row>
    <row r="897853" spans="27:27">
      <c r="AA897853" s="613"/>
    </row>
    <row r="897998" spans="27:27">
      <c r="AA897998" s="613"/>
    </row>
    <row r="897999" spans="27:27">
      <c r="AA897999" s="613"/>
    </row>
    <row r="898144" spans="27:27">
      <c r="AA898144" s="613"/>
    </row>
    <row r="898145" spans="27:27">
      <c r="AA898145" s="613"/>
    </row>
    <row r="898290" spans="27:27">
      <c r="AA898290" s="613"/>
    </row>
    <row r="898291" spans="27:27">
      <c r="AA898291" s="613"/>
    </row>
    <row r="898436" spans="27:27">
      <c r="AA898436" s="613"/>
    </row>
    <row r="898437" spans="27:27">
      <c r="AA898437" s="613"/>
    </row>
    <row r="898582" spans="27:27">
      <c r="AA898582" s="613"/>
    </row>
    <row r="898583" spans="27:27">
      <c r="AA898583" s="613"/>
    </row>
    <row r="898728" spans="27:27">
      <c r="AA898728" s="613"/>
    </row>
    <row r="898729" spans="27:27">
      <c r="AA898729" s="613"/>
    </row>
    <row r="898874" spans="27:27">
      <c r="AA898874" s="613"/>
    </row>
    <row r="898875" spans="27:27">
      <c r="AA898875" s="613"/>
    </row>
    <row r="899020" spans="27:27">
      <c r="AA899020" s="613"/>
    </row>
    <row r="899021" spans="27:27">
      <c r="AA899021" s="613"/>
    </row>
    <row r="899166" spans="27:27">
      <c r="AA899166" s="613"/>
    </row>
    <row r="899167" spans="27:27">
      <c r="AA899167" s="613"/>
    </row>
    <row r="899312" spans="27:27">
      <c r="AA899312" s="613"/>
    </row>
    <row r="899313" spans="27:27">
      <c r="AA899313" s="613"/>
    </row>
    <row r="899458" spans="27:27">
      <c r="AA899458" s="613"/>
    </row>
    <row r="899459" spans="27:27">
      <c r="AA899459" s="613"/>
    </row>
    <row r="899604" spans="27:27">
      <c r="AA899604" s="613"/>
    </row>
    <row r="899605" spans="27:27">
      <c r="AA899605" s="613"/>
    </row>
    <row r="899750" spans="27:27">
      <c r="AA899750" s="613"/>
    </row>
    <row r="899751" spans="27:27">
      <c r="AA899751" s="613"/>
    </row>
    <row r="899896" spans="27:27">
      <c r="AA899896" s="613"/>
    </row>
    <row r="899897" spans="27:27">
      <c r="AA899897" s="613"/>
    </row>
    <row r="900042" spans="27:27">
      <c r="AA900042" s="613"/>
    </row>
    <row r="900043" spans="27:27">
      <c r="AA900043" s="613"/>
    </row>
    <row r="900188" spans="27:27">
      <c r="AA900188" s="613"/>
    </row>
    <row r="900189" spans="27:27">
      <c r="AA900189" s="613"/>
    </row>
    <row r="900334" spans="27:27">
      <c r="AA900334" s="613"/>
    </row>
    <row r="900335" spans="27:27">
      <c r="AA900335" s="613"/>
    </row>
    <row r="900480" spans="27:27">
      <c r="AA900480" s="613"/>
    </row>
    <row r="900481" spans="27:27">
      <c r="AA900481" s="613"/>
    </row>
    <row r="900626" spans="27:27">
      <c r="AA900626" s="613"/>
    </row>
    <row r="900627" spans="27:27">
      <c r="AA900627" s="613"/>
    </row>
    <row r="900772" spans="27:27">
      <c r="AA900772" s="613"/>
    </row>
    <row r="900773" spans="27:27">
      <c r="AA900773" s="613"/>
    </row>
    <row r="900918" spans="27:27">
      <c r="AA900918" s="613"/>
    </row>
    <row r="900919" spans="27:27">
      <c r="AA900919" s="613"/>
    </row>
    <row r="901064" spans="27:27">
      <c r="AA901064" s="613"/>
    </row>
    <row r="901065" spans="27:27">
      <c r="AA901065" s="613"/>
    </row>
    <row r="901210" spans="27:27">
      <c r="AA901210" s="613"/>
    </row>
    <row r="901211" spans="27:27">
      <c r="AA901211" s="613"/>
    </row>
    <row r="901356" spans="27:27">
      <c r="AA901356" s="613"/>
    </row>
    <row r="901357" spans="27:27">
      <c r="AA901357" s="613"/>
    </row>
    <row r="901502" spans="27:27">
      <c r="AA901502" s="613"/>
    </row>
    <row r="901503" spans="27:27">
      <c r="AA901503" s="613"/>
    </row>
    <row r="901648" spans="27:27">
      <c r="AA901648" s="613"/>
    </row>
    <row r="901649" spans="27:27">
      <c r="AA901649" s="613"/>
    </row>
    <row r="901794" spans="27:27">
      <c r="AA901794" s="613"/>
    </row>
    <row r="901795" spans="27:27">
      <c r="AA901795" s="613"/>
    </row>
    <row r="901940" spans="27:27">
      <c r="AA901940" s="613"/>
    </row>
    <row r="901941" spans="27:27">
      <c r="AA901941" s="613"/>
    </row>
    <row r="902086" spans="27:27">
      <c r="AA902086" s="613"/>
    </row>
    <row r="902087" spans="27:27">
      <c r="AA902087" s="613"/>
    </row>
    <row r="902232" spans="27:27">
      <c r="AA902232" s="613"/>
    </row>
    <row r="902233" spans="27:27">
      <c r="AA902233" s="613"/>
    </row>
    <row r="902378" spans="27:27">
      <c r="AA902378" s="613"/>
    </row>
    <row r="902379" spans="27:27">
      <c r="AA902379" s="613"/>
    </row>
    <row r="902524" spans="27:27">
      <c r="AA902524" s="613"/>
    </row>
    <row r="902525" spans="27:27">
      <c r="AA902525" s="613"/>
    </row>
    <row r="902670" spans="27:27">
      <c r="AA902670" s="613"/>
    </row>
    <row r="902671" spans="27:27">
      <c r="AA902671" s="613"/>
    </row>
    <row r="902816" spans="27:27">
      <c r="AA902816" s="613"/>
    </row>
    <row r="902817" spans="27:27">
      <c r="AA902817" s="613"/>
    </row>
    <row r="902962" spans="27:27">
      <c r="AA902962" s="613"/>
    </row>
    <row r="902963" spans="27:27">
      <c r="AA902963" s="613"/>
    </row>
    <row r="903108" spans="27:27">
      <c r="AA903108" s="613"/>
    </row>
    <row r="903109" spans="27:27">
      <c r="AA903109" s="613"/>
    </row>
    <row r="903254" spans="27:27">
      <c r="AA903254" s="613"/>
    </row>
    <row r="903255" spans="27:27">
      <c r="AA903255" s="613"/>
    </row>
    <row r="903400" spans="27:27">
      <c r="AA903400" s="613"/>
    </row>
    <row r="903401" spans="27:27">
      <c r="AA903401" s="613"/>
    </row>
    <row r="903546" spans="27:27">
      <c r="AA903546" s="613"/>
    </row>
    <row r="903547" spans="27:27">
      <c r="AA903547" s="613"/>
    </row>
    <row r="903692" spans="27:27">
      <c r="AA903692" s="613"/>
    </row>
    <row r="903693" spans="27:27">
      <c r="AA903693" s="613"/>
    </row>
    <row r="903838" spans="27:27">
      <c r="AA903838" s="613"/>
    </row>
    <row r="903839" spans="27:27">
      <c r="AA903839" s="613"/>
    </row>
    <row r="903984" spans="27:27">
      <c r="AA903984" s="613"/>
    </row>
    <row r="903985" spans="27:27">
      <c r="AA903985" s="613"/>
    </row>
    <row r="904130" spans="27:27">
      <c r="AA904130" s="613"/>
    </row>
    <row r="904131" spans="27:27">
      <c r="AA904131" s="613"/>
    </row>
    <row r="904276" spans="27:27">
      <c r="AA904276" s="613"/>
    </row>
    <row r="904277" spans="27:27">
      <c r="AA904277" s="613"/>
    </row>
    <row r="904422" spans="27:27">
      <c r="AA904422" s="613"/>
    </row>
    <row r="904423" spans="27:27">
      <c r="AA904423" s="613"/>
    </row>
    <row r="904568" spans="27:27">
      <c r="AA904568" s="613"/>
    </row>
    <row r="904569" spans="27:27">
      <c r="AA904569" s="613"/>
    </row>
    <row r="904714" spans="27:27">
      <c r="AA904714" s="613"/>
    </row>
    <row r="904715" spans="27:27">
      <c r="AA904715" s="613"/>
    </row>
    <row r="904860" spans="27:27">
      <c r="AA904860" s="613"/>
    </row>
    <row r="904861" spans="27:27">
      <c r="AA904861" s="613"/>
    </row>
    <row r="905006" spans="27:27">
      <c r="AA905006" s="613"/>
    </row>
    <row r="905007" spans="27:27">
      <c r="AA905007" s="613"/>
    </row>
    <row r="905152" spans="27:27">
      <c r="AA905152" s="613"/>
    </row>
    <row r="905153" spans="27:27">
      <c r="AA905153" s="613"/>
    </row>
    <row r="905298" spans="27:27">
      <c r="AA905298" s="613"/>
    </row>
    <row r="905299" spans="27:27">
      <c r="AA905299" s="613"/>
    </row>
    <row r="905444" spans="27:27">
      <c r="AA905444" s="613"/>
    </row>
    <row r="905445" spans="27:27">
      <c r="AA905445" s="613"/>
    </row>
    <row r="905590" spans="27:27">
      <c r="AA905590" s="613"/>
    </row>
    <row r="905591" spans="27:27">
      <c r="AA905591" s="613"/>
    </row>
    <row r="905736" spans="27:27">
      <c r="AA905736" s="613"/>
    </row>
    <row r="905737" spans="27:27">
      <c r="AA905737" s="613"/>
    </row>
    <row r="905882" spans="27:27">
      <c r="AA905882" s="613"/>
    </row>
    <row r="905883" spans="27:27">
      <c r="AA905883" s="613"/>
    </row>
    <row r="906028" spans="27:27">
      <c r="AA906028" s="613"/>
    </row>
    <row r="906029" spans="27:27">
      <c r="AA906029" s="613"/>
    </row>
    <row r="906174" spans="27:27">
      <c r="AA906174" s="613"/>
    </row>
    <row r="906175" spans="27:27">
      <c r="AA906175" s="613"/>
    </row>
    <row r="906320" spans="27:27">
      <c r="AA906320" s="613"/>
    </row>
    <row r="906321" spans="27:27">
      <c r="AA906321" s="613"/>
    </row>
    <row r="906466" spans="27:27">
      <c r="AA906466" s="613"/>
    </row>
    <row r="906467" spans="27:27">
      <c r="AA906467" s="613"/>
    </row>
    <row r="906612" spans="27:27">
      <c r="AA906612" s="613"/>
    </row>
    <row r="906613" spans="27:27">
      <c r="AA906613" s="613"/>
    </row>
    <row r="906758" spans="27:27">
      <c r="AA906758" s="613"/>
    </row>
    <row r="906759" spans="27:27">
      <c r="AA906759" s="613"/>
    </row>
    <row r="906904" spans="27:27">
      <c r="AA906904" s="613"/>
    </row>
    <row r="906905" spans="27:27">
      <c r="AA906905" s="613"/>
    </row>
    <row r="907050" spans="27:27">
      <c r="AA907050" s="613"/>
    </row>
    <row r="907051" spans="27:27">
      <c r="AA907051" s="613"/>
    </row>
    <row r="907196" spans="27:27">
      <c r="AA907196" s="613"/>
    </row>
    <row r="907197" spans="27:27">
      <c r="AA907197" s="613"/>
    </row>
    <row r="907342" spans="27:27">
      <c r="AA907342" s="613"/>
    </row>
    <row r="907343" spans="27:27">
      <c r="AA907343" s="613"/>
    </row>
    <row r="907488" spans="27:27">
      <c r="AA907488" s="613"/>
    </row>
    <row r="907489" spans="27:27">
      <c r="AA907489" s="613"/>
    </row>
    <row r="907634" spans="27:27">
      <c r="AA907634" s="613"/>
    </row>
    <row r="907635" spans="27:27">
      <c r="AA907635" s="613"/>
    </row>
    <row r="907780" spans="27:27">
      <c r="AA907780" s="613"/>
    </row>
    <row r="907781" spans="27:27">
      <c r="AA907781" s="613"/>
    </row>
    <row r="907926" spans="27:27">
      <c r="AA907926" s="613"/>
    </row>
    <row r="907927" spans="27:27">
      <c r="AA907927" s="613"/>
    </row>
    <row r="908072" spans="27:27">
      <c r="AA908072" s="613"/>
    </row>
    <row r="908073" spans="27:27">
      <c r="AA908073" s="613"/>
    </row>
    <row r="908218" spans="27:27">
      <c r="AA908218" s="613"/>
    </row>
    <row r="908219" spans="27:27">
      <c r="AA908219" s="613"/>
    </row>
    <row r="908364" spans="27:27">
      <c r="AA908364" s="613"/>
    </row>
    <row r="908365" spans="27:27">
      <c r="AA908365" s="613"/>
    </row>
    <row r="908510" spans="27:27">
      <c r="AA908510" s="613"/>
    </row>
    <row r="908511" spans="27:27">
      <c r="AA908511" s="613"/>
    </row>
    <row r="908656" spans="27:27">
      <c r="AA908656" s="613"/>
    </row>
    <row r="908657" spans="27:27">
      <c r="AA908657" s="613"/>
    </row>
    <row r="908802" spans="27:27">
      <c r="AA908802" s="613"/>
    </row>
    <row r="908803" spans="27:27">
      <c r="AA908803" s="613"/>
    </row>
    <row r="908948" spans="27:27">
      <c r="AA908948" s="613"/>
    </row>
    <row r="908949" spans="27:27">
      <c r="AA908949" s="613"/>
    </row>
    <row r="909094" spans="27:27">
      <c r="AA909094" s="613"/>
    </row>
    <row r="909095" spans="27:27">
      <c r="AA909095" s="613"/>
    </row>
    <row r="909240" spans="27:27">
      <c r="AA909240" s="613"/>
    </row>
    <row r="909241" spans="27:27">
      <c r="AA909241" s="613"/>
    </row>
    <row r="909386" spans="27:27">
      <c r="AA909386" s="613"/>
    </row>
    <row r="909387" spans="27:27">
      <c r="AA909387" s="613"/>
    </row>
    <row r="909532" spans="27:27">
      <c r="AA909532" s="613"/>
    </row>
    <row r="909533" spans="27:27">
      <c r="AA909533" s="613"/>
    </row>
    <row r="909678" spans="27:27">
      <c r="AA909678" s="613"/>
    </row>
    <row r="909679" spans="27:27">
      <c r="AA909679" s="613"/>
    </row>
    <row r="909824" spans="27:27">
      <c r="AA909824" s="613"/>
    </row>
    <row r="909825" spans="27:27">
      <c r="AA909825" s="613"/>
    </row>
    <row r="909970" spans="27:27">
      <c r="AA909970" s="613"/>
    </row>
    <row r="909971" spans="27:27">
      <c r="AA909971" s="613"/>
    </row>
    <row r="910116" spans="27:27">
      <c r="AA910116" s="613"/>
    </row>
    <row r="910117" spans="27:27">
      <c r="AA910117" s="613"/>
    </row>
    <row r="910262" spans="27:27">
      <c r="AA910262" s="613"/>
    </row>
    <row r="910263" spans="27:27">
      <c r="AA910263" s="613"/>
    </row>
    <row r="910408" spans="27:27">
      <c r="AA910408" s="613"/>
    </row>
    <row r="910409" spans="27:27">
      <c r="AA910409" s="613"/>
    </row>
    <row r="910554" spans="27:27">
      <c r="AA910554" s="613"/>
    </row>
    <row r="910555" spans="27:27">
      <c r="AA910555" s="613"/>
    </row>
    <row r="910700" spans="27:27">
      <c r="AA910700" s="613"/>
    </row>
    <row r="910701" spans="27:27">
      <c r="AA910701" s="613"/>
    </row>
    <row r="910846" spans="27:27">
      <c r="AA910846" s="613"/>
    </row>
    <row r="910847" spans="27:27">
      <c r="AA910847" s="613"/>
    </row>
    <row r="910992" spans="27:27">
      <c r="AA910992" s="613"/>
    </row>
    <row r="910993" spans="27:27">
      <c r="AA910993" s="613"/>
    </row>
    <row r="911138" spans="27:27">
      <c r="AA911138" s="613"/>
    </row>
    <row r="911139" spans="27:27">
      <c r="AA911139" s="613"/>
    </row>
    <row r="911284" spans="27:27">
      <c r="AA911284" s="613"/>
    </row>
    <row r="911285" spans="27:27">
      <c r="AA911285" s="613"/>
    </row>
    <row r="911430" spans="27:27">
      <c r="AA911430" s="613"/>
    </row>
    <row r="911431" spans="27:27">
      <c r="AA911431" s="613"/>
    </row>
    <row r="911576" spans="27:27">
      <c r="AA911576" s="613"/>
    </row>
    <row r="911577" spans="27:27">
      <c r="AA911577" s="613"/>
    </row>
    <row r="911722" spans="27:27">
      <c r="AA911722" s="613"/>
    </row>
    <row r="911723" spans="27:27">
      <c r="AA911723" s="613"/>
    </row>
    <row r="911868" spans="27:27">
      <c r="AA911868" s="613"/>
    </row>
    <row r="911869" spans="27:27">
      <c r="AA911869" s="613"/>
    </row>
    <row r="912014" spans="27:27">
      <c r="AA912014" s="613"/>
    </row>
    <row r="912015" spans="27:27">
      <c r="AA912015" s="613"/>
    </row>
    <row r="912160" spans="27:27">
      <c r="AA912160" s="613"/>
    </row>
    <row r="912161" spans="27:27">
      <c r="AA912161" s="613"/>
    </row>
    <row r="912306" spans="27:27">
      <c r="AA912306" s="613"/>
    </row>
    <row r="912307" spans="27:27">
      <c r="AA912307" s="613"/>
    </row>
    <row r="912452" spans="27:27">
      <c r="AA912452" s="613"/>
    </row>
    <row r="912453" spans="27:27">
      <c r="AA912453" s="613"/>
    </row>
    <row r="912598" spans="27:27">
      <c r="AA912598" s="613"/>
    </row>
    <row r="912599" spans="27:27">
      <c r="AA912599" s="613"/>
    </row>
    <row r="912744" spans="27:27">
      <c r="AA912744" s="613"/>
    </row>
    <row r="912745" spans="27:27">
      <c r="AA912745" s="613"/>
    </row>
    <row r="912890" spans="27:27">
      <c r="AA912890" s="613"/>
    </row>
    <row r="912891" spans="27:27">
      <c r="AA912891" s="613"/>
    </row>
    <row r="913036" spans="27:27">
      <c r="AA913036" s="613"/>
    </row>
    <row r="913037" spans="27:27">
      <c r="AA913037" s="613"/>
    </row>
    <row r="913182" spans="27:27">
      <c r="AA913182" s="613"/>
    </row>
    <row r="913183" spans="27:27">
      <c r="AA913183" s="613"/>
    </row>
    <row r="913328" spans="27:27">
      <c r="AA913328" s="613"/>
    </row>
    <row r="913329" spans="27:27">
      <c r="AA913329" s="613"/>
    </row>
    <row r="913474" spans="27:27">
      <c r="AA913474" s="613"/>
    </row>
    <row r="913475" spans="27:27">
      <c r="AA913475" s="613"/>
    </row>
    <row r="913620" spans="27:27">
      <c r="AA913620" s="613"/>
    </row>
    <row r="913621" spans="27:27">
      <c r="AA913621" s="613"/>
    </row>
    <row r="913766" spans="27:27">
      <c r="AA913766" s="613"/>
    </row>
    <row r="913767" spans="27:27">
      <c r="AA913767" s="613"/>
    </row>
    <row r="913912" spans="27:27">
      <c r="AA913912" s="613"/>
    </row>
    <row r="913913" spans="27:27">
      <c r="AA913913" s="613"/>
    </row>
    <row r="914058" spans="27:27">
      <c r="AA914058" s="613"/>
    </row>
    <row r="914059" spans="27:27">
      <c r="AA914059" s="613"/>
    </row>
    <row r="914204" spans="27:27">
      <c r="AA914204" s="613"/>
    </row>
    <row r="914205" spans="27:27">
      <c r="AA914205" s="613"/>
    </row>
    <row r="914350" spans="27:27">
      <c r="AA914350" s="613"/>
    </row>
    <row r="914351" spans="27:27">
      <c r="AA914351" s="613"/>
    </row>
    <row r="914496" spans="27:27">
      <c r="AA914496" s="613"/>
    </row>
    <row r="914497" spans="27:27">
      <c r="AA914497" s="613"/>
    </row>
    <row r="914642" spans="27:27">
      <c r="AA914642" s="613"/>
    </row>
    <row r="914643" spans="27:27">
      <c r="AA914643" s="613"/>
    </row>
    <row r="914788" spans="27:27">
      <c r="AA914788" s="613"/>
    </row>
    <row r="914789" spans="27:27">
      <c r="AA914789" s="613"/>
    </row>
    <row r="914934" spans="27:27">
      <c r="AA914934" s="613"/>
    </row>
    <row r="914935" spans="27:27">
      <c r="AA914935" s="613"/>
    </row>
    <row r="915080" spans="27:27">
      <c r="AA915080" s="613"/>
    </row>
    <row r="915081" spans="27:27">
      <c r="AA915081" s="613"/>
    </row>
    <row r="915226" spans="27:27">
      <c r="AA915226" s="613"/>
    </row>
    <row r="915227" spans="27:27">
      <c r="AA915227" s="613"/>
    </row>
    <row r="915372" spans="27:27">
      <c r="AA915372" s="613"/>
    </row>
    <row r="915373" spans="27:27">
      <c r="AA915373" s="613"/>
    </row>
    <row r="915518" spans="27:27">
      <c r="AA915518" s="613"/>
    </row>
    <row r="915519" spans="27:27">
      <c r="AA915519" s="613"/>
    </row>
    <row r="915664" spans="27:27">
      <c r="AA915664" s="613"/>
    </row>
    <row r="915665" spans="27:27">
      <c r="AA915665" s="613"/>
    </row>
    <row r="915810" spans="27:27">
      <c r="AA915810" s="613"/>
    </row>
    <row r="915811" spans="27:27">
      <c r="AA915811" s="613"/>
    </row>
    <row r="915956" spans="27:27">
      <c r="AA915956" s="613"/>
    </row>
    <row r="915957" spans="27:27">
      <c r="AA915957" s="613"/>
    </row>
    <row r="916102" spans="27:27">
      <c r="AA916102" s="613"/>
    </row>
    <row r="916103" spans="27:27">
      <c r="AA916103" s="613"/>
    </row>
    <row r="916248" spans="27:27">
      <c r="AA916248" s="613"/>
    </row>
    <row r="916249" spans="27:27">
      <c r="AA916249" s="613"/>
    </row>
    <row r="916394" spans="27:27">
      <c r="AA916394" s="613"/>
    </row>
    <row r="916395" spans="27:27">
      <c r="AA916395" s="613"/>
    </row>
    <row r="916540" spans="27:27">
      <c r="AA916540" s="613"/>
    </row>
    <row r="916541" spans="27:27">
      <c r="AA916541" s="613"/>
    </row>
    <row r="916686" spans="27:27">
      <c r="AA916686" s="613"/>
    </row>
    <row r="916687" spans="27:27">
      <c r="AA916687" s="613"/>
    </row>
    <row r="916832" spans="27:27">
      <c r="AA916832" s="613"/>
    </row>
    <row r="916833" spans="27:27">
      <c r="AA916833" s="613"/>
    </row>
    <row r="916978" spans="27:27">
      <c r="AA916978" s="613"/>
    </row>
    <row r="916979" spans="27:27">
      <c r="AA916979" s="613"/>
    </row>
    <row r="917124" spans="27:27">
      <c r="AA917124" s="613"/>
    </row>
    <row r="917125" spans="27:27">
      <c r="AA917125" s="613"/>
    </row>
    <row r="917270" spans="27:27">
      <c r="AA917270" s="613"/>
    </row>
    <row r="917271" spans="27:27">
      <c r="AA917271" s="613"/>
    </row>
    <row r="917416" spans="27:27">
      <c r="AA917416" s="613"/>
    </row>
    <row r="917417" spans="27:27">
      <c r="AA917417" s="613"/>
    </row>
    <row r="917562" spans="27:27">
      <c r="AA917562" s="613"/>
    </row>
    <row r="917563" spans="27:27">
      <c r="AA917563" s="613"/>
    </row>
    <row r="917708" spans="27:27">
      <c r="AA917708" s="613"/>
    </row>
    <row r="917709" spans="27:27">
      <c r="AA917709" s="613"/>
    </row>
    <row r="917854" spans="27:27">
      <c r="AA917854" s="613"/>
    </row>
    <row r="917855" spans="27:27">
      <c r="AA917855" s="613"/>
    </row>
    <row r="918000" spans="27:27">
      <c r="AA918000" s="613"/>
    </row>
    <row r="918001" spans="27:27">
      <c r="AA918001" s="613"/>
    </row>
    <row r="918146" spans="27:27">
      <c r="AA918146" s="613"/>
    </row>
    <row r="918147" spans="27:27">
      <c r="AA918147" s="613"/>
    </row>
    <row r="918292" spans="27:27">
      <c r="AA918292" s="613"/>
    </row>
    <row r="918293" spans="27:27">
      <c r="AA918293" s="613"/>
    </row>
    <row r="918438" spans="27:27">
      <c r="AA918438" s="613"/>
    </row>
    <row r="918439" spans="27:27">
      <c r="AA918439" s="613"/>
    </row>
    <row r="918584" spans="27:27">
      <c r="AA918584" s="613"/>
    </row>
    <row r="918585" spans="27:27">
      <c r="AA918585" s="613"/>
    </row>
    <row r="918730" spans="27:27">
      <c r="AA918730" s="613"/>
    </row>
    <row r="918731" spans="27:27">
      <c r="AA918731" s="613"/>
    </row>
    <row r="918876" spans="27:27">
      <c r="AA918876" s="613"/>
    </row>
    <row r="918877" spans="27:27">
      <c r="AA918877" s="613"/>
    </row>
    <row r="919022" spans="27:27">
      <c r="AA919022" s="613"/>
    </row>
    <row r="919023" spans="27:27">
      <c r="AA919023" s="613"/>
    </row>
    <row r="919168" spans="27:27">
      <c r="AA919168" s="613"/>
    </row>
    <row r="919169" spans="27:27">
      <c r="AA919169" s="613"/>
    </row>
    <row r="919314" spans="27:27">
      <c r="AA919314" s="613"/>
    </row>
    <row r="919315" spans="27:27">
      <c r="AA919315" s="613"/>
    </row>
    <row r="919460" spans="27:27">
      <c r="AA919460" s="613"/>
    </row>
    <row r="919461" spans="27:27">
      <c r="AA919461" s="613"/>
    </row>
    <row r="919606" spans="27:27">
      <c r="AA919606" s="613"/>
    </row>
    <row r="919607" spans="27:27">
      <c r="AA919607" s="613"/>
    </row>
    <row r="919752" spans="27:27">
      <c r="AA919752" s="613"/>
    </row>
    <row r="919753" spans="27:27">
      <c r="AA919753" s="613"/>
    </row>
    <row r="919898" spans="27:27">
      <c r="AA919898" s="613"/>
    </row>
    <row r="919899" spans="27:27">
      <c r="AA919899" s="613"/>
    </row>
    <row r="920044" spans="27:27">
      <c r="AA920044" s="613"/>
    </row>
    <row r="920045" spans="27:27">
      <c r="AA920045" s="613"/>
    </row>
    <row r="920190" spans="27:27">
      <c r="AA920190" s="613"/>
    </row>
    <row r="920191" spans="27:27">
      <c r="AA920191" s="613"/>
    </row>
    <row r="920336" spans="27:27">
      <c r="AA920336" s="613"/>
    </row>
    <row r="920337" spans="27:27">
      <c r="AA920337" s="613"/>
    </row>
    <row r="920482" spans="27:27">
      <c r="AA920482" s="613"/>
    </row>
    <row r="920483" spans="27:27">
      <c r="AA920483" s="613"/>
    </row>
    <row r="920628" spans="27:27">
      <c r="AA920628" s="613"/>
    </row>
    <row r="920629" spans="27:27">
      <c r="AA920629" s="613"/>
    </row>
    <row r="920774" spans="27:27">
      <c r="AA920774" s="613"/>
    </row>
    <row r="920775" spans="27:27">
      <c r="AA920775" s="613"/>
    </row>
    <row r="920920" spans="27:27">
      <c r="AA920920" s="613"/>
    </row>
    <row r="920921" spans="27:27">
      <c r="AA920921" s="613"/>
    </row>
    <row r="921066" spans="27:27">
      <c r="AA921066" s="613"/>
    </row>
    <row r="921067" spans="27:27">
      <c r="AA921067" s="613"/>
    </row>
    <row r="921212" spans="27:27">
      <c r="AA921212" s="613"/>
    </row>
    <row r="921213" spans="27:27">
      <c r="AA921213" s="613"/>
    </row>
    <row r="921358" spans="27:27">
      <c r="AA921358" s="613"/>
    </row>
    <row r="921359" spans="27:27">
      <c r="AA921359" s="613"/>
    </row>
    <row r="921504" spans="27:27">
      <c r="AA921504" s="613"/>
    </row>
    <row r="921505" spans="27:27">
      <c r="AA921505" s="613"/>
    </row>
    <row r="921650" spans="27:27">
      <c r="AA921650" s="613"/>
    </row>
    <row r="921651" spans="27:27">
      <c r="AA921651" s="613"/>
    </row>
    <row r="921796" spans="27:27">
      <c r="AA921796" s="613"/>
    </row>
    <row r="921797" spans="27:27">
      <c r="AA921797" s="613"/>
    </row>
    <row r="921942" spans="27:27">
      <c r="AA921942" s="613"/>
    </row>
    <row r="921943" spans="27:27">
      <c r="AA921943" s="613"/>
    </row>
    <row r="922088" spans="27:27">
      <c r="AA922088" s="613"/>
    </row>
    <row r="922089" spans="27:27">
      <c r="AA922089" s="613"/>
    </row>
    <row r="922234" spans="27:27">
      <c r="AA922234" s="613"/>
    </row>
    <row r="922235" spans="27:27">
      <c r="AA922235" s="613"/>
    </row>
    <row r="922380" spans="27:27">
      <c r="AA922380" s="613"/>
    </row>
    <row r="922381" spans="27:27">
      <c r="AA922381" s="613"/>
    </row>
    <row r="922526" spans="27:27">
      <c r="AA922526" s="613"/>
    </row>
    <row r="922527" spans="27:27">
      <c r="AA922527" s="613"/>
    </row>
    <row r="922672" spans="27:27">
      <c r="AA922672" s="613"/>
    </row>
    <row r="922673" spans="27:27">
      <c r="AA922673" s="613"/>
    </row>
    <row r="922818" spans="27:27">
      <c r="AA922818" s="613"/>
    </row>
    <row r="922819" spans="27:27">
      <c r="AA922819" s="613"/>
    </row>
    <row r="922964" spans="27:27">
      <c r="AA922964" s="613"/>
    </row>
    <row r="922965" spans="27:27">
      <c r="AA922965" s="613"/>
    </row>
    <row r="923110" spans="27:27">
      <c r="AA923110" s="613"/>
    </row>
    <row r="923111" spans="27:27">
      <c r="AA923111" s="613"/>
    </row>
    <row r="923256" spans="27:27">
      <c r="AA923256" s="613"/>
    </row>
    <row r="923257" spans="27:27">
      <c r="AA923257" s="613"/>
    </row>
    <row r="923402" spans="27:27">
      <c r="AA923402" s="613"/>
    </row>
    <row r="923403" spans="27:27">
      <c r="AA923403" s="613"/>
    </row>
    <row r="923548" spans="27:27">
      <c r="AA923548" s="613"/>
    </row>
    <row r="923549" spans="27:27">
      <c r="AA923549" s="613"/>
    </row>
    <row r="923694" spans="27:27">
      <c r="AA923694" s="613"/>
    </row>
    <row r="923695" spans="27:27">
      <c r="AA923695" s="613"/>
    </row>
    <row r="923840" spans="27:27">
      <c r="AA923840" s="613"/>
    </row>
    <row r="923841" spans="27:27">
      <c r="AA923841" s="613"/>
    </row>
    <row r="923986" spans="27:27">
      <c r="AA923986" s="613"/>
    </row>
    <row r="923987" spans="27:27">
      <c r="AA923987" s="613"/>
    </row>
    <row r="924132" spans="27:27">
      <c r="AA924132" s="613"/>
    </row>
    <row r="924133" spans="27:27">
      <c r="AA924133" s="613"/>
    </row>
    <row r="924278" spans="27:27">
      <c r="AA924278" s="613"/>
    </row>
    <row r="924279" spans="27:27">
      <c r="AA924279" s="613"/>
    </row>
    <row r="924424" spans="27:27">
      <c r="AA924424" s="613"/>
    </row>
    <row r="924425" spans="27:27">
      <c r="AA924425" s="613"/>
    </row>
    <row r="924570" spans="27:27">
      <c r="AA924570" s="613"/>
    </row>
    <row r="924571" spans="27:27">
      <c r="AA924571" s="613"/>
    </row>
    <row r="924716" spans="27:27">
      <c r="AA924716" s="613"/>
    </row>
    <row r="924717" spans="27:27">
      <c r="AA924717" s="613"/>
    </row>
    <row r="924862" spans="27:27">
      <c r="AA924862" s="613"/>
    </row>
    <row r="924863" spans="27:27">
      <c r="AA924863" s="613"/>
    </row>
    <row r="925008" spans="27:27">
      <c r="AA925008" s="613"/>
    </row>
    <row r="925009" spans="27:27">
      <c r="AA925009" s="613"/>
    </row>
    <row r="925154" spans="27:27">
      <c r="AA925154" s="613"/>
    </row>
    <row r="925155" spans="27:27">
      <c r="AA925155" s="613"/>
    </row>
    <row r="925300" spans="27:27">
      <c r="AA925300" s="613"/>
    </row>
    <row r="925301" spans="27:27">
      <c r="AA925301" s="613"/>
    </row>
    <row r="925446" spans="27:27">
      <c r="AA925446" s="613"/>
    </row>
    <row r="925447" spans="27:27">
      <c r="AA925447" s="613"/>
    </row>
    <row r="925592" spans="27:27">
      <c r="AA925592" s="613"/>
    </row>
    <row r="925593" spans="27:27">
      <c r="AA925593" s="613"/>
    </row>
    <row r="925738" spans="27:27">
      <c r="AA925738" s="613"/>
    </row>
    <row r="925739" spans="27:27">
      <c r="AA925739" s="613"/>
    </row>
    <row r="925884" spans="27:27">
      <c r="AA925884" s="613"/>
    </row>
    <row r="925885" spans="27:27">
      <c r="AA925885" s="613"/>
    </row>
    <row r="926030" spans="27:27">
      <c r="AA926030" s="613"/>
    </row>
    <row r="926031" spans="27:27">
      <c r="AA926031" s="613"/>
    </row>
    <row r="926176" spans="27:27">
      <c r="AA926176" s="613"/>
    </row>
    <row r="926177" spans="27:27">
      <c r="AA926177" s="613"/>
    </row>
    <row r="926322" spans="27:27">
      <c r="AA926322" s="613"/>
    </row>
    <row r="926323" spans="27:27">
      <c r="AA926323" s="613"/>
    </row>
    <row r="926468" spans="27:27">
      <c r="AA926468" s="613"/>
    </row>
    <row r="926469" spans="27:27">
      <c r="AA926469" s="613"/>
    </row>
    <row r="926614" spans="27:27">
      <c r="AA926614" s="613"/>
    </row>
    <row r="926615" spans="27:27">
      <c r="AA926615" s="613"/>
    </row>
    <row r="926760" spans="27:27">
      <c r="AA926760" s="613"/>
    </row>
    <row r="926761" spans="27:27">
      <c r="AA926761" s="613"/>
    </row>
    <row r="926906" spans="27:27">
      <c r="AA926906" s="613"/>
    </row>
    <row r="926907" spans="27:27">
      <c r="AA926907" s="613"/>
    </row>
    <row r="927052" spans="27:27">
      <c r="AA927052" s="613"/>
    </row>
    <row r="927053" spans="27:27">
      <c r="AA927053" s="613"/>
    </row>
    <row r="927198" spans="27:27">
      <c r="AA927198" s="613"/>
    </row>
    <row r="927199" spans="27:27">
      <c r="AA927199" s="613"/>
    </row>
    <row r="927344" spans="27:27">
      <c r="AA927344" s="613"/>
    </row>
    <row r="927345" spans="27:27">
      <c r="AA927345" s="613"/>
    </row>
    <row r="927490" spans="27:27">
      <c r="AA927490" s="613"/>
    </row>
    <row r="927491" spans="27:27">
      <c r="AA927491" s="613"/>
    </row>
    <row r="927636" spans="27:27">
      <c r="AA927636" s="613"/>
    </row>
    <row r="927637" spans="27:27">
      <c r="AA927637" s="613"/>
    </row>
    <row r="927782" spans="27:27">
      <c r="AA927782" s="613"/>
    </row>
    <row r="927783" spans="27:27">
      <c r="AA927783" s="613"/>
    </row>
    <row r="927928" spans="27:27">
      <c r="AA927928" s="613"/>
    </row>
    <row r="927929" spans="27:27">
      <c r="AA927929" s="613"/>
    </row>
    <row r="928074" spans="27:27">
      <c r="AA928074" s="613"/>
    </row>
    <row r="928075" spans="27:27">
      <c r="AA928075" s="613"/>
    </row>
    <row r="928220" spans="27:27">
      <c r="AA928220" s="613"/>
    </row>
    <row r="928221" spans="27:27">
      <c r="AA928221" s="613"/>
    </row>
    <row r="928366" spans="27:27">
      <c r="AA928366" s="613"/>
    </row>
    <row r="928367" spans="27:27">
      <c r="AA928367" s="613"/>
    </row>
    <row r="928512" spans="27:27">
      <c r="AA928512" s="613"/>
    </row>
    <row r="928513" spans="27:27">
      <c r="AA928513" s="613"/>
    </row>
    <row r="928658" spans="27:27">
      <c r="AA928658" s="613"/>
    </row>
    <row r="928659" spans="27:27">
      <c r="AA928659" s="613"/>
    </row>
    <row r="928804" spans="27:27">
      <c r="AA928804" s="613"/>
    </row>
    <row r="928805" spans="27:27">
      <c r="AA928805" s="613"/>
    </row>
    <row r="928950" spans="27:27">
      <c r="AA928950" s="613"/>
    </row>
    <row r="928951" spans="27:27">
      <c r="AA928951" s="613"/>
    </row>
    <row r="929096" spans="27:27">
      <c r="AA929096" s="613"/>
    </row>
    <row r="929097" spans="27:27">
      <c r="AA929097" s="613"/>
    </row>
    <row r="929242" spans="27:27">
      <c r="AA929242" s="613"/>
    </row>
    <row r="929243" spans="27:27">
      <c r="AA929243" s="613"/>
    </row>
    <row r="929388" spans="27:27">
      <c r="AA929388" s="613"/>
    </row>
    <row r="929389" spans="27:27">
      <c r="AA929389" s="613"/>
    </row>
    <row r="929534" spans="27:27">
      <c r="AA929534" s="613"/>
    </row>
    <row r="929535" spans="27:27">
      <c r="AA929535" s="613"/>
    </row>
    <row r="929680" spans="27:27">
      <c r="AA929680" s="613"/>
    </row>
    <row r="929681" spans="27:27">
      <c r="AA929681" s="613"/>
    </row>
    <row r="929826" spans="27:27">
      <c r="AA929826" s="613"/>
    </row>
    <row r="929827" spans="27:27">
      <c r="AA929827" s="613"/>
    </row>
    <row r="929972" spans="27:27">
      <c r="AA929972" s="613"/>
    </row>
    <row r="929973" spans="27:27">
      <c r="AA929973" s="613"/>
    </row>
    <row r="930118" spans="27:27">
      <c r="AA930118" s="613"/>
    </row>
    <row r="930119" spans="27:27">
      <c r="AA930119" s="613"/>
    </row>
    <row r="930264" spans="27:27">
      <c r="AA930264" s="613"/>
    </row>
    <row r="930265" spans="27:27">
      <c r="AA930265" s="613"/>
    </row>
    <row r="930410" spans="27:27">
      <c r="AA930410" s="613"/>
    </row>
    <row r="930411" spans="27:27">
      <c r="AA930411" s="613"/>
    </row>
    <row r="930556" spans="27:27">
      <c r="AA930556" s="613"/>
    </row>
    <row r="930557" spans="27:27">
      <c r="AA930557" s="613"/>
    </row>
    <row r="930702" spans="27:27">
      <c r="AA930702" s="613"/>
    </row>
    <row r="930703" spans="27:27">
      <c r="AA930703" s="613"/>
    </row>
    <row r="930848" spans="27:27">
      <c r="AA930848" s="613"/>
    </row>
    <row r="930849" spans="27:27">
      <c r="AA930849" s="613"/>
    </row>
    <row r="930994" spans="27:27">
      <c r="AA930994" s="613"/>
    </row>
    <row r="930995" spans="27:27">
      <c r="AA930995" s="613"/>
    </row>
    <row r="931140" spans="27:27">
      <c r="AA931140" s="613"/>
    </row>
    <row r="931141" spans="27:27">
      <c r="AA931141" s="613"/>
    </row>
    <row r="931286" spans="27:27">
      <c r="AA931286" s="613"/>
    </row>
    <row r="931287" spans="27:27">
      <c r="AA931287" s="613"/>
    </row>
    <row r="931432" spans="27:27">
      <c r="AA931432" s="613"/>
    </row>
    <row r="931433" spans="27:27">
      <c r="AA931433" s="613"/>
    </row>
    <row r="931578" spans="27:27">
      <c r="AA931578" s="613"/>
    </row>
    <row r="931579" spans="27:27">
      <c r="AA931579" s="613"/>
    </row>
    <row r="931724" spans="27:27">
      <c r="AA931724" s="613"/>
    </row>
    <row r="931725" spans="27:27">
      <c r="AA931725" s="613"/>
    </row>
    <row r="931870" spans="27:27">
      <c r="AA931870" s="613"/>
    </row>
    <row r="931871" spans="27:27">
      <c r="AA931871" s="613"/>
    </row>
    <row r="932016" spans="27:27">
      <c r="AA932016" s="613"/>
    </row>
    <row r="932017" spans="27:27">
      <c r="AA932017" s="613"/>
    </row>
    <row r="932162" spans="27:27">
      <c r="AA932162" s="613"/>
    </row>
    <row r="932163" spans="27:27">
      <c r="AA932163" s="613"/>
    </row>
    <row r="932308" spans="27:27">
      <c r="AA932308" s="613"/>
    </row>
    <row r="932309" spans="27:27">
      <c r="AA932309" s="613"/>
    </row>
    <row r="932454" spans="27:27">
      <c r="AA932454" s="613"/>
    </row>
    <row r="932455" spans="27:27">
      <c r="AA932455" s="613"/>
    </row>
    <row r="932600" spans="27:27">
      <c r="AA932600" s="613"/>
    </row>
    <row r="932601" spans="27:27">
      <c r="AA932601" s="613"/>
    </row>
    <row r="932746" spans="27:27">
      <c r="AA932746" s="613"/>
    </row>
    <row r="932747" spans="27:27">
      <c r="AA932747" s="613"/>
    </row>
    <row r="932892" spans="27:27">
      <c r="AA932892" s="613"/>
    </row>
    <row r="932893" spans="27:27">
      <c r="AA932893" s="613"/>
    </row>
    <row r="933038" spans="27:27">
      <c r="AA933038" s="613"/>
    </row>
    <row r="933039" spans="27:27">
      <c r="AA933039" s="613"/>
    </row>
    <row r="933184" spans="27:27">
      <c r="AA933184" s="613"/>
    </row>
    <row r="933185" spans="27:27">
      <c r="AA933185" s="613"/>
    </row>
    <row r="933330" spans="27:27">
      <c r="AA933330" s="613"/>
    </row>
    <row r="933331" spans="27:27">
      <c r="AA933331" s="613"/>
    </row>
    <row r="933476" spans="27:27">
      <c r="AA933476" s="613"/>
    </row>
    <row r="933477" spans="27:27">
      <c r="AA933477" s="613"/>
    </row>
    <row r="933622" spans="27:27">
      <c r="AA933622" s="613"/>
    </row>
    <row r="933623" spans="27:27">
      <c r="AA933623" s="613"/>
    </row>
    <row r="933768" spans="27:27">
      <c r="AA933768" s="613"/>
    </row>
    <row r="933769" spans="27:27">
      <c r="AA933769" s="613"/>
    </row>
    <row r="933914" spans="27:27">
      <c r="AA933914" s="613"/>
    </row>
    <row r="933915" spans="27:27">
      <c r="AA933915" s="613"/>
    </row>
    <row r="934060" spans="27:27">
      <c r="AA934060" s="613"/>
    </row>
    <row r="934061" spans="27:27">
      <c r="AA934061" s="613"/>
    </row>
    <row r="934206" spans="27:27">
      <c r="AA934206" s="613"/>
    </row>
    <row r="934207" spans="27:27">
      <c r="AA934207" s="613"/>
    </row>
    <row r="934352" spans="27:27">
      <c r="AA934352" s="613"/>
    </row>
    <row r="934353" spans="27:27">
      <c r="AA934353" s="613"/>
    </row>
    <row r="934498" spans="27:27">
      <c r="AA934498" s="613"/>
    </row>
    <row r="934499" spans="27:27">
      <c r="AA934499" s="613"/>
    </row>
    <row r="934644" spans="27:27">
      <c r="AA934644" s="613"/>
    </row>
    <row r="934645" spans="27:27">
      <c r="AA934645" s="613"/>
    </row>
    <row r="934790" spans="27:27">
      <c r="AA934790" s="613"/>
    </row>
    <row r="934791" spans="27:27">
      <c r="AA934791" s="613"/>
    </row>
    <row r="934936" spans="27:27">
      <c r="AA934936" s="613"/>
    </row>
    <row r="934937" spans="27:27">
      <c r="AA934937" s="613"/>
    </row>
    <row r="935082" spans="27:27">
      <c r="AA935082" s="613"/>
    </row>
    <row r="935083" spans="27:27">
      <c r="AA935083" s="613"/>
    </row>
    <row r="935228" spans="27:27">
      <c r="AA935228" s="613"/>
    </row>
    <row r="935229" spans="27:27">
      <c r="AA935229" s="613"/>
    </row>
    <row r="935374" spans="27:27">
      <c r="AA935374" s="613"/>
    </row>
    <row r="935375" spans="27:27">
      <c r="AA935375" s="613"/>
    </row>
    <row r="935520" spans="27:27">
      <c r="AA935520" s="613"/>
    </row>
    <row r="935521" spans="27:27">
      <c r="AA935521" s="613"/>
    </row>
    <row r="935666" spans="27:27">
      <c r="AA935666" s="613"/>
    </row>
    <row r="935667" spans="27:27">
      <c r="AA935667" s="613"/>
    </row>
    <row r="935812" spans="27:27">
      <c r="AA935812" s="613"/>
    </row>
    <row r="935813" spans="27:27">
      <c r="AA935813" s="613"/>
    </row>
    <row r="935958" spans="27:27">
      <c r="AA935958" s="613"/>
    </row>
    <row r="935959" spans="27:27">
      <c r="AA935959" s="613"/>
    </row>
    <row r="936104" spans="27:27">
      <c r="AA936104" s="613"/>
    </row>
    <row r="936105" spans="27:27">
      <c r="AA936105" s="613"/>
    </row>
    <row r="936250" spans="27:27">
      <c r="AA936250" s="613"/>
    </row>
    <row r="936251" spans="27:27">
      <c r="AA936251" s="613"/>
    </row>
    <row r="936396" spans="27:27">
      <c r="AA936396" s="613"/>
    </row>
    <row r="936397" spans="27:27">
      <c r="AA936397" s="613"/>
    </row>
    <row r="936542" spans="27:27">
      <c r="AA936542" s="613"/>
    </row>
    <row r="936543" spans="27:27">
      <c r="AA936543" s="613"/>
    </row>
    <row r="936688" spans="27:27">
      <c r="AA936688" s="613"/>
    </row>
    <row r="936689" spans="27:27">
      <c r="AA936689" s="613"/>
    </row>
    <row r="936834" spans="27:27">
      <c r="AA936834" s="613"/>
    </row>
    <row r="936835" spans="27:27">
      <c r="AA936835" s="613"/>
    </row>
    <row r="936980" spans="27:27">
      <c r="AA936980" s="613"/>
    </row>
    <row r="936981" spans="27:27">
      <c r="AA936981" s="613"/>
    </row>
    <row r="937126" spans="27:27">
      <c r="AA937126" s="613"/>
    </row>
    <row r="937127" spans="27:27">
      <c r="AA937127" s="613"/>
    </row>
    <row r="937272" spans="27:27">
      <c r="AA937272" s="613"/>
    </row>
    <row r="937273" spans="27:27">
      <c r="AA937273" s="613"/>
    </row>
    <row r="937418" spans="27:27">
      <c r="AA937418" s="613"/>
    </row>
    <row r="937419" spans="27:27">
      <c r="AA937419" s="613"/>
    </row>
    <row r="937564" spans="27:27">
      <c r="AA937564" s="613"/>
    </row>
    <row r="937565" spans="27:27">
      <c r="AA937565" s="613"/>
    </row>
    <row r="937710" spans="27:27">
      <c r="AA937710" s="613"/>
    </row>
    <row r="937711" spans="27:27">
      <c r="AA937711" s="613"/>
    </row>
    <row r="937856" spans="27:27">
      <c r="AA937856" s="613"/>
    </row>
    <row r="937857" spans="27:27">
      <c r="AA937857" s="613"/>
    </row>
    <row r="938002" spans="27:27">
      <c r="AA938002" s="613"/>
    </row>
    <row r="938003" spans="27:27">
      <c r="AA938003" s="613"/>
    </row>
    <row r="938148" spans="27:27">
      <c r="AA938148" s="613"/>
    </row>
    <row r="938149" spans="27:27">
      <c r="AA938149" s="613"/>
    </row>
    <row r="938294" spans="27:27">
      <c r="AA938294" s="613"/>
    </row>
    <row r="938295" spans="27:27">
      <c r="AA938295" s="613"/>
    </row>
    <row r="938440" spans="27:27">
      <c r="AA938440" s="613"/>
    </row>
    <row r="938441" spans="27:27">
      <c r="AA938441" s="613"/>
    </row>
    <row r="938586" spans="27:27">
      <c r="AA938586" s="613"/>
    </row>
    <row r="938587" spans="27:27">
      <c r="AA938587" s="613"/>
    </row>
    <row r="938732" spans="27:27">
      <c r="AA938732" s="613"/>
    </row>
    <row r="938733" spans="27:27">
      <c r="AA938733" s="613"/>
    </row>
    <row r="938878" spans="27:27">
      <c r="AA938878" s="613"/>
    </row>
    <row r="938879" spans="27:27">
      <c r="AA938879" s="613"/>
    </row>
    <row r="939024" spans="27:27">
      <c r="AA939024" s="613"/>
    </row>
    <row r="939025" spans="27:27">
      <c r="AA939025" s="613"/>
    </row>
    <row r="939170" spans="27:27">
      <c r="AA939170" s="613"/>
    </row>
    <row r="939171" spans="27:27">
      <c r="AA939171" s="613"/>
    </row>
    <row r="939316" spans="27:27">
      <c r="AA939316" s="613"/>
    </row>
    <row r="939317" spans="27:27">
      <c r="AA939317" s="613"/>
    </row>
    <row r="939462" spans="27:27">
      <c r="AA939462" s="613"/>
    </row>
    <row r="939463" spans="27:27">
      <c r="AA939463" s="613"/>
    </row>
    <row r="939608" spans="27:27">
      <c r="AA939608" s="613"/>
    </row>
    <row r="939609" spans="27:27">
      <c r="AA939609" s="613"/>
    </row>
    <row r="939754" spans="27:27">
      <c r="AA939754" s="613"/>
    </row>
    <row r="939755" spans="27:27">
      <c r="AA939755" s="613"/>
    </row>
    <row r="939900" spans="27:27">
      <c r="AA939900" s="613"/>
    </row>
    <row r="939901" spans="27:27">
      <c r="AA939901" s="613"/>
    </row>
    <row r="940046" spans="27:27">
      <c r="AA940046" s="613"/>
    </row>
    <row r="940047" spans="27:27">
      <c r="AA940047" s="613"/>
    </row>
    <row r="940192" spans="27:27">
      <c r="AA940192" s="613"/>
    </row>
    <row r="940193" spans="27:27">
      <c r="AA940193" s="613"/>
    </row>
    <row r="940338" spans="27:27">
      <c r="AA940338" s="613"/>
    </row>
    <row r="940339" spans="27:27">
      <c r="AA940339" s="613"/>
    </row>
    <row r="940484" spans="27:27">
      <c r="AA940484" s="613"/>
    </row>
    <row r="940485" spans="27:27">
      <c r="AA940485" s="613"/>
    </row>
    <row r="940630" spans="27:27">
      <c r="AA940630" s="613"/>
    </row>
    <row r="940631" spans="27:27">
      <c r="AA940631" s="613"/>
    </row>
    <row r="940776" spans="27:27">
      <c r="AA940776" s="613"/>
    </row>
    <row r="940777" spans="27:27">
      <c r="AA940777" s="613"/>
    </row>
    <row r="940922" spans="27:27">
      <c r="AA940922" s="613"/>
    </row>
    <row r="940923" spans="27:27">
      <c r="AA940923" s="613"/>
    </row>
    <row r="941068" spans="27:27">
      <c r="AA941068" s="613"/>
    </row>
    <row r="941069" spans="27:27">
      <c r="AA941069" s="613"/>
    </row>
    <row r="941214" spans="27:27">
      <c r="AA941214" s="613"/>
    </row>
    <row r="941215" spans="27:27">
      <c r="AA941215" s="613"/>
    </row>
    <row r="941360" spans="27:27">
      <c r="AA941360" s="613"/>
    </row>
    <row r="941361" spans="27:27">
      <c r="AA941361" s="613"/>
    </row>
    <row r="941506" spans="27:27">
      <c r="AA941506" s="613"/>
    </row>
    <row r="941507" spans="27:27">
      <c r="AA941507" s="613"/>
    </row>
    <row r="941652" spans="27:27">
      <c r="AA941652" s="613"/>
    </row>
    <row r="941653" spans="27:27">
      <c r="AA941653" s="613"/>
    </row>
    <row r="941798" spans="27:27">
      <c r="AA941798" s="613"/>
    </row>
    <row r="941799" spans="27:27">
      <c r="AA941799" s="613"/>
    </row>
    <row r="941944" spans="27:27">
      <c r="AA941944" s="613"/>
    </row>
    <row r="941945" spans="27:27">
      <c r="AA941945" s="613"/>
    </row>
    <row r="942090" spans="27:27">
      <c r="AA942090" s="613"/>
    </row>
    <row r="942091" spans="27:27">
      <c r="AA942091" s="613"/>
    </row>
    <row r="942236" spans="27:27">
      <c r="AA942236" s="613"/>
    </row>
    <row r="942237" spans="27:27">
      <c r="AA942237" s="613"/>
    </row>
    <row r="942382" spans="27:27">
      <c r="AA942382" s="613"/>
    </row>
    <row r="942383" spans="27:27">
      <c r="AA942383" s="613"/>
    </row>
    <row r="942528" spans="27:27">
      <c r="AA942528" s="613"/>
    </row>
    <row r="942529" spans="27:27">
      <c r="AA942529" s="613"/>
    </row>
    <row r="942674" spans="27:27">
      <c r="AA942674" s="613"/>
    </row>
    <row r="942675" spans="27:27">
      <c r="AA942675" s="613"/>
    </row>
    <row r="942820" spans="27:27">
      <c r="AA942820" s="613"/>
    </row>
    <row r="942821" spans="27:27">
      <c r="AA942821" s="613"/>
    </row>
    <row r="942966" spans="27:27">
      <c r="AA942966" s="613"/>
    </row>
    <row r="942967" spans="27:27">
      <c r="AA942967" s="613"/>
    </row>
    <row r="943112" spans="27:27">
      <c r="AA943112" s="613"/>
    </row>
    <row r="943113" spans="27:27">
      <c r="AA943113" s="613"/>
    </row>
    <row r="943258" spans="27:27">
      <c r="AA943258" s="613"/>
    </row>
    <row r="943259" spans="27:27">
      <c r="AA943259" s="613"/>
    </row>
    <row r="943404" spans="27:27">
      <c r="AA943404" s="613"/>
    </row>
    <row r="943405" spans="27:27">
      <c r="AA943405" s="613"/>
    </row>
    <row r="943550" spans="27:27">
      <c r="AA943550" s="613"/>
    </row>
    <row r="943551" spans="27:27">
      <c r="AA943551" s="613"/>
    </row>
    <row r="943696" spans="27:27">
      <c r="AA943696" s="613"/>
    </row>
    <row r="943697" spans="27:27">
      <c r="AA943697" s="613"/>
    </row>
    <row r="943842" spans="27:27">
      <c r="AA943842" s="613"/>
    </row>
    <row r="943843" spans="27:27">
      <c r="AA943843" s="613"/>
    </row>
    <row r="943988" spans="27:27">
      <c r="AA943988" s="613"/>
    </row>
    <row r="943989" spans="27:27">
      <c r="AA943989" s="613"/>
    </row>
    <row r="944134" spans="27:27">
      <c r="AA944134" s="613"/>
    </row>
    <row r="944135" spans="27:27">
      <c r="AA944135" s="613"/>
    </row>
    <row r="944280" spans="27:27">
      <c r="AA944280" s="613"/>
    </row>
    <row r="944281" spans="27:27">
      <c r="AA944281" s="613"/>
    </row>
    <row r="944426" spans="27:27">
      <c r="AA944426" s="613"/>
    </row>
    <row r="944427" spans="27:27">
      <c r="AA944427" s="613"/>
    </row>
    <row r="944572" spans="27:27">
      <c r="AA944572" s="613"/>
    </row>
    <row r="944573" spans="27:27">
      <c r="AA944573" s="613"/>
    </row>
    <row r="944718" spans="27:27">
      <c r="AA944718" s="613"/>
    </row>
    <row r="944719" spans="27:27">
      <c r="AA944719" s="613"/>
    </row>
    <row r="944864" spans="27:27">
      <c r="AA944864" s="613"/>
    </row>
    <row r="944865" spans="27:27">
      <c r="AA944865" s="613"/>
    </row>
    <row r="945010" spans="27:27">
      <c r="AA945010" s="613"/>
    </row>
    <row r="945011" spans="27:27">
      <c r="AA945011" s="613"/>
    </row>
    <row r="945156" spans="27:27">
      <c r="AA945156" s="613"/>
    </row>
    <row r="945157" spans="27:27">
      <c r="AA945157" s="613"/>
    </row>
    <row r="945302" spans="27:27">
      <c r="AA945302" s="613"/>
    </row>
    <row r="945303" spans="27:27">
      <c r="AA945303" s="613"/>
    </row>
    <row r="945448" spans="27:27">
      <c r="AA945448" s="613"/>
    </row>
    <row r="945449" spans="27:27">
      <c r="AA945449" s="613"/>
    </row>
    <row r="945594" spans="27:27">
      <c r="AA945594" s="613"/>
    </row>
    <row r="945595" spans="27:27">
      <c r="AA945595" s="613"/>
    </row>
    <row r="945740" spans="27:27">
      <c r="AA945740" s="613"/>
    </row>
    <row r="945741" spans="27:27">
      <c r="AA945741" s="613"/>
    </row>
    <row r="945886" spans="27:27">
      <c r="AA945886" s="613"/>
    </row>
    <row r="945887" spans="27:27">
      <c r="AA945887" s="613"/>
    </row>
    <row r="946032" spans="27:27">
      <c r="AA946032" s="613"/>
    </row>
    <row r="946033" spans="27:27">
      <c r="AA946033" s="613"/>
    </row>
    <row r="946178" spans="27:27">
      <c r="AA946178" s="613"/>
    </row>
    <row r="946179" spans="27:27">
      <c r="AA946179" s="613"/>
    </row>
    <row r="946324" spans="27:27">
      <c r="AA946324" s="613"/>
    </row>
    <row r="946325" spans="27:27">
      <c r="AA946325" s="613"/>
    </row>
    <row r="946470" spans="27:27">
      <c r="AA946470" s="613"/>
    </row>
    <row r="946471" spans="27:27">
      <c r="AA946471" s="613"/>
    </row>
    <row r="946616" spans="27:27">
      <c r="AA946616" s="613"/>
    </row>
    <row r="946617" spans="27:27">
      <c r="AA946617" s="613"/>
    </row>
    <row r="946762" spans="27:27">
      <c r="AA946762" s="613"/>
    </row>
    <row r="946763" spans="27:27">
      <c r="AA946763" s="613"/>
    </row>
    <row r="946908" spans="27:27">
      <c r="AA946908" s="613"/>
    </row>
    <row r="946909" spans="27:27">
      <c r="AA946909" s="613"/>
    </row>
    <row r="947054" spans="27:27">
      <c r="AA947054" s="613"/>
    </row>
    <row r="947055" spans="27:27">
      <c r="AA947055" s="613"/>
    </row>
    <row r="947200" spans="27:27">
      <c r="AA947200" s="613"/>
    </row>
    <row r="947201" spans="27:27">
      <c r="AA947201" s="613"/>
    </row>
    <row r="947346" spans="27:27">
      <c r="AA947346" s="613"/>
    </row>
    <row r="947347" spans="27:27">
      <c r="AA947347" s="613"/>
    </row>
    <row r="947492" spans="27:27">
      <c r="AA947492" s="613"/>
    </row>
    <row r="947493" spans="27:27">
      <c r="AA947493" s="613"/>
    </row>
    <row r="947638" spans="27:27">
      <c r="AA947638" s="613"/>
    </row>
    <row r="947639" spans="27:27">
      <c r="AA947639" s="613"/>
    </row>
    <row r="947784" spans="27:27">
      <c r="AA947784" s="613"/>
    </row>
    <row r="947785" spans="27:27">
      <c r="AA947785" s="613"/>
    </row>
    <row r="947930" spans="27:27">
      <c r="AA947930" s="613"/>
    </row>
    <row r="947931" spans="27:27">
      <c r="AA947931" s="613"/>
    </row>
    <row r="948076" spans="27:27">
      <c r="AA948076" s="613"/>
    </row>
    <row r="948077" spans="27:27">
      <c r="AA948077" s="613"/>
    </row>
    <row r="948222" spans="27:27">
      <c r="AA948222" s="613"/>
    </row>
    <row r="948223" spans="27:27">
      <c r="AA948223" s="613"/>
    </row>
    <row r="948368" spans="27:27">
      <c r="AA948368" s="613"/>
    </row>
    <row r="948369" spans="27:27">
      <c r="AA948369" s="613"/>
    </row>
    <row r="948514" spans="27:27">
      <c r="AA948514" s="613"/>
    </row>
    <row r="948515" spans="27:27">
      <c r="AA948515" s="613"/>
    </row>
    <row r="948660" spans="27:27">
      <c r="AA948660" s="613"/>
    </row>
    <row r="948661" spans="27:27">
      <c r="AA948661" s="613"/>
    </row>
    <row r="948806" spans="27:27">
      <c r="AA948806" s="613"/>
    </row>
    <row r="948807" spans="27:27">
      <c r="AA948807" s="613"/>
    </row>
    <row r="948952" spans="27:27">
      <c r="AA948952" s="613"/>
    </row>
    <row r="948953" spans="27:27">
      <c r="AA948953" s="613"/>
    </row>
    <row r="949098" spans="27:27">
      <c r="AA949098" s="613"/>
    </row>
    <row r="949099" spans="27:27">
      <c r="AA949099" s="613"/>
    </row>
    <row r="949244" spans="27:27">
      <c r="AA949244" s="613"/>
    </row>
    <row r="949245" spans="27:27">
      <c r="AA949245" s="613"/>
    </row>
    <row r="949390" spans="27:27">
      <c r="AA949390" s="613"/>
    </row>
    <row r="949391" spans="27:27">
      <c r="AA949391" s="613"/>
    </row>
    <row r="949536" spans="27:27">
      <c r="AA949536" s="613"/>
    </row>
    <row r="949537" spans="27:27">
      <c r="AA949537" s="613"/>
    </row>
    <row r="949682" spans="27:27">
      <c r="AA949682" s="613"/>
    </row>
    <row r="949683" spans="27:27">
      <c r="AA949683" s="613"/>
    </row>
    <row r="949828" spans="27:27">
      <c r="AA949828" s="613"/>
    </row>
    <row r="949829" spans="27:27">
      <c r="AA949829" s="613"/>
    </row>
    <row r="949974" spans="27:27">
      <c r="AA949974" s="613"/>
    </row>
    <row r="949975" spans="27:27">
      <c r="AA949975" s="613"/>
    </row>
    <row r="950120" spans="27:27">
      <c r="AA950120" s="613"/>
    </row>
    <row r="950121" spans="27:27">
      <c r="AA950121" s="613"/>
    </row>
    <row r="950266" spans="27:27">
      <c r="AA950266" s="613"/>
    </row>
    <row r="950267" spans="27:27">
      <c r="AA950267" s="613"/>
    </row>
    <row r="950412" spans="27:27">
      <c r="AA950412" s="613"/>
    </row>
    <row r="950413" spans="27:27">
      <c r="AA950413" s="613"/>
    </row>
    <row r="950558" spans="27:27">
      <c r="AA950558" s="613"/>
    </row>
    <row r="950559" spans="27:27">
      <c r="AA950559" s="613"/>
    </row>
    <row r="950704" spans="27:27">
      <c r="AA950704" s="613"/>
    </row>
    <row r="950705" spans="27:27">
      <c r="AA950705" s="613"/>
    </row>
    <row r="950850" spans="27:27">
      <c r="AA950850" s="613"/>
    </row>
    <row r="950851" spans="27:27">
      <c r="AA950851" s="613"/>
    </row>
    <row r="950996" spans="27:27">
      <c r="AA950996" s="613"/>
    </row>
    <row r="950997" spans="27:27">
      <c r="AA950997" s="613"/>
    </row>
    <row r="951142" spans="27:27">
      <c r="AA951142" s="613"/>
    </row>
    <row r="951143" spans="27:27">
      <c r="AA951143" s="613"/>
    </row>
    <row r="951288" spans="27:27">
      <c r="AA951288" s="613"/>
    </row>
    <row r="951289" spans="27:27">
      <c r="AA951289" s="613"/>
    </row>
    <row r="951434" spans="27:27">
      <c r="AA951434" s="613"/>
    </row>
    <row r="951435" spans="27:27">
      <c r="AA951435" s="613"/>
    </row>
    <row r="951580" spans="27:27">
      <c r="AA951580" s="613"/>
    </row>
    <row r="951581" spans="27:27">
      <c r="AA951581" s="613"/>
    </row>
    <row r="951726" spans="27:27">
      <c r="AA951726" s="613"/>
    </row>
    <row r="951727" spans="27:27">
      <c r="AA951727" s="613"/>
    </row>
    <row r="951872" spans="27:27">
      <c r="AA951872" s="613"/>
    </row>
    <row r="951873" spans="27:27">
      <c r="AA951873" s="613"/>
    </row>
    <row r="952018" spans="27:27">
      <c r="AA952018" s="613"/>
    </row>
    <row r="952019" spans="27:27">
      <c r="AA952019" s="613"/>
    </row>
    <row r="952164" spans="27:27">
      <c r="AA952164" s="613"/>
    </row>
    <row r="952165" spans="27:27">
      <c r="AA952165" s="613"/>
    </row>
    <row r="952310" spans="27:27">
      <c r="AA952310" s="613"/>
    </row>
    <row r="952311" spans="27:27">
      <c r="AA952311" s="613"/>
    </row>
    <row r="952456" spans="27:27">
      <c r="AA952456" s="613"/>
    </row>
    <row r="952457" spans="27:27">
      <c r="AA952457" s="613"/>
    </row>
    <row r="952602" spans="27:27">
      <c r="AA952602" s="613"/>
    </row>
    <row r="952603" spans="27:27">
      <c r="AA952603" s="613"/>
    </row>
    <row r="952748" spans="27:27">
      <c r="AA952748" s="613"/>
    </row>
    <row r="952749" spans="27:27">
      <c r="AA952749" s="613"/>
    </row>
    <row r="952894" spans="27:27">
      <c r="AA952894" s="613"/>
    </row>
    <row r="952895" spans="27:27">
      <c r="AA952895" s="613"/>
    </row>
    <row r="953040" spans="27:27">
      <c r="AA953040" s="613"/>
    </row>
    <row r="953041" spans="27:27">
      <c r="AA953041" s="613"/>
    </row>
    <row r="953186" spans="27:27">
      <c r="AA953186" s="613"/>
    </row>
    <row r="953187" spans="27:27">
      <c r="AA953187" s="613"/>
    </row>
    <row r="953332" spans="27:27">
      <c r="AA953332" s="613"/>
    </row>
    <row r="953333" spans="27:27">
      <c r="AA953333" s="613"/>
    </row>
    <row r="953478" spans="27:27">
      <c r="AA953478" s="613"/>
    </row>
    <row r="953479" spans="27:27">
      <c r="AA953479" s="613"/>
    </row>
    <row r="953624" spans="27:27">
      <c r="AA953624" s="613"/>
    </row>
    <row r="953625" spans="27:27">
      <c r="AA953625" s="613"/>
    </row>
    <row r="953770" spans="27:27">
      <c r="AA953770" s="613"/>
    </row>
    <row r="953771" spans="27:27">
      <c r="AA953771" s="613"/>
    </row>
    <row r="953916" spans="27:27">
      <c r="AA953916" s="613"/>
    </row>
    <row r="953917" spans="27:27">
      <c r="AA953917" s="613"/>
    </row>
    <row r="954062" spans="27:27">
      <c r="AA954062" s="613"/>
    </row>
    <row r="954063" spans="27:27">
      <c r="AA954063" s="613"/>
    </row>
    <row r="954208" spans="27:27">
      <c r="AA954208" s="613"/>
    </row>
    <row r="954209" spans="27:27">
      <c r="AA954209" s="613"/>
    </row>
    <row r="954354" spans="27:27">
      <c r="AA954354" s="613"/>
    </row>
    <row r="954355" spans="27:27">
      <c r="AA954355" s="613"/>
    </row>
    <row r="954500" spans="27:27">
      <c r="AA954500" s="613"/>
    </row>
    <row r="954501" spans="27:27">
      <c r="AA954501" s="613"/>
    </row>
    <row r="954646" spans="27:27">
      <c r="AA954646" s="613"/>
    </row>
    <row r="954647" spans="27:27">
      <c r="AA954647" s="613"/>
    </row>
    <row r="954792" spans="27:27">
      <c r="AA954792" s="613"/>
    </row>
    <row r="954793" spans="27:27">
      <c r="AA954793" s="613"/>
    </row>
    <row r="954938" spans="27:27">
      <c r="AA954938" s="613"/>
    </row>
    <row r="954939" spans="27:27">
      <c r="AA954939" s="613"/>
    </row>
    <row r="955084" spans="27:27">
      <c r="AA955084" s="613"/>
    </row>
    <row r="955085" spans="27:27">
      <c r="AA955085" s="613"/>
    </row>
    <row r="955230" spans="27:27">
      <c r="AA955230" s="613"/>
    </row>
    <row r="955231" spans="27:27">
      <c r="AA955231" s="613"/>
    </row>
    <row r="955376" spans="27:27">
      <c r="AA955376" s="613"/>
    </row>
    <row r="955377" spans="27:27">
      <c r="AA955377" s="613"/>
    </row>
    <row r="955522" spans="27:27">
      <c r="AA955522" s="613"/>
    </row>
    <row r="955523" spans="27:27">
      <c r="AA955523" s="613"/>
    </row>
    <row r="955668" spans="27:27">
      <c r="AA955668" s="613"/>
    </row>
    <row r="955669" spans="27:27">
      <c r="AA955669" s="613"/>
    </row>
    <row r="955814" spans="27:27">
      <c r="AA955814" s="613"/>
    </row>
    <row r="955815" spans="27:27">
      <c r="AA955815" s="613"/>
    </row>
    <row r="955960" spans="27:27">
      <c r="AA955960" s="613"/>
    </row>
    <row r="955961" spans="27:27">
      <c r="AA955961" s="613"/>
    </row>
    <row r="956106" spans="27:27">
      <c r="AA956106" s="613"/>
    </row>
    <row r="956107" spans="27:27">
      <c r="AA956107" s="613"/>
    </row>
    <row r="956252" spans="27:27">
      <c r="AA956252" s="613"/>
    </row>
    <row r="956253" spans="27:27">
      <c r="AA956253" s="613"/>
    </row>
    <row r="956398" spans="27:27">
      <c r="AA956398" s="613"/>
    </row>
    <row r="956399" spans="27:27">
      <c r="AA956399" s="613"/>
    </row>
    <row r="956544" spans="27:27">
      <c r="AA956544" s="613"/>
    </row>
    <row r="956545" spans="27:27">
      <c r="AA956545" s="613"/>
    </row>
    <row r="956690" spans="27:27">
      <c r="AA956690" s="613"/>
    </row>
    <row r="956691" spans="27:27">
      <c r="AA956691" s="613"/>
    </row>
    <row r="956836" spans="27:27">
      <c r="AA956836" s="613"/>
    </row>
    <row r="956837" spans="27:27">
      <c r="AA956837" s="613"/>
    </row>
    <row r="956982" spans="27:27">
      <c r="AA956982" s="613"/>
    </row>
    <row r="956983" spans="27:27">
      <c r="AA956983" s="613"/>
    </row>
    <row r="957128" spans="27:27">
      <c r="AA957128" s="613"/>
    </row>
    <row r="957129" spans="27:27">
      <c r="AA957129" s="613"/>
    </row>
    <row r="957274" spans="27:27">
      <c r="AA957274" s="613"/>
    </row>
    <row r="957275" spans="27:27">
      <c r="AA957275" s="613"/>
    </row>
    <row r="957420" spans="27:27">
      <c r="AA957420" s="613"/>
    </row>
    <row r="957421" spans="27:27">
      <c r="AA957421" s="613"/>
    </row>
    <row r="957566" spans="27:27">
      <c r="AA957566" s="613"/>
    </row>
    <row r="957567" spans="27:27">
      <c r="AA957567" s="613"/>
    </row>
    <row r="957712" spans="27:27">
      <c r="AA957712" s="613"/>
    </row>
    <row r="957713" spans="27:27">
      <c r="AA957713" s="613"/>
    </row>
    <row r="957858" spans="27:27">
      <c r="AA957858" s="613"/>
    </row>
    <row r="957859" spans="27:27">
      <c r="AA957859" s="613"/>
    </row>
    <row r="958004" spans="27:27">
      <c r="AA958004" s="613"/>
    </row>
    <row r="958005" spans="27:27">
      <c r="AA958005" s="613"/>
    </row>
    <row r="958150" spans="27:27">
      <c r="AA958150" s="613"/>
    </row>
    <row r="958151" spans="27:27">
      <c r="AA958151" s="613"/>
    </row>
    <row r="958296" spans="27:27">
      <c r="AA958296" s="613"/>
    </row>
    <row r="958297" spans="27:27">
      <c r="AA958297" s="613"/>
    </row>
    <row r="958442" spans="27:27">
      <c r="AA958442" s="613"/>
    </row>
    <row r="958443" spans="27:27">
      <c r="AA958443" s="613"/>
    </row>
    <row r="958588" spans="27:27">
      <c r="AA958588" s="613"/>
    </row>
    <row r="958589" spans="27:27">
      <c r="AA958589" s="613"/>
    </row>
    <row r="958734" spans="27:27">
      <c r="AA958734" s="613"/>
    </row>
    <row r="958735" spans="27:27">
      <c r="AA958735" s="613"/>
    </row>
    <row r="958880" spans="27:27">
      <c r="AA958880" s="613"/>
    </row>
    <row r="958881" spans="27:27">
      <c r="AA958881" s="613"/>
    </row>
    <row r="959026" spans="27:27">
      <c r="AA959026" s="613"/>
    </row>
    <row r="959027" spans="27:27">
      <c r="AA959027" s="613"/>
    </row>
    <row r="959172" spans="27:27">
      <c r="AA959172" s="613"/>
    </row>
    <row r="959173" spans="27:27">
      <c r="AA959173" s="613"/>
    </row>
    <row r="959318" spans="27:27">
      <c r="AA959318" s="613"/>
    </row>
    <row r="959319" spans="27:27">
      <c r="AA959319" s="613"/>
    </row>
    <row r="959464" spans="27:27">
      <c r="AA959464" s="613"/>
    </row>
    <row r="959465" spans="27:27">
      <c r="AA959465" s="613"/>
    </row>
    <row r="959610" spans="27:27">
      <c r="AA959610" s="613"/>
    </row>
    <row r="959611" spans="27:27">
      <c r="AA959611" s="613"/>
    </row>
    <row r="959756" spans="27:27">
      <c r="AA959756" s="613"/>
    </row>
    <row r="959757" spans="27:27">
      <c r="AA959757" s="613"/>
    </row>
    <row r="959902" spans="27:27">
      <c r="AA959902" s="613"/>
    </row>
    <row r="959903" spans="27:27">
      <c r="AA959903" s="613"/>
    </row>
    <row r="960048" spans="27:27">
      <c r="AA960048" s="613"/>
    </row>
    <row r="960049" spans="27:27">
      <c r="AA960049" s="613"/>
    </row>
    <row r="960194" spans="27:27">
      <c r="AA960194" s="613"/>
    </row>
    <row r="960195" spans="27:27">
      <c r="AA960195" s="613"/>
    </row>
    <row r="960340" spans="27:27">
      <c r="AA960340" s="613"/>
    </row>
    <row r="960341" spans="27:27">
      <c r="AA960341" s="613"/>
    </row>
    <row r="960486" spans="27:27">
      <c r="AA960486" s="613"/>
    </row>
    <row r="960487" spans="27:27">
      <c r="AA960487" s="613"/>
    </row>
    <row r="960632" spans="27:27">
      <c r="AA960632" s="613"/>
    </row>
    <row r="960633" spans="27:27">
      <c r="AA960633" s="613"/>
    </row>
    <row r="960778" spans="27:27">
      <c r="AA960778" s="613"/>
    </row>
    <row r="960779" spans="27:27">
      <c r="AA960779" s="613"/>
    </row>
    <row r="960924" spans="27:27">
      <c r="AA960924" s="613"/>
    </row>
    <row r="960925" spans="27:27">
      <c r="AA960925" s="613"/>
    </row>
    <row r="961070" spans="27:27">
      <c r="AA961070" s="613"/>
    </row>
    <row r="961071" spans="27:27">
      <c r="AA961071" s="613"/>
    </row>
    <row r="961216" spans="27:27">
      <c r="AA961216" s="613"/>
    </row>
    <row r="961217" spans="27:27">
      <c r="AA961217" s="613"/>
    </row>
    <row r="961362" spans="27:27">
      <c r="AA961362" s="613"/>
    </row>
    <row r="961363" spans="27:27">
      <c r="AA961363" s="613"/>
    </row>
    <row r="961508" spans="27:27">
      <c r="AA961508" s="613"/>
    </row>
    <row r="961509" spans="27:27">
      <c r="AA961509" s="613"/>
    </row>
    <row r="961654" spans="27:27">
      <c r="AA961654" s="613"/>
    </row>
    <row r="961655" spans="27:27">
      <c r="AA961655" s="613"/>
    </row>
    <row r="961800" spans="27:27">
      <c r="AA961800" s="613"/>
    </row>
    <row r="961801" spans="27:27">
      <c r="AA961801" s="613"/>
    </row>
    <row r="961946" spans="27:27">
      <c r="AA961946" s="613"/>
    </row>
    <row r="961947" spans="27:27">
      <c r="AA961947" s="613"/>
    </row>
    <row r="962092" spans="27:27">
      <c r="AA962092" s="613"/>
    </row>
    <row r="962093" spans="27:27">
      <c r="AA962093" s="613"/>
    </row>
    <row r="962238" spans="27:27">
      <c r="AA962238" s="613"/>
    </row>
    <row r="962239" spans="27:27">
      <c r="AA962239" s="613"/>
    </row>
    <row r="962384" spans="27:27">
      <c r="AA962384" s="613"/>
    </row>
    <row r="962385" spans="27:27">
      <c r="AA962385" s="613"/>
    </row>
    <row r="962530" spans="27:27">
      <c r="AA962530" s="613"/>
    </row>
    <row r="962531" spans="27:27">
      <c r="AA962531" s="613"/>
    </row>
    <row r="962676" spans="27:27">
      <c r="AA962676" s="613"/>
    </row>
    <row r="962677" spans="27:27">
      <c r="AA962677" s="613"/>
    </row>
    <row r="962822" spans="27:27">
      <c r="AA962822" s="613"/>
    </row>
    <row r="962823" spans="27:27">
      <c r="AA962823" s="613"/>
    </row>
    <row r="962968" spans="27:27">
      <c r="AA962968" s="613"/>
    </row>
    <row r="962969" spans="27:27">
      <c r="AA962969" s="613"/>
    </row>
    <row r="963114" spans="27:27">
      <c r="AA963114" s="613"/>
    </row>
    <row r="963115" spans="27:27">
      <c r="AA963115" s="613"/>
    </row>
    <row r="963260" spans="27:27">
      <c r="AA963260" s="613"/>
    </row>
    <row r="963261" spans="27:27">
      <c r="AA963261" s="613"/>
    </row>
    <row r="963406" spans="27:27">
      <c r="AA963406" s="613"/>
    </row>
    <row r="963407" spans="27:27">
      <c r="AA963407" s="613"/>
    </row>
    <row r="963552" spans="27:27">
      <c r="AA963552" s="613"/>
    </row>
    <row r="963553" spans="27:27">
      <c r="AA963553" s="613"/>
    </row>
    <row r="963698" spans="27:27">
      <c r="AA963698" s="613"/>
    </row>
    <row r="963699" spans="27:27">
      <c r="AA963699" s="613"/>
    </row>
    <row r="963844" spans="27:27">
      <c r="AA963844" s="613"/>
    </row>
    <row r="963845" spans="27:27">
      <c r="AA963845" s="613"/>
    </row>
    <row r="963990" spans="27:27">
      <c r="AA963990" s="613"/>
    </row>
    <row r="963991" spans="27:27">
      <c r="AA963991" s="613"/>
    </row>
    <row r="964136" spans="27:27">
      <c r="AA964136" s="613"/>
    </row>
    <row r="964137" spans="27:27">
      <c r="AA964137" s="613"/>
    </row>
    <row r="964282" spans="27:27">
      <c r="AA964282" s="613"/>
    </row>
    <row r="964283" spans="27:27">
      <c r="AA964283" s="613"/>
    </row>
    <row r="964428" spans="27:27">
      <c r="AA964428" s="613"/>
    </row>
    <row r="964429" spans="27:27">
      <c r="AA964429" s="613"/>
    </row>
    <row r="964574" spans="27:27">
      <c r="AA964574" s="613"/>
    </row>
    <row r="964575" spans="27:27">
      <c r="AA964575" s="613"/>
    </row>
    <row r="964720" spans="27:27">
      <c r="AA964720" s="613"/>
    </row>
    <row r="964721" spans="27:27">
      <c r="AA964721" s="613"/>
    </row>
    <row r="964866" spans="27:27">
      <c r="AA964866" s="613"/>
    </row>
    <row r="964867" spans="27:27">
      <c r="AA964867" s="613"/>
    </row>
    <row r="965012" spans="27:27">
      <c r="AA965012" s="613"/>
    </row>
    <row r="965013" spans="27:27">
      <c r="AA965013" s="613"/>
    </row>
    <row r="965158" spans="27:27">
      <c r="AA965158" s="613"/>
    </row>
    <row r="965159" spans="27:27">
      <c r="AA965159" s="613"/>
    </row>
    <row r="965304" spans="27:27">
      <c r="AA965304" s="613"/>
    </row>
    <row r="965305" spans="27:27">
      <c r="AA965305" s="613"/>
    </row>
    <row r="965450" spans="27:27">
      <c r="AA965450" s="613"/>
    </row>
    <row r="965451" spans="27:27">
      <c r="AA965451" s="613"/>
    </row>
    <row r="965596" spans="27:27">
      <c r="AA965596" s="613"/>
    </row>
    <row r="965597" spans="27:27">
      <c r="AA965597" s="613"/>
    </row>
    <row r="965742" spans="27:27">
      <c r="AA965742" s="613"/>
    </row>
    <row r="965743" spans="27:27">
      <c r="AA965743" s="613"/>
    </row>
    <row r="965888" spans="27:27">
      <c r="AA965888" s="613"/>
    </row>
    <row r="965889" spans="27:27">
      <c r="AA965889" s="613"/>
    </row>
    <row r="966034" spans="27:27">
      <c r="AA966034" s="613"/>
    </row>
    <row r="966035" spans="27:27">
      <c r="AA966035" s="613"/>
    </row>
    <row r="966180" spans="27:27">
      <c r="AA966180" s="613"/>
    </row>
    <row r="966181" spans="27:27">
      <c r="AA966181" s="613"/>
    </row>
    <row r="966326" spans="27:27">
      <c r="AA966326" s="613"/>
    </row>
    <row r="966327" spans="27:27">
      <c r="AA966327" s="613"/>
    </row>
    <row r="966472" spans="27:27">
      <c r="AA966472" s="613"/>
    </row>
    <row r="966473" spans="27:27">
      <c r="AA966473" s="613"/>
    </row>
    <row r="966618" spans="27:27">
      <c r="AA966618" s="613"/>
    </row>
    <row r="966619" spans="27:27">
      <c r="AA966619" s="613"/>
    </row>
    <row r="966764" spans="27:27">
      <c r="AA966764" s="613"/>
    </row>
    <row r="966765" spans="27:27">
      <c r="AA966765" s="613"/>
    </row>
    <row r="966910" spans="27:27">
      <c r="AA966910" s="613"/>
    </row>
    <row r="966911" spans="27:27">
      <c r="AA966911" s="613"/>
    </row>
    <row r="967056" spans="27:27">
      <c r="AA967056" s="613"/>
    </row>
    <row r="967057" spans="27:27">
      <c r="AA967057" s="613"/>
    </row>
    <row r="967202" spans="27:27">
      <c r="AA967202" s="613"/>
    </row>
    <row r="967203" spans="27:27">
      <c r="AA967203" s="613"/>
    </row>
    <row r="967348" spans="27:27">
      <c r="AA967348" s="613"/>
    </row>
    <row r="967349" spans="27:27">
      <c r="AA967349" s="613"/>
    </row>
    <row r="967494" spans="27:27">
      <c r="AA967494" s="613"/>
    </row>
    <row r="967495" spans="27:27">
      <c r="AA967495" s="613"/>
    </row>
    <row r="967640" spans="27:27">
      <c r="AA967640" s="613"/>
    </row>
    <row r="967641" spans="27:27">
      <c r="AA967641" s="613"/>
    </row>
    <row r="967786" spans="27:27">
      <c r="AA967786" s="613"/>
    </row>
    <row r="967787" spans="27:27">
      <c r="AA967787" s="613"/>
    </row>
    <row r="967932" spans="27:27">
      <c r="AA967932" s="613"/>
    </row>
    <row r="967933" spans="27:27">
      <c r="AA967933" s="613"/>
    </row>
    <row r="968078" spans="27:27">
      <c r="AA968078" s="613"/>
    </row>
    <row r="968079" spans="27:27">
      <c r="AA968079" s="613"/>
    </row>
    <row r="968224" spans="27:27">
      <c r="AA968224" s="613"/>
    </row>
    <row r="968225" spans="27:27">
      <c r="AA968225" s="613"/>
    </row>
    <row r="968370" spans="27:27">
      <c r="AA968370" s="613"/>
    </row>
    <row r="968371" spans="27:27">
      <c r="AA968371" s="613"/>
    </row>
    <row r="968516" spans="27:27">
      <c r="AA968516" s="613"/>
    </row>
    <row r="968517" spans="27:27">
      <c r="AA968517" s="613"/>
    </row>
    <row r="968662" spans="27:27">
      <c r="AA968662" s="613"/>
    </row>
    <row r="968663" spans="27:27">
      <c r="AA968663" s="613"/>
    </row>
    <row r="968808" spans="27:27">
      <c r="AA968808" s="613"/>
    </row>
    <row r="968809" spans="27:27">
      <c r="AA968809" s="613"/>
    </row>
    <row r="968954" spans="27:27">
      <c r="AA968954" s="613"/>
    </row>
    <row r="968955" spans="27:27">
      <c r="AA968955" s="613"/>
    </row>
    <row r="969100" spans="27:27">
      <c r="AA969100" s="613"/>
    </row>
    <row r="969101" spans="27:27">
      <c r="AA969101" s="613"/>
    </row>
    <row r="969246" spans="27:27">
      <c r="AA969246" s="613"/>
    </row>
    <row r="969247" spans="27:27">
      <c r="AA969247" s="613"/>
    </row>
    <row r="969392" spans="27:27">
      <c r="AA969392" s="613"/>
    </row>
    <row r="969393" spans="27:27">
      <c r="AA969393" s="613"/>
    </row>
    <row r="969538" spans="27:27">
      <c r="AA969538" s="613"/>
    </row>
    <row r="969539" spans="27:27">
      <c r="AA969539" s="613"/>
    </row>
    <row r="969684" spans="27:27">
      <c r="AA969684" s="613"/>
    </row>
    <row r="969685" spans="27:27">
      <c r="AA969685" s="613"/>
    </row>
    <row r="969830" spans="27:27">
      <c r="AA969830" s="613"/>
    </row>
    <row r="969831" spans="27:27">
      <c r="AA969831" s="613"/>
    </row>
    <row r="969976" spans="27:27">
      <c r="AA969976" s="613"/>
    </row>
    <row r="969977" spans="27:27">
      <c r="AA969977" s="613"/>
    </row>
    <row r="970122" spans="27:27">
      <c r="AA970122" s="613"/>
    </row>
    <row r="970123" spans="27:27">
      <c r="AA970123" s="613"/>
    </row>
    <row r="970268" spans="27:27">
      <c r="AA970268" s="613"/>
    </row>
    <row r="970269" spans="27:27">
      <c r="AA970269" s="613"/>
    </row>
    <row r="970414" spans="27:27">
      <c r="AA970414" s="613"/>
    </row>
    <row r="970415" spans="27:27">
      <c r="AA970415" s="613"/>
    </row>
    <row r="970560" spans="27:27">
      <c r="AA970560" s="613"/>
    </row>
    <row r="970561" spans="27:27">
      <c r="AA970561" s="613"/>
    </row>
    <row r="970706" spans="27:27">
      <c r="AA970706" s="613"/>
    </row>
    <row r="970707" spans="27:27">
      <c r="AA970707" s="613"/>
    </row>
    <row r="970852" spans="27:27">
      <c r="AA970852" s="613"/>
    </row>
    <row r="970853" spans="27:27">
      <c r="AA970853" s="613"/>
    </row>
    <row r="970998" spans="27:27">
      <c r="AA970998" s="613"/>
    </row>
    <row r="970999" spans="27:27">
      <c r="AA970999" s="613"/>
    </row>
    <row r="971144" spans="27:27">
      <c r="AA971144" s="613"/>
    </row>
    <row r="971145" spans="27:27">
      <c r="AA971145" s="613"/>
    </row>
    <row r="971290" spans="27:27">
      <c r="AA971290" s="613"/>
    </row>
    <row r="971291" spans="27:27">
      <c r="AA971291" s="613"/>
    </row>
    <row r="971436" spans="27:27">
      <c r="AA971436" s="613"/>
    </row>
    <row r="971437" spans="27:27">
      <c r="AA971437" s="613"/>
    </row>
    <row r="971582" spans="27:27">
      <c r="AA971582" s="613"/>
    </row>
    <row r="971583" spans="27:27">
      <c r="AA971583" s="613"/>
    </row>
    <row r="971728" spans="27:27">
      <c r="AA971728" s="613"/>
    </row>
    <row r="971729" spans="27:27">
      <c r="AA971729" s="613"/>
    </row>
    <row r="971874" spans="27:27">
      <c r="AA971874" s="613"/>
    </row>
    <row r="971875" spans="27:27">
      <c r="AA971875" s="613"/>
    </row>
    <row r="972020" spans="27:27">
      <c r="AA972020" s="613"/>
    </row>
    <row r="972021" spans="27:27">
      <c r="AA972021" s="613"/>
    </row>
    <row r="972166" spans="27:27">
      <c r="AA972166" s="613"/>
    </row>
    <row r="972167" spans="27:27">
      <c r="AA972167" s="613"/>
    </row>
    <row r="972312" spans="27:27">
      <c r="AA972312" s="613"/>
    </row>
    <row r="972313" spans="27:27">
      <c r="AA972313" s="613"/>
    </row>
    <row r="972458" spans="27:27">
      <c r="AA972458" s="613"/>
    </row>
    <row r="972459" spans="27:27">
      <c r="AA972459" s="613"/>
    </row>
    <row r="972604" spans="27:27">
      <c r="AA972604" s="613"/>
    </row>
    <row r="972605" spans="27:27">
      <c r="AA972605" s="613"/>
    </row>
    <row r="972750" spans="27:27">
      <c r="AA972750" s="613"/>
    </row>
    <row r="972751" spans="27:27">
      <c r="AA972751" s="613"/>
    </row>
    <row r="972896" spans="27:27">
      <c r="AA972896" s="613"/>
    </row>
    <row r="972897" spans="27:27">
      <c r="AA972897" s="613"/>
    </row>
    <row r="973042" spans="27:27">
      <c r="AA973042" s="613"/>
    </row>
    <row r="973043" spans="27:27">
      <c r="AA973043" s="613"/>
    </row>
    <row r="973188" spans="27:27">
      <c r="AA973188" s="613"/>
    </row>
    <row r="973189" spans="27:27">
      <c r="AA973189" s="613"/>
    </row>
    <row r="973334" spans="27:27">
      <c r="AA973334" s="613"/>
    </row>
    <row r="973335" spans="27:27">
      <c r="AA973335" s="613"/>
    </row>
    <row r="973480" spans="27:27">
      <c r="AA973480" s="613"/>
    </row>
    <row r="973481" spans="27:27">
      <c r="AA973481" s="613"/>
    </row>
    <row r="973626" spans="27:27">
      <c r="AA973626" s="613"/>
    </row>
    <row r="973627" spans="27:27">
      <c r="AA973627" s="613"/>
    </row>
    <row r="973772" spans="27:27">
      <c r="AA973772" s="613"/>
    </row>
    <row r="973773" spans="27:27">
      <c r="AA973773" s="613"/>
    </row>
    <row r="973918" spans="27:27">
      <c r="AA973918" s="613"/>
    </row>
    <row r="973919" spans="27:27">
      <c r="AA973919" s="613"/>
    </row>
    <row r="974064" spans="27:27">
      <c r="AA974064" s="613"/>
    </row>
    <row r="974065" spans="27:27">
      <c r="AA974065" s="613"/>
    </row>
    <row r="974210" spans="27:27">
      <c r="AA974210" s="613"/>
    </row>
    <row r="974211" spans="27:27">
      <c r="AA974211" s="613"/>
    </row>
    <row r="974356" spans="27:27">
      <c r="AA974356" s="613"/>
    </row>
    <row r="974357" spans="27:27">
      <c r="AA974357" s="613"/>
    </row>
    <row r="974502" spans="27:27">
      <c r="AA974502" s="613"/>
    </row>
    <row r="974503" spans="27:27">
      <c r="AA974503" s="613"/>
    </row>
    <row r="974648" spans="27:27">
      <c r="AA974648" s="613"/>
    </row>
    <row r="974649" spans="27:27">
      <c r="AA974649" s="613"/>
    </row>
    <row r="974794" spans="27:27">
      <c r="AA974794" s="613"/>
    </row>
    <row r="974795" spans="27:27">
      <c r="AA974795" s="613"/>
    </row>
    <row r="974940" spans="27:27">
      <c r="AA974940" s="613"/>
    </row>
    <row r="974941" spans="27:27">
      <c r="AA974941" s="613"/>
    </row>
    <row r="975086" spans="27:27">
      <c r="AA975086" s="613"/>
    </row>
    <row r="975087" spans="27:27">
      <c r="AA975087" s="613"/>
    </row>
    <row r="975232" spans="27:27">
      <c r="AA975232" s="613"/>
    </row>
    <row r="975233" spans="27:27">
      <c r="AA975233" s="613"/>
    </row>
    <row r="975378" spans="27:27">
      <c r="AA975378" s="613"/>
    </row>
    <row r="975379" spans="27:27">
      <c r="AA975379" s="613"/>
    </row>
    <row r="975524" spans="27:27">
      <c r="AA975524" s="613"/>
    </row>
    <row r="975525" spans="27:27">
      <c r="AA975525" s="613"/>
    </row>
    <row r="975670" spans="27:27">
      <c r="AA975670" s="613"/>
    </row>
    <row r="975671" spans="27:27">
      <c r="AA975671" s="613"/>
    </row>
    <row r="975816" spans="27:27">
      <c r="AA975816" s="613"/>
    </row>
    <row r="975817" spans="27:27">
      <c r="AA975817" s="613"/>
    </row>
    <row r="975962" spans="27:27">
      <c r="AA975962" s="613"/>
    </row>
    <row r="975963" spans="27:27">
      <c r="AA975963" s="613"/>
    </row>
    <row r="976108" spans="27:27">
      <c r="AA976108" s="613"/>
    </row>
    <row r="976109" spans="27:27">
      <c r="AA976109" s="613"/>
    </row>
    <row r="976254" spans="27:27">
      <c r="AA976254" s="613"/>
    </row>
    <row r="976255" spans="27:27">
      <c r="AA976255" s="613"/>
    </row>
    <row r="976400" spans="27:27">
      <c r="AA976400" s="613"/>
    </row>
    <row r="976401" spans="27:27">
      <c r="AA976401" s="613"/>
    </row>
    <row r="976546" spans="27:27">
      <c r="AA976546" s="613"/>
    </row>
    <row r="976547" spans="27:27">
      <c r="AA976547" s="613"/>
    </row>
    <row r="976692" spans="27:27">
      <c r="AA976692" s="613"/>
    </row>
    <row r="976693" spans="27:27">
      <c r="AA976693" s="613"/>
    </row>
    <row r="976838" spans="27:27">
      <c r="AA976838" s="613"/>
    </row>
    <row r="976839" spans="27:27">
      <c r="AA976839" s="613"/>
    </row>
    <row r="976984" spans="27:27">
      <c r="AA976984" s="613"/>
    </row>
    <row r="976985" spans="27:27">
      <c r="AA976985" s="613"/>
    </row>
    <row r="977130" spans="27:27">
      <c r="AA977130" s="613"/>
    </row>
    <row r="977131" spans="27:27">
      <c r="AA977131" s="613"/>
    </row>
    <row r="977276" spans="27:27">
      <c r="AA977276" s="613"/>
    </row>
    <row r="977277" spans="27:27">
      <c r="AA977277" s="613"/>
    </row>
    <row r="977422" spans="27:27">
      <c r="AA977422" s="613"/>
    </row>
    <row r="977423" spans="27:27">
      <c r="AA977423" s="613"/>
    </row>
    <row r="977568" spans="27:27">
      <c r="AA977568" s="613"/>
    </row>
    <row r="977569" spans="27:27">
      <c r="AA977569" s="613"/>
    </row>
    <row r="977714" spans="27:27">
      <c r="AA977714" s="613"/>
    </row>
    <row r="977715" spans="27:27">
      <c r="AA977715" s="613"/>
    </row>
    <row r="977860" spans="27:27">
      <c r="AA977860" s="613"/>
    </row>
    <row r="977861" spans="27:27">
      <c r="AA977861" s="613"/>
    </row>
    <row r="978006" spans="27:27">
      <c r="AA978006" s="613"/>
    </row>
    <row r="978007" spans="27:27">
      <c r="AA978007" s="613"/>
    </row>
    <row r="978152" spans="27:27">
      <c r="AA978152" s="613"/>
    </row>
    <row r="978153" spans="27:27">
      <c r="AA978153" s="613"/>
    </row>
    <row r="978298" spans="27:27">
      <c r="AA978298" s="613"/>
    </row>
    <row r="978299" spans="27:27">
      <c r="AA978299" s="613"/>
    </row>
    <row r="978444" spans="27:27">
      <c r="AA978444" s="613"/>
    </row>
    <row r="978445" spans="27:27">
      <c r="AA978445" s="613"/>
    </row>
    <row r="978590" spans="27:27">
      <c r="AA978590" s="613"/>
    </row>
    <row r="978591" spans="27:27">
      <c r="AA978591" s="613"/>
    </row>
    <row r="978736" spans="27:27">
      <c r="AA978736" s="613"/>
    </row>
    <row r="978737" spans="27:27">
      <c r="AA978737" s="613"/>
    </row>
    <row r="978882" spans="27:27">
      <c r="AA978882" s="613"/>
    </row>
    <row r="978883" spans="27:27">
      <c r="AA978883" s="613"/>
    </row>
    <row r="979028" spans="27:27">
      <c r="AA979028" s="613"/>
    </row>
    <row r="979029" spans="27:27">
      <c r="AA979029" s="613"/>
    </row>
    <row r="979174" spans="27:27">
      <c r="AA979174" s="613"/>
    </row>
    <row r="979175" spans="27:27">
      <c r="AA979175" s="613"/>
    </row>
    <row r="979320" spans="27:27">
      <c r="AA979320" s="613"/>
    </row>
    <row r="979321" spans="27:27">
      <c r="AA979321" s="613"/>
    </row>
    <row r="979466" spans="27:27">
      <c r="AA979466" s="613"/>
    </row>
    <row r="979467" spans="27:27">
      <c r="AA979467" s="613"/>
    </row>
    <row r="979612" spans="27:27">
      <c r="AA979612" s="613"/>
    </row>
    <row r="979613" spans="27:27">
      <c r="AA979613" s="613"/>
    </row>
    <row r="979758" spans="27:27">
      <c r="AA979758" s="613"/>
    </row>
    <row r="979759" spans="27:27">
      <c r="AA979759" s="613"/>
    </row>
    <row r="979904" spans="27:27">
      <c r="AA979904" s="613"/>
    </row>
    <row r="979905" spans="27:27">
      <c r="AA979905" s="613"/>
    </row>
    <row r="980050" spans="27:27">
      <c r="AA980050" s="613"/>
    </row>
    <row r="980051" spans="27:27">
      <c r="AA980051" s="613"/>
    </row>
    <row r="980196" spans="27:27">
      <c r="AA980196" s="613"/>
    </row>
    <row r="980197" spans="27:27">
      <c r="AA980197" s="613"/>
    </row>
    <row r="980342" spans="27:27">
      <c r="AA980342" s="613"/>
    </row>
    <row r="980343" spans="27:27">
      <c r="AA980343" s="613"/>
    </row>
    <row r="980488" spans="27:27">
      <c r="AA980488" s="613"/>
    </row>
    <row r="980489" spans="27:27">
      <c r="AA980489" s="613"/>
    </row>
    <row r="980634" spans="27:27">
      <c r="AA980634" s="613"/>
    </row>
    <row r="980635" spans="27:27">
      <c r="AA980635" s="613"/>
    </row>
    <row r="980780" spans="27:27">
      <c r="AA980780" s="613"/>
    </row>
    <row r="980781" spans="27:27">
      <c r="AA980781" s="613"/>
    </row>
    <row r="980926" spans="27:27">
      <c r="AA980926" s="613"/>
    </row>
    <row r="980927" spans="27:27">
      <c r="AA980927" s="613"/>
    </row>
    <row r="981072" spans="27:27">
      <c r="AA981072" s="613"/>
    </row>
    <row r="981073" spans="27:27">
      <c r="AA981073" s="613"/>
    </row>
    <row r="981218" spans="27:27">
      <c r="AA981218" s="613"/>
    </row>
    <row r="981219" spans="27:27">
      <c r="AA981219" s="613"/>
    </row>
    <row r="981364" spans="27:27">
      <c r="AA981364" s="613"/>
    </row>
    <row r="981365" spans="27:27">
      <c r="AA981365" s="613"/>
    </row>
    <row r="981510" spans="27:27">
      <c r="AA981510" s="613"/>
    </row>
    <row r="981511" spans="27:27">
      <c r="AA981511" s="613"/>
    </row>
    <row r="981656" spans="27:27">
      <c r="AA981656" s="613"/>
    </row>
    <row r="981657" spans="27:27">
      <c r="AA981657" s="613"/>
    </row>
    <row r="981802" spans="27:27">
      <c r="AA981802" s="613"/>
    </row>
    <row r="981803" spans="27:27">
      <c r="AA981803" s="613"/>
    </row>
    <row r="981948" spans="27:27">
      <c r="AA981948" s="613"/>
    </row>
    <row r="981949" spans="27:27">
      <c r="AA981949" s="613"/>
    </row>
    <row r="982094" spans="27:27">
      <c r="AA982094" s="613"/>
    </row>
    <row r="982095" spans="27:27">
      <c r="AA982095" s="613"/>
    </row>
    <row r="982240" spans="27:27">
      <c r="AA982240" s="613"/>
    </row>
    <row r="982241" spans="27:27">
      <c r="AA982241" s="613"/>
    </row>
    <row r="982386" spans="27:27">
      <c r="AA982386" s="613"/>
    </row>
    <row r="982387" spans="27:27">
      <c r="AA982387" s="613"/>
    </row>
    <row r="982532" spans="27:27">
      <c r="AA982532" s="613"/>
    </row>
    <row r="982533" spans="27:27">
      <c r="AA982533" s="613"/>
    </row>
    <row r="982678" spans="27:27">
      <c r="AA982678" s="613"/>
    </row>
    <row r="982679" spans="27:27">
      <c r="AA982679" s="613"/>
    </row>
    <row r="982824" spans="27:27">
      <c r="AA982824" s="613"/>
    </row>
    <row r="982825" spans="27:27">
      <c r="AA982825" s="613"/>
    </row>
    <row r="982970" spans="27:27">
      <c r="AA982970" s="613"/>
    </row>
    <row r="982971" spans="27:27">
      <c r="AA982971" s="613"/>
    </row>
    <row r="983116" spans="27:27">
      <c r="AA983116" s="613"/>
    </row>
    <row r="983117" spans="27:27">
      <c r="AA983117" s="613"/>
    </row>
    <row r="983262" spans="27:27">
      <c r="AA983262" s="613"/>
    </row>
    <row r="983263" spans="27:27">
      <c r="AA983263" s="613"/>
    </row>
    <row r="983408" spans="27:27">
      <c r="AA983408" s="613"/>
    </row>
    <row r="983409" spans="27:27">
      <c r="AA983409" s="613"/>
    </row>
    <row r="983554" spans="27:27">
      <c r="AA983554" s="613"/>
    </row>
    <row r="983555" spans="27:27">
      <c r="AA983555" s="613"/>
    </row>
    <row r="983700" spans="27:27">
      <c r="AA983700" s="613"/>
    </row>
    <row r="983701" spans="27:27">
      <c r="AA983701" s="613"/>
    </row>
    <row r="983846" spans="27:27">
      <c r="AA983846" s="613"/>
    </row>
    <row r="983847" spans="27:27">
      <c r="AA983847" s="613"/>
    </row>
    <row r="983992" spans="27:27">
      <c r="AA983992" s="613"/>
    </row>
    <row r="983993" spans="27:27">
      <c r="AA983993" s="613"/>
    </row>
    <row r="984138" spans="27:27">
      <c r="AA984138" s="613"/>
    </row>
    <row r="984139" spans="27:27">
      <c r="AA984139" s="613"/>
    </row>
    <row r="984284" spans="27:27">
      <c r="AA984284" s="613"/>
    </row>
    <row r="984285" spans="27:27">
      <c r="AA984285" s="613"/>
    </row>
    <row r="984430" spans="27:27">
      <c r="AA984430" s="613"/>
    </row>
    <row r="984431" spans="27:27">
      <c r="AA984431" s="613"/>
    </row>
    <row r="984576" spans="27:27">
      <c r="AA984576" s="613"/>
    </row>
    <row r="984577" spans="27:27">
      <c r="AA984577" s="613"/>
    </row>
    <row r="984722" spans="27:27">
      <c r="AA984722" s="613"/>
    </row>
    <row r="984723" spans="27:27">
      <c r="AA984723" s="613"/>
    </row>
    <row r="984868" spans="27:27">
      <c r="AA984868" s="613"/>
    </row>
    <row r="984869" spans="27:27">
      <c r="AA984869" s="613"/>
    </row>
    <row r="985014" spans="27:27">
      <c r="AA985014" s="613"/>
    </row>
    <row r="985015" spans="27:27">
      <c r="AA985015" s="613"/>
    </row>
    <row r="985160" spans="27:27">
      <c r="AA985160" s="613"/>
    </row>
    <row r="985161" spans="27:27">
      <c r="AA985161" s="613"/>
    </row>
    <row r="985306" spans="27:27">
      <c r="AA985306" s="613"/>
    </row>
    <row r="985307" spans="27:27">
      <c r="AA985307" s="613"/>
    </row>
    <row r="985452" spans="27:27">
      <c r="AA985452" s="613"/>
    </row>
    <row r="985453" spans="27:27">
      <c r="AA985453" s="613"/>
    </row>
    <row r="985598" spans="27:27">
      <c r="AA985598" s="613"/>
    </row>
    <row r="985599" spans="27:27">
      <c r="AA985599" s="613"/>
    </row>
    <row r="985744" spans="27:27">
      <c r="AA985744" s="613"/>
    </row>
    <row r="985745" spans="27:27">
      <c r="AA985745" s="613"/>
    </row>
    <row r="985890" spans="27:27">
      <c r="AA985890" s="613"/>
    </row>
    <row r="985891" spans="27:27">
      <c r="AA985891" s="613"/>
    </row>
    <row r="986036" spans="27:27">
      <c r="AA986036" s="613"/>
    </row>
    <row r="986037" spans="27:27">
      <c r="AA986037" s="613"/>
    </row>
    <row r="986182" spans="27:27">
      <c r="AA986182" s="613"/>
    </row>
    <row r="986183" spans="27:27">
      <c r="AA986183" s="613"/>
    </row>
    <row r="986328" spans="27:27">
      <c r="AA986328" s="613"/>
    </row>
    <row r="986329" spans="27:27">
      <c r="AA986329" s="613"/>
    </row>
    <row r="986474" spans="27:27">
      <c r="AA986474" s="613"/>
    </row>
    <row r="986475" spans="27:27">
      <c r="AA986475" s="613"/>
    </row>
    <row r="986620" spans="27:27">
      <c r="AA986620" s="613"/>
    </row>
    <row r="986621" spans="27:27">
      <c r="AA986621" s="613"/>
    </row>
    <row r="986766" spans="27:27">
      <c r="AA986766" s="613"/>
    </row>
    <row r="986767" spans="27:27">
      <c r="AA986767" s="613"/>
    </row>
    <row r="986912" spans="27:27">
      <c r="AA986912" s="613"/>
    </row>
    <row r="986913" spans="27:27">
      <c r="AA986913" s="613"/>
    </row>
    <row r="987058" spans="27:27">
      <c r="AA987058" s="613"/>
    </row>
    <row r="987059" spans="27:27">
      <c r="AA987059" s="613"/>
    </row>
    <row r="987204" spans="27:27">
      <c r="AA987204" s="613"/>
    </row>
    <row r="987205" spans="27:27">
      <c r="AA987205" s="613"/>
    </row>
    <row r="987350" spans="27:27">
      <c r="AA987350" s="613"/>
    </row>
    <row r="987351" spans="27:27">
      <c r="AA987351" s="613"/>
    </row>
    <row r="987496" spans="27:27">
      <c r="AA987496" s="613"/>
    </row>
    <row r="987497" spans="27:27">
      <c r="AA987497" s="613"/>
    </row>
    <row r="987642" spans="27:27">
      <c r="AA987642" s="613"/>
    </row>
    <row r="987643" spans="27:27">
      <c r="AA987643" s="613"/>
    </row>
    <row r="987788" spans="27:27">
      <c r="AA987788" s="613"/>
    </row>
    <row r="987789" spans="27:27">
      <c r="AA987789" s="613"/>
    </row>
    <row r="987934" spans="27:27">
      <c r="AA987934" s="613"/>
    </row>
    <row r="987935" spans="27:27">
      <c r="AA987935" s="613"/>
    </row>
    <row r="988080" spans="27:27">
      <c r="AA988080" s="613"/>
    </row>
    <row r="988081" spans="27:27">
      <c r="AA988081" s="613"/>
    </row>
    <row r="988226" spans="27:27">
      <c r="AA988226" s="613"/>
    </row>
    <row r="988227" spans="27:27">
      <c r="AA988227" s="613"/>
    </row>
    <row r="988372" spans="27:27">
      <c r="AA988372" s="613"/>
    </row>
    <row r="988373" spans="27:27">
      <c r="AA988373" s="613"/>
    </row>
    <row r="988518" spans="27:27">
      <c r="AA988518" s="613"/>
    </row>
    <row r="988519" spans="27:27">
      <c r="AA988519" s="613"/>
    </row>
    <row r="988664" spans="27:27">
      <c r="AA988664" s="613"/>
    </row>
    <row r="988665" spans="27:27">
      <c r="AA988665" s="613"/>
    </row>
    <row r="988810" spans="27:27">
      <c r="AA988810" s="613"/>
    </row>
    <row r="988811" spans="27:27">
      <c r="AA988811" s="613"/>
    </row>
    <row r="988956" spans="27:27">
      <c r="AA988956" s="613"/>
    </row>
    <row r="988957" spans="27:27">
      <c r="AA988957" s="613"/>
    </row>
    <row r="989102" spans="27:27">
      <c r="AA989102" s="613"/>
    </row>
    <row r="989103" spans="27:27">
      <c r="AA989103" s="613"/>
    </row>
    <row r="989248" spans="27:27">
      <c r="AA989248" s="613"/>
    </row>
    <row r="989249" spans="27:27">
      <c r="AA989249" s="613"/>
    </row>
    <row r="989394" spans="27:27">
      <c r="AA989394" s="613"/>
    </row>
    <row r="989395" spans="27:27">
      <c r="AA989395" s="613"/>
    </row>
    <row r="989540" spans="27:27">
      <c r="AA989540" s="613"/>
    </row>
    <row r="989541" spans="27:27">
      <c r="AA989541" s="613"/>
    </row>
    <row r="989686" spans="27:27">
      <c r="AA989686" s="613"/>
    </row>
    <row r="989687" spans="27:27">
      <c r="AA989687" s="613"/>
    </row>
    <row r="989832" spans="27:27">
      <c r="AA989832" s="613"/>
    </row>
    <row r="989833" spans="27:27">
      <c r="AA989833" s="613"/>
    </row>
    <row r="989978" spans="27:27">
      <c r="AA989978" s="613"/>
    </row>
    <row r="989979" spans="27:27">
      <c r="AA989979" s="613"/>
    </row>
    <row r="990124" spans="27:27">
      <c r="AA990124" s="613"/>
    </row>
    <row r="990125" spans="27:27">
      <c r="AA990125" s="613"/>
    </row>
    <row r="990270" spans="27:27">
      <c r="AA990270" s="613"/>
    </row>
    <row r="990271" spans="27:27">
      <c r="AA990271" s="613"/>
    </row>
    <row r="990416" spans="27:27">
      <c r="AA990416" s="613"/>
    </row>
    <row r="990417" spans="27:27">
      <c r="AA990417" s="613"/>
    </row>
    <row r="990562" spans="27:27">
      <c r="AA990562" s="613"/>
    </row>
    <row r="990563" spans="27:27">
      <c r="AA990563" s="613"/>
    </row>
    <row r="990708" spans="27:27">
      <c r="AA990708" s="613"/>
    </row>
    <row r="990709" spans="27:27">
      <c r="AA990709" s="613"/>
    </row>
    <row r="990854" spans="27:27">
      <c r="AA990854" s="613"/>
    </row>
    <row r="990855" spans="27:27">
      <c r="AA990855" s="613"/>
    </row>
    <row r="991000" spans="27:27">
      <c r="AA991000" s="613"/>
    </row>
    <row r="991001" spans="27:27">
      <c r="AA991001" s="613"/>
    </row>
    <row r="991146" spans="27:27">
      <c r="AA991146" s="613"/>
    </row>
    <row r="991147" spans="27:27">
      <c r="AA991147" s="613"/>
    </row>
    <row r="991292" spans="27:27">
      <c r="AA991292" s="613"/>
    </row>
    <row r="991293" spans="27:27">
      <c r="AA991293" s="613"/>
    </row>
    <row r="991438" spans="27:27">
      <c r="AA991438" s="613"/>
    </row>
    <row r="991439" spans="27:27">
      <c r="AA991439" s="613"/>
    </row>
    <row r="991584" spans="27:27">
      <c r="AA991584" s="613"/>
    </row>
    <row r="991585" spans="27:27">
      <c r="AA991585" s="613"/>
    </row>
    <row r="991730" spans="27:27">
      <c r="AA991730" s="613"/>
    </row>
    <row r="991731" spans="27:27">
      <c r="AA991731" s="613"/>
    </row>
    <row r="991876" spans="27:27">
      <c r="AA991876" s="613"/>
    </row>
    <row r="991877" spans="27:27">
      <c r="AA991877" s="613"/>
    </row>
    <row r="992022" spans="27:27">
      <c r="AA992022" s="613"/>
    </row>
    <row r="992023" spans="27:27">
      <c r="AA992023" s="613"/>
    </row>
    <row r="992168" spans="27:27">
      <c r="AA992168" s="613"/>
    </row>
    <row r="992169" spans="27:27">
      <c r="AA992169" s="613"/>
    </row>
    <row r="992314" spans="27:27">
      <c r="AA992314" s="613"/>
    </row>
    <row r="992315" spans="27:27">
      <c r="AA992315" s="613"/>
    </row>
    <row r="992460" spans="27:27">
      <c r="AA992460" s="613"/>
    </row>
    <row r="992461" spans="27:27">
      <c r="AA992461" s="613"/>
    </row>
    <row r="992606" spans="27:27">
      <c r="AA992606" s="613"/>
    </row>
    <row r="992607" spans="27:27">
      <c r="AA992607" s="613"/>
    </row>
    <row r="992752" spans="27:27">
      <c r="AA992752" s="613"/>
    </row>
    <row r="992753" spans="27:27">
      <c r="AA992753" s="613"/>
    </row>
    <row r="992898" spans="27:27">
      <c r="AA992898" s="613"/>
    </row>
    <row r="992899" spans="27:27">
      <c r="AA992899" s="613"/>
    </row>
    <row r="993044" spans="27:27">
      <c r="AA993044" s="613"/>
    </row>
    <row r="993045" spans="27:27">
      <c r="AA993045" s="613"/>
    </row>
    <row r="993190" spans="27:27">
      <c r="AA993190" s="613"/>
    </row>
    <row r="993191" spans="27:27">
      <c r="AA993191" s="613"/>
    </row>
    <row r="993336" spans="27:27">
      <c r="AA993336" s="613"/>
    </row>
    <row r="993337" spans="27:27">
      <c r="AA993337" s="613"/>
    </row>
    <row r="993482" spans="27:27">
      <c r="AA993482" s="613"/>
    </row>
    <row r="993483" spans="27:27">
      <c r="AA993483" s="613"/>
    </row>
    <row r="993628" spans="27:27">
      <c r="AA993628" s="613"/>
    </row>
    <row r="993629" spans="27:27">
      <c r="AA993629" s="613"/>
    </row>
    <row r="993774" spans="27:27">
      <c r="AA993774" s="613"/>
    </row>
    <row r="993775" spans="27:27">
      <c r="AA993775" s="613"/>
    </row>
    <row r="993920" spans="27:27">
      <c r="AA993920" s="613"/>
    </row>
    <row r="993921" spans="27:27">
      <c r="AA993921" s="613"/>
    </row>
    <row r="994066" spans="27:27">
      <c r="AA994066" s="613"/>
    </row>
    <row r="994067" spans="27:27">
      <c r="AA994067" s="613"/>
    </row>
    <row r="994212" spans="27:27">
      <c r="AA994212" s="613"/>
    </row>
    <row r="994213" spans="27:27">
      <c r="AA994213" s="613"/>
    </row>
    <row r="994358" spans="27:27">
      <c r="AA994358" s="613"/>
    </row>
    <row r="994359" spans="27:27">
      <c r="AA994359" s="613"/>
    </row>
    <row r="994504" spans="27:27">
      <c r="AA994504" s="613"/>
    </row>
    <row r="994505" spans="27:27">
      <c r="AA994505" s="613"/>
    </row>
    <row r="994650" spans="27:27">
      <c r="AA994650" s="613"/>
    </row>
    <row r="994651" spans="27:27">
      <c r="AA994651" s="613"/>
    </row>
    <row r="994796" spans="27:27">
      <c r="AA994796" s="613"/>
    </row>
    <row r="994797" spans="27:27">
      <c r="AA994797" s="613"/>
    </row>
    <row r="994942" spans="27:27">
      <c r="AA994942" s="613"/>
    </row>
    <row r="994943" spans="27:27">
      <c r="AA994943" s="613"/>
    </row>
    <row r="995088" spans="27:27">
      <c r="AA995088" s="613"/>
    </row>
    <row r="995089" spans="27:27">
      <c r="AA995089" s="613"/>
    </row>
    <row r="995234" spans="27:27">
      <c r="AA995234" s="613"/>
    </row>
    <row r="995235" spans="27:27">
      <c r="AA995235" s="613"/>
    </row>
    <row r="995380" spans="27:27">
      <c r="AA995380" s="613"/>
    </row>
    <row r="995381" spans="27:27">
      <c r="AA995381" s="613"/>
    </row>
    <row r="995526" spans="27:27">
      <c r="AA995526" s="613"/>
    </row>
    <row r="995527" spans="27:27">
      <c r="AA995527" s="613"/>
    </row>
    <row r="995672" spans="27:27">
      <c r="AA995672" s="613"/>
    </row>
    <row r="995673" spans="27:27">
      <c r="AA995673" s="613"/>
    </row>
    <row r="995818" spans="27:27">
      <c r="AA995818" s="613"/>
    </row>
    <row r="995819" spans="27:27">
      <c r="AA995819" s="613"/>
    </row>
    <row r="995964" spans="27:27">
      <c r="AA995964" s="613"/>
    </row>
    <row r="995965" spans="27:27">
      <c r="AA995965" s="613"/>
    </row>
    <row r="996110" spans="27:27">
      <c r="AA996110" s="613"/>
    </row>
    <row r="996111" spans="27:27">
      <c r="AA996111" s="613"/>
    </row>
    <row r="996256" spans="27:27">
      <c r="AA996256" s="613"/>
    </row>
    <row r="996257" spans="27:27">
      <c r="AA996257" s="613"/>
    </row>
    <row r="996402" spans="27:27">
      <c r="AA996402" s="613"/>
    </row>
    <row r="996403" spans="27:27">
      <c r="AA996403" s="613"/>
    </row>
    <row r="996548" spans="27:27">
      <c r="AA996548" s="613"/>
    </row>
    <row r="996549" spans="27:27">
      <c r="AA996549" s="613"/>
    </row>
    <row r="996694" spans="27:27">
      <c r="AA996694" s="613"/>
    </row>
    <row r="996695" spans="27:27">
      <c r="AA996695" s="613"/>
    </row>
    <row r="996840" spans="27:27">
      <c r="AA996840" s="613"/>
    </row>
    <row r="996841" spans="27:27">
      <c r="AA996841" s="613"/>
    </row>
    <row r="996986" spans="27:27">
      <c r="AA996986" s="613"/>
    </row>
    <row r="996987" spans="27:27">
      <c r="AA996987" s="613"/>
    </row>
    <row r="997132" spans="27:27">
      <c r="AA997132" s="613"/>
    </row>
    <row r="997133" spans="27:27">
      <c r="AA997133" s="613"/>
    </row>
    <row r="997278" spans="27:27">
      <c r="AA997278" s="613"/>
    </row>
    <row r="997279" spans="27:27">
      <c r="AA997279" s="613"/>
    </row>
    <row r="997424" spans="27:27">
      <c r="AA997424" s="613"/>
    </row>
    <row r="997425" spans="27:27">
      <c r="AA997425" s="613"/>
    </row>
    <row r="997570" spans="27:27">
      <c r="AA997570" s="613"/>
    </row>
    <row r="997571" spans="27:27">
      <c r="AA997571" s="613"/>
    </row>
    <row r="997716" spans="27:27">
      <c r="AA997716" s="613"/>
    </row>
    <row r="997717" spans="27:27">
      <c r="AA997717" s="613"/>
    </row>
    <row r="997862" spans="27:27">
      <c r="AA997862" s="613"/>
    </row>
    <row r="997863" spans="27:27">
      <c r="AA997863" s="613"/>
    </row>
    <row r="998008" spans="27:27">
      <c r="AA998008" s="613"/>
    </row>
    <row r="998009" spans="27:27">
      <c r="AA998009" s="613"/>
    </row>
    <row r="998154" spans="27:27">
      <c r="AA998154" s="613"/>
    </row>
    <row r="998155" spans="27:27">
      <c r="AA998155" s="613"/>
    </row>
    <row r="998300" spans="27:27">
      <c r="AA998300" s="613"/>
    </row>
    <row r="998301" spans="27:27">
      <c r="AA998301" s="613"/>
    </row>
    <row r="998446" spans="27:27">
      <c r="AA998446" s="613"/>
    </row>
    <row r="998447" spans="27:27">
      <c r="AA998447" s="613"/>
    </row>
    <row r="998592" spans="27:27">
      <c r="AA998592" s="613"/>
    </row>
    <row r="998593" spans="27:27">
      <c r="AA998593" s="613"/>
    </row>
    <row r="998738" spans="27:27">
      <c r="AA998738" s="613"/>
    </row>
    <row r="998739" spans="27:27">
      <c r="AA998739" s="613"/>
    </row>
    <row r="998884" spans="27:27">
      <c r="AA998884" s="613"/>
    </row>
    <row r="998885" spans="27:27">
      <c r="AA998885" s="613"/>
    </row>
    <row r="999030" spans="27:27">
      <c r="AA999030" s="613"/>
    </row>
    <row r="999031" spans="27:27">
      <c r="AA999031" s="613"/>
    </row>
    <row r="999176" spans="27:27">
      <c r="AA999176" s="613"/>
    </row>
    <row r="999177" spans="27:27">
      <c r="AA999177" s="613"/>
    </row>
    <row r="999322" spans="27:27">
      <c r="AA999322" s="613"/>
    </row>
    <row r="999323" spans="27:27">
      <c r="AA999323" s="613"/>
    </row>
    <row r="999468" spans="27:27">
      <c r="AA999468" s="613"/>
    </row>
    <row r="999469" spans="27:27">
      <c r="AA999469" s="613"/>
    </row>
    <row r="999614" spans="27:27">
      <c r="AA999614" s="613"/>
    </row>
    <row r="999615" spans="27:27">
      <c r="AA999615" s="613"/>
    </row>
    <row r="999760" spans="27:27">
      <c r="AA999760" s="613"/>
    </row>
    <row r="999761" spans="27:27">
      <c r="AA999761" s="613"/>
    </row>
    <row r="999906" spans="27:27">
      <c r="AA999906" s="613"/>
    </row>
    <row r="999907" spans="27:27">
      <c r="AA999907" s="613"/>
    </row>
    <row r="1000052" spans="27:27">
      <c r="AA1000052" s="613"/>
    </row>
    <row r="1000053" spans="27:27">
      <c r="AA1000053" s="613"/>
    </row>
    <row r="1000198" spans="27:27">
      <c r="AA1000198" s="613"/>
    </row>
    <row r="1000199" spans="27:27">
      <c r="AA1000199" s="613"/>
    </row>
    <row r="1000344" spans="27:27">
      <c r="AA1000344" s="613"/>
    </row>
    <row r="1000345" spans="27:27">
      <c r="AA1000345" s="613"/>
    </row>
    <row r="1000490" spans="27:27">
      <c r="AA1000490" s="613"/>
    </row>
    <row r="1000491" spans="27:27">
      <c r="AA1000491" s="613"/>
    </row>
    <row r="1000636" spans="27:27">
      <c r="AA1000636" s="613"/>
    </row>
    <row r="1000637" spans="27:27">
      <c r="AA1000637" s="613"/>
    </row>
    <row r="1000782" spans="27:27">
      <c r="AA1000782" s="613"/>
    </row>
    <row r="1000783" spans="27:27">
      <c r="AA1000783" s="613"/>
    </row>
    <row r="1000928" spans="27:27">
      <c r="AA1000928" s="613"/>
    </row>
    <row r="1000929" spans="27:27">
      <c r="AA1000929" s="613"/>
    </row>
    <row r="1001074" spans="27:27">
      <c r="AA1001074" s="613"/>
    </row>
    <row r="1001075" spans="27:27">
      <c r="AA1001075" s="613"/>
    </row>
    <row r="1001220" spans="27:27">
      <c r="AA1001220" s="613"/>
    </row>
    <row r="1001221" spans="27:27">
      <c r="AA1001221" s="613"/>
    </row>
    <row r="1001366" spans="27:27">
      <c r="AA1001366" s="613"/>
    </row>
    <row r="1001367" spans="27:27">
      <c r="AA1001367" s="613"/>
    </row>
    <row r="1001512" spans="27:27">
      <c r="AA1001512" s="613"/>
    </row>
    <row r="1001513" spans="27:27">
      <c r="AA1001513" s="613"/>
    </row>
    <row r="1001658" spans="27:27">
      <c r="AA1001658" s="613"/>
    </row>
    <row r="1001659" spans="27:27">
      <c r="AA1001659" s="613"/>
    </row>
    <row r="1001804" spans="27:27">
      <c r="AA1001804" s="613"/>
    </row>
    <row r="1001805" spans="27:27">
      <c r="AA1001805" s="613"/>
    </row>
    <row r="1001950" spans="27:27">
      <c r="AA1001950" s="613"/>
    </row>
    <row r="1001951" spans="27:27">
      <c r="AA1001951" s="613"/>
    </row>
    <row r="1002096" spans="27:27">
      <c r="AA1002096" s="613"/>
    </row>
    <row r="1002097" spans="27:27">
      <c r="AA1002097" s="613"/>
    </row>
    <row r="1002242" spans="27:27">
      <c r="AA1002242" s="613"/>
    </row>
    <row r="1002243" spans="27:27">
      <c r="AA1002243" s="613"/>
    </row>
    <row r="1002388" spans="27:27">
      <c r="AA1002388" s="613"/>
    </row>
    <row r="1002389" spans="27:27">
      <c r="AA1002389" s="613"/>
    </row>
    <row r="1002534" spans="27:27">
      <c r="AA1002534" s="613"/>
    </row>
    <row r="1002535" spans="27:27">
      <c r="AA1002535" s="613"/>
    </row>
    <row r="1002680" spans="27:27">
      <c r="AA1002680" s="613"/>
    </row>
    <row r="1002681" spans="27:27">
      <c r="AA1002681" s="613"/>
    </row>
    <row r="1002826" spans="27:27">
      <c r="AA1002826" s="613"/>
    </row>
    <row r="1002827" spans="27:27">
      <c r="AA1002827" s="613"/>
    </row>
    <row r="1002972" spans="27:27">
      <c r="AA1002972" s="613"/>
    </row>
    <row r="1002973" spans="27:27">
      <c r="AA1002973" s="613"/>
    </row>
    <row r="1003118" spans="27:27">
      <c r="AA1003118" s="613"/>
    </row>
    <row r="1003119" spans="27:27">
      <c r="AA1003119" s="613"/>
    </row>
    <row r="1003264" spans="27:27">
      <c r="AA1003264" s="613"/>
    </row>
    <row r="1003265" spans="27:27">
      <c r="AA1003265" s="613"/>
    </row>
    <row r="1003410" spans="27:27">
      <c r="AA1003410" s="613"/>
    </row>
    <row r="1003411" spans="27:27">
      <c r="AA1003411" s="613"/>
    </row>
    <row r="1003556" spans="27:27">
      <c r="AA1003556" s="613"/>
    </row>
    <row r="1003557" spans="27:27">
      <c r="AA1003557" s="613"/>
    </row>
    <row r="1003702" spans="27:27">
      <c r="AA1003702" s="613"/>
    </row>
    <row r="1003703" spans="27:27">
      <c r="AA1003703" s="613"/>
    </row>
    <row r="1003848" spans="27:27">
      <c r="AA1003848" s="613"/>
    </row>
    <row r="1003849" spans="27:27">
      <c r="AA1003849" s="613"/>
    </row>
    <row r="1003994" spans="27:27">
      <c r="AA1003994" s="613"/>
    </row>
    <row r="1003995" spans="27:27">
      <c r="AA1003995" s="613"/>
    </row>
    <row r="1004140" spans="27:27">
      <c r="AA1004140" s="613"/>
    </row>
    <row r="1004141" spans="27:27">
      <c r="AA1004141" s="613"/>
    </row>
    <row r="1004286" spans="27:27">
      <c r="AA1004286" s="613"/>
    </row>
    <row r="1004287" spans="27:27">
      <c r="AA1004287" s="613"/>
    </row>
    <row r="1004432" spans="27:27">
      <c r="AA1004432" s="613"/>
    </row>
    <row r="1004433" spans="27:27">
      <c r="AA1004433" s="613"/>
    </row>
    <row r="1004578" spans="27:27">
      <c r="AA1004578" s="613"/>
    </row>
    <row r="1004579" spans="27:27">
      <c r="AA1004579" s="613"/>
    </row>
    <row r="1004724" spans="27:27">
      <c r="AA1004724" s="613"/>
    </row>
    <row r="1004725" spans="27:27">
      <c r="AA1004725" s="613"/>
    </row>
    <row r="1004870" spans="27:27">
      <c r="AA1004870" s="613"/>
    </row>
    <row r="1004871" spans="27:27">
      <c r="AA1004871" s="613"/>
    </row>
    <row r="1005016" spans="27:27">
      <c r="AA1005016" s="613"/>
    </row>
    <row r="1005017" spans="27:27">
      <c r="AA1005017" s="613"/>
    </row>
    <row r="1005162" spans="27:27">
      <c r="AA1005162" s="613"/>
    </row>
    <row r="1005163" spans="27:27">
      <c r="AA1005163" s="613"/>
    </row>
    <row r="1005308" spans="27:27">
      <c r="AA1005308" s="613"/>
    </row>
    <row r="1005309" spans="27:27">
      <c r="AA1005309" s="613"/>
    </row>
    <row r="1005454" spans="27:27">
      <c r="AA1005454" s="613"/>
    </row>
    <row r="1005455" spans="27:27">
      <c r="AA1005455" s="613"/>
    </row>
    <row r="1005600" spans="27:27">
      <c r="AA1005600" s="613"/>
    </row>
    <row r="1005601" spans="27:27">
      <c r="AA1005601" s="613"/>
    </row>
    <row r="1005746" spans="27:27">
      <c r="AA1005746" s="613"/>
    </row>
    <row r="1005747" spans="27:27">
      <c r="AA1005747" s="613"/>
    </row>
    <row r="1005892" spans="27:27">
      <c r="AA1005892" s="613"/>
    </row>
    <row r="1005893" spans="27:27">
      <c r="AA1005893" s="613"/>
    </row>
    <row r="1006038" spans="27:27">
      <c r="AA1006038" s="613"/>
    </row>
    <row r="1006039" spans="27:27">
      <c r="AA1006039" s="613"/>
    </row>
    <row r="1006184" spans="27:27">
      <c r="AA1006184" s="613"/>
    </row>
    <row r="1006185" spans="27:27">
      <c r="AA1006185" s="613"/>
    </row>
    <row r="1006330" spans="27:27">
      <c r="AA1006330" s="613"/>
    </row>
    <row r="1006331" spans="27:27">
      <c r="AA1006331" s="613"/>
    </row>
    <row r="1006476" spans="27:27">
      <c r="AA1006476" s="613"/>
    </row>
    <row r="1006477" spans="27:27">
      <c r="AA1006477" s="613"/>
    </row>
    <row r="1006622" spans="27:27">
      <c r="AA1006622" s="613"/>
    </row>
    <row r="1006623" spans="27:27">
      <c r="AA1006623" s="613"/>
    </row>
    <row r="1006768" spans="27:27">
      <c r="AA1006768" s="613"/>
    </row>
    <row r="1006769" spans="27:27">
      <c r="AA1006769" s="613"/>
    </row>
    <row r="1006914" spans="27:27">
      <c r="AA1006914" s="613"/>
    </row>
    <row r="1006915" spans="27:27">
      <c r="AA1006915" s="613"/>
    </row>
    <row r="1007060" spans="27:27">
      <c r="AA1007060" s="613"/>
    </row>
    <row r="1007061" spans="27:27">
      <c r="AA1007061" s="613"/>
    </row>
    <row r="1007206" spans="27:27">
      <c r="AA1007206" s="613"/>
    </row>
    <row r="1007207" spans="27:27">
      <c r="AA1007207" s="613"/>
    </row>
    <row r="1007352" spans="27:27">
      <c r="AA1007352" s="613"/>
    </row>
    <row r="1007353" spans="27:27">
      <c r="AA1007353" s="613"/>
    </row>
    <row r="1007498" spans="27:27">
      <c r="AA1007498" s="613"/>
    </row>
    <row r="1007499" spans="27:27">
      <c r="AA1007499" s="613"/>
    </row>
    <row r="1007644" spans="27:27">
      <c r="AA1007644" s="613"/>
    </row>
    <row r="1007645" spans="27:27">
      <c r="AA1007645" s="613"/>
    </row>
    <row r="1007790" spans="27:27">
      <c r="AA1007790" s="613"/>
    </row>
    <row r="1007791" spans="27:27">
      <c r="AA1007791" s="613"/>
    </row>
    <row r="1007936" spans="27:27">
      <c r="AA1007936" s="613"/>
    </row>
    <row r="1007937" spans="27:27">
      <c r="AA1007937" s="613"/>
    </row>
    <row r="1008082" spans="27:27">
      <c r="AA1008082" s="613"/>
    </row>
    <row r="1008083" spans="27:27">
      <c r="AA1008083" s="613"/>
    </row>
    <row r="1008228" spans="27:27">
      <c r="AA1008228" s="613"/>
    </row>
    <row r="1008229" spans="27:27">
      <c r="AA1008229" s="613"/>
    </row>
    <row r="1008374" spans="27:27">
      <c r="AA1008374" s="613"/>
    </row>
    <row r="1008375" spans="27:27">
      <c r="AA1008375" s="613"/>
    </row>
    <row r="1008520" spans="27:27">
      <c r="AA1008520" s="613"/>
    </row>
    <row r="1008521" spans="27:27">
      <c r="AA1008521" s="613"/>
    </row>
    <row r="1008666" spans="27:27">
      <c r="AA1008666" s="613"/>
    </row>
    <row r="1008667" spans="27:27">
      <c r="AA1008667" s="613"/>
    </row>
    <row r="1008812" spans="27:27">
      <c r="AA1008812" s="613"/>
    </row>
    <row r="1008813" spans="27:27">
      <c r="AA1008813" s="613"/>
    </row>
    <row r="1008958" spans="27:27">
      <c r="AA1008958" s="613"/>
    </row>
    <row r="1008959" spans="27:27">
      <c r="AA1008959" s="613"/>
    </row>
    <row r="1009104" spans="27:27">
      <c r="AA1009104" s="613"/>
    </row>
    <row r="1009105" spans="27:27">
      <c r="AA1009105" s="613"/>
    </row>
    <row r="1009250" spans="27:27">
      <c r="AA1009250" s="613"/>
    </row>
    <row r="1009251" spans="27:27">
      <c r="AA1009251" s="613"/>
    </row>
    <row r="1009396" spans="27:27">
      <c r="AA1009396" s="613"/>
    </row>
    <row r="1009397" spans="27:27">
      <c r="AA1009397" s="613"/>
    </row>
    <row r="1009542" spans="27:27">
      <c r="AA1009542" s="613"/>
    </row>
    <row r="1009543" spans="27:27">
      <c r="AA1009543" s="613"/>
    </row>
    <row r="1009688" spans="27:27">
      <c r="AA1009688" s="613"/>
    </row>
    <row r="1009689" spans="27:27">
      <c r="AA1009689" s="613"/>
    </row>
    <row r="1009834" spans="27:27">
      <c r="AA1009834" s="613"/>
    </row>
    <row r="1009835" spans="27:27">
      <c r="AA1009835" s="613"/>
    </row>
    <row r="1009980" spans="27:27">
      <c r="AA1009980" s="613"/>
    </row>
    <row r="1009981" spans="27:27">
      <c r="AA1009981" s="613"/>
    </row>
    <row r="1010126" spans="27:27">
      <c r="AA1010126" s="613"/>
    </row>
    <row r="1010127" spans="27:27">
      <c r="AA1010127" s="613"/>
    </row>
    <row r="1010272" spans="27:27">
      <c r="AA1010272" s="613"/>
    </row>
    <row r="1010273" spans="27:27">
      <c r="AA1010273" s="613"/>
    </row>
    <row r="1010418" spans="27:27">
      <c r="AA1010418" s="613"/>
    </row>
    <row r="1010419" spans="27:27">
      <c r="AA1010419" s="613"/>
    </row>
    <row r="1010564" spans="27:27">
      <c r="AA1010564" s="613"/>
    </row>
    <row r="1010565" spans="27:27">
      <c r="AA1010565" s="613"/>
    </row>
    <row r="1010710" spans="27:27">
      <c r="AA1010710" s="613"/>
    </row>
    <row r="1010711" spans="27:27">
      <c r="AA1010711" s="613"/>
    </row>
    <row r="1010856" spans="27:27">
      <c r="AA1010856" s="613"/>
    </row>
    <row r="1010857" spans="27:27">
      <c r="AA1010857" s="613"/>
    </row>
    <row r="1011002" spans="27:27">
      <c r="AA1011002" s="613"/>
    </row>
    <row r="1011003" spans="27:27">
      <c r="AA1011003" s="613"/>
    </row>
    <row r="1011148" spans="27:27">
      <c r="AA1011148" s="613"/>
    </row>
    <row r="1011149" spans="27:27">
      <c r="AA1011149" s="613"/>
    </row>
    <row r="1011294" spans="27:27">
      <c r="AA1011294" s="613"/>
    </row>
    <row r="1011295" spans="27:27">
      <c r="AA1011295" s="613"/>
    </row>
    <row r="1011440" spans="27:27">
      <c r="AA1011440" s="613"/>
    </row>
    <row r="1011441" spans="27:27">
      <c r="AA1011441" s="613"/>
    </row>
    <row r="1011586" spans="27:27">
      <c r="AA1011586" s="613"/>
    </row>
    <row r="1011587" spans="27:27">
      <c r="AA1011587" s="613"/>
    </row>
    <row r="1011732" spans="27:27">
      <c r="AA1011732" s="613"/>
    </row>
    <row r="1011733" spans="27:27">
      <c r="AA1011733" s="613"/>
    </row>
    <row r="1011878" spans="27:27">
      <c r="AA1011878" s="613"/>
    </row>
    <row r="1011879" spans="27:27">
      <c r="AA1011879" s="613"/>
    </row>
    <row r="1012024" spans="27:27">
      <c r="AA1012024" s="613"/>
    </row>
    <row r="1012025" spans="27:27">
      <c r="AA1012025" s="613"/>
    </row>
    <row r="1012170" spans="27:27">
      <c r="AA1012170" s="613"/>
    </row>
    <row r="1012171" spans="27:27">
      <c r="AA1012171" s="613"/>
    </row>
    <row r="1012316" spans="27:27">
      <c r="AA1012316" s="613"/>
    </row>
    <row r="1012317" spans="27:27">
      <c r="AA1012317" s="613"/>
    </row>
    <row r="1012462" spans="27:27">
      <c r="AA1012462" s="613"/>
    </row>
    <row r="1012463" spans="27:27">
      <c r="AA1012463" s="613"/>
    </row>
    <row r="1012608" spans="27:27">
      <c r="AA1012608" s="613"/>
    </row>
    <row r="1012609" spans="27:27">
      <c r="AA1012609" s="613"/>
    </row>
    <row r="1012754" spans="27:27">
      <c r="AA1012754" s="613"/>
    </row>
    <row r="1012755" spans="27:27">
      <c r="AA1012755" s="613"/>
    </row>
    <row r="1012900" spans="27:27">
      <c r="AA1012900" s="613"/>
    </row>
    <row r="1012901" spans="27:27">
      <c r="AA1012901" s="613"/>
    </row>
    <row r="1013046" spans="27:27">
      <c r="AA1013046" s="613"/>
    </row>
    <row r="1013047" spans="27:27">
      <c r="AA1013047" s="613"/>
    </row>
    <row r="1013192" spans="27:27">
      <c r="AA1013192" s="613"/>
    </row>
    <row r="1013193" spans="27:27">
      <c r="AA1013193" s="613"/>
    </row>
    <row r="1013338" spans="27:27">
      <c r="AA1013338" s="613"/>
    </row>
    <row r="1013339" spans="27:27">
      <c r="AA1013339" s="613"/>
    </row>
    <row r="1013484" spans="27:27">
      <c r="AA1013484" s="613"/>
    </row>
    <row r="1013485" spans="27:27">
      <c r="AA1013485" s="613"/>
    </row>
    <row r="1013630" spans="27:27">
      <c r="AA1013630" s="613"/>
    </row>
    <row r="1013631" spans="27:27">
      <c r="AA1013631" s="613"/>
    </row>
    <row r="1013776" spans="27:27">
      <c r="AA1013776" s="613"/>
    </row>
    <row r="1013777" spans="27:27">
      <c r="AA1013777" s="613"/>
    </row>
    <row r="1013922" spans="27:27">
      <c r="AA1013922" s="613"/>
    </row>
    <row r="1013923" spans="27:27">
      <c r="AA1013923" s="613"/>
    </row>
    <row r="1014068" spans="27:27">
      <c r="AA1014068" s="613"/>
    </row>
    <row r="1014069" spans="27:27">
      <c r="AA1014069" s="613"/>
    </row>
    <row r="1014214" spans="27:27">
      <c r="AA1014214" s="613"/>
    </row>
    <row r="1014215" spans="27:27">
      <c r="AA1014215" s="613"/>
    </row>
    <row r="1014360" spans="27:27">
      <c r="AA1014360" s="613"/>
    </row>
    <row r="1014361" spans="27:27">
      <c r="AA1014361" s="613"/>
    </row>
    <row r="1014506" spans="27:27">
      <c r="AA1014506" s="613"/>
    </row>
    <row r="1014507" spans="27:27">
      <c r="AA1014507" s="613"/>
    </row>
    <row r="1014652" spans="27:27">
      <c r="AA1014652" s="613"/>
    </row>
    <row r="1014653" spans="27:27">
      <c r="AA1014653" s="613"/>
    </row>
    <row r="1014798" spans="27:27">
      <c r="AA1014798" s="613"/>
    </row>
    <row r="1014799" spans="27:27">
      <c r="AA1014799" s="613"/>
    </row>
    <row r="1014944" spans="27:27">
      <c r="AA1014944" s="613"/>
    </row>
    <row r="1014945" spans="27:27">
      <c r="AA1014945" s="613"/>
    </row>
    <row r="1015090" spans="27:27">
      <c r="AA1015090" s="613"/>
    </row>
    <row r="1015091" spans="27:27">
      <c r="AA1015091" s="613"/>
    </row>
    <row r="1015236" spans="27:27">
      <c r="AA1015236" s="613"/>
    </row>
    <row r="1015237" spans="27:27">
      <c r="AA1015237" s="613"/>
    </row>
    <row r="1015382" spans="27:27">
      <c r="AA1015382" s="613"/>
    </row>
    <row r="1015383" spans="27:27">
      <c r="AA1015383" s="613"/>
    </row>
    <row r="1015528" spans="27:27">
      <c r="AA1015528" s="613"/>
    </row>
    <row r="1015529" spans="27:27">
      <c r="AA1015529" s="613"/>
    </row>
    <row r="1015674" spans="27:27">
      <c r="AA1015674" s="613"/>
    </row>
    <row r="1015675" spans="27:27">
      <c r="AA1015675" s="613"/>
    </row>
    <row r="1015820" spans="27:27">
      <c r="AA1015820" s="613"/>
    </row>
    <row r="1015821" spans="27:27">
      <c r="AA1015821" s="613"/>
    </row>
    <row r="1015966" spans="27:27">
      <c r="AA1015966" s="613"/>
    </row>
    <row r="1015967" spans="27:27">
      <c r="AA1015967" s="613"/>
    </row>
    <row r="1016112" spans="27:27">
      <c r="AA1016112" s="613"/>
    </row>
    <row r="1016113" spans="27:27">
      <c r="AA1016113" s="613"/>
    </row>
    <row r="1016258" spans="27:27">
      <c r="AA1016258" s="613"/>
    </row>
    <row r="1016259" spans="27:27">
      <c r="AA1016259" s="613"/>
    </row>
    <row r="1016404" spans="27:27">
      <c r="AA1016404" s="613"/>
    </row>
    <row r="1016405" spans="27:27">
      <c r="AA1016405" s="613"/>
    </row>
    <row r="1016550" spans="27:27">
      <c r="AA1016550" s="613"/>
    </row>
    <row r="1016551" spans="27:27">
      <c r="AA1016551" s="613"/>
    </row>
    <row r="1016696" spans="27:27">
      <c r="AA1016696" s="613"/>
    </row>
    <row r="1016697" spans="27:27">
      <c r="AA1016697" s="613"/>
    </row>
    <row r="1016842" spans="27:27">
      <c r="AA1016842" s="613"/>
    </row>
    <row r="1016843" spans="27:27">
      <c r="AA1016843" s="613"/>
    </row>
    <row r="1016988" spans="27:27">
      <c r="AA1016988" s="613"/>
    </row>
    <row r="1016989" spans="27:27">
      <c r="AA1016989" s="613"/>
    </row>
    <row r="1017134" spans="27:27">
      <c r="AA1017134" s="613"/>
    </row>
    <row r="1017135" spans="27:27">
      <c r="AA1017135" s="613"/>
    </row>
    <row r="1017280" spans="27:27">
      <c r="AA1017280" s="613"/>
    </row>
    <row r="1017281" spans="27:27">
      <c r="AA1017281" s="613"/>
    </row>
    <row r="1017426" spans="27:27">
      <c r="AA1017426" s="613"/>
    </row>
    <row r="1017427" spans="27:27">
      <c r="AA1017427" s="613"/>
    </row>
    <row r="1017572" spans="27:27">
      <c r="AA1017572" s="613"/>
    </row>
    <row r="1017573" spans="27:27">
      <c r="AA1017573" s="613"/>
    </row>
    <row r="1017718" spans="27:27">
      <c r="AA1017718" s="613"/>
    </row>
    <row r="1017719" spans="27:27">
      <c r="AA1017719" s="613"/>
    </row>
    <row r="1017864" spans="27:27">
      <c r="AA1017864" s="613"/>
    </row>
    <row r="1017865" spans="27:27">
      <c r="AA1017865" s="613"/>
    </row>
    <row r="1018010" spans="27:27">
      <c r="AA1018010" s="613"/>
    </row>
    <row r="1018011" spans="27:27">
      <c r="AA1018011" s="613"/>
    </row>
    <row r="1018156" spans="27:27">
      <c r="AA1018156" s="613"/>
    </row>
    <row r="1018157" spans="27:27">
      <c r="AA1018157" s="613"/>
    </row>
    <row r="1018302" spans="27:27">
      <c r="AA1018302" s="613"/>
    </row>
    <row r="1018303" spans="27:27">
      <c r="AA1018303" s="613"/>
    </row>
    <row r="1018448" spans="27:27">
      <c r="AA1018448" s="613"/>
    </row>
    <row r="1018449" spans="27:27">
      <c r="AA1018449" s="613"/>
    </row>
    <row r="1018594" spans="27:27">
      <c r="AA1018594" s="613"/>
    </row>
    <row r="1018595" spans="27:27">
      <c r="AA1018595" s="613"/>
    </row>
    <row r="1018740" spans="27:27">
      <c r="AA1018740" s="613"/>
    </row>
    <row r="1018741" spans="27:27">
      <c r="AA1018741" s="613"/>
    </row>
    <row r="1018886" spans="27:27">
      <c r="AA1018886" s="613"/>
    </row>
    <row r="1018887" spans="27:27">
      <c r="AA1018887" s="613"/>
    </row>
    <row r="1019032" spans="27:27">
      <c r="AA1019032" s="613"/>
    </row>
    <row r="1019033" spans="27:27">
      <c r="AA1019033" s="613"/>
    </row>
    <row r="1019178" spans="27:27">
      <c r="AA1019178" s="613"/>
    </row>
    <row r="1019179" spans="27:27">
      <c r="AA1019179" s="613"/>
    </row>
    <row r="1019324" spans="27:27">
      <c r="AA1019324" s="613"/>
    </row>
    <row r="1019325" spans="27:27">
      <c r="AA1019325" s="613"/>
    </row>
    <row r="1019470" spans="27:27">
      <c r="AA1019470" s="613"/>
    </row>
    <row r="1019471" spans="27:27">
      <c r="AA1019471" s="613"/>
    </row>
    <row r="1019616" spans="27:27">
      <c r="AA1019616" s="613"/>
    </row>
    <row r="1019617" spans="27:27">
      <c r="AA1019617" s="613"/>
    </row>
    <row r="1019762" spans="27:27">
      <c r="AA1019762" s="613"/>
    </row>
    <row r="1019763" spans="27:27">
      <c r="AA1019763" s="613"/>
    </row>
    <row r="1019908" spans="27:27">
      <c r="AA1019908" s="613"/>
    </row>
    <row r="1019909" spans="27:27">
      <c r="AA1019909" s="613"/>
    </row>
    <row r="1020054" spans="27:27">
      <c r="AA1020054" s="613"/>
    </row>
    <row r="1020055" spans="27:27">
      <c r="AA1020055" s="613"/>
    </row>
    <row r="1020200" spans="27:27">
      <c r="AA1020200" s="613"/>
    </row>
    <row r="1020201" spans="27:27">
      <c r="AA1020201" s="613"/>
    </row>
    <row r="1020346" spans="27:27">
      <c r="AA1020346" s="613"/>
    </row>
    <row r="1020347" spans="27:27">
      <c r="AA1020347" s="613"/>
    </row>
    <row r="1020492" spans="27:27">
      <c r="AA1020492" s="613"/>
    </row>
    <row r="1020493" spans="27:27">
      <c r="AA1020493" s="613"/>
    </row>
    <row r="1020638" spans="27:27">
      <c r="AA1020638" s="613"/>
    </row>
    <row r="1020639" spans="27:27">
      <c r="AA1020639" s="613"/>
    </row>
    <row r="1020784" spans="27:27">
      <c r="AA1020784" s="613"/>
    </row>
    <row r="1020785" spans="27:27">
      <c r="AA1020785" s="613"/>
    </row>
    <row r="1020930" spans="27:27">
      <c r="AA1020930" s="613"/>
    </row>
    <row r="1020931" spans="27:27">
      <c r="AA1020931" s="613"/>
    </row>
    <row r="1021076" spans="27:27">
      <c r="AA1021076" s="613"/>
    </row>
    <row r="1021077" spans="27:27">
      <c r="AA1021077" s="613"/>
    </row>
    <row r="1021222" spans="27:27">
      <c r="AA1021222" s="613"/>
    </row>
    <row r="1021223" spans="27:27">
      <c r="AA1021223" s="613"/>
    </row>
    <row r="1021368" spans="27:27">
      <c r="AA1021368" s="613"/>
    </row>
    <row r="1021369" spans="27:27">
      <c r="AA1021369" s="613"/>
    </row>
    <row r="1021514" spans="27:27">
      <c r="AA1021514" s="613"/>
    </row>
    <row r="1021515" spans="27:27">
      <c r="AA1021515" s="613"/>
    </row>
    <row r="1021660" spans="27:27">
      <c r="AA1021660" s="613"/>
    </row>
    <row r="1021661" spans="27:27">
      <c r="AA1021661" s="613"/>
    </row>
    <row r="1021806" spans="27:27">
      <c r="AA1021806" s="613"/>
    </row>
    <row r="1021807" spans="27:27">
      <c r="AA1021807" s="613"/>
    </row>
    <row r="1021952" spans="27:27">
      <c r="AA1021952" s="613"/>
    </row>
    <row r="1021953" spans="27:27">
      <c r="AA1021953" s="613"/>
    </row>
    <row r="1022098" spans="27:27">
      <c r="AA1022098" s="613"/>
    </row>
    <row r="1022099" spans="27:27">
      <c r="AA1022099" s="613"/>
    </row>
    <row r="1022244" spans="27:27">
      <c r="AA1022244" s="613"/>
    </row>
    <row r="1022245" spans="27:27">
      <c r="AA1022245" s="613"/>
    </row>
    <row r="1022390" spans="27:27">
      <c r="AA1022390" s="613"/>
    </row>
    <row r="1022391" spans="27:27">
      <c r="AA1022391" s="613"/>
    </row>
    <row r="1022536" spans="27:27">
      <c r="AA1022536" s="613"/>
    </row>
    <row r="1022537" spans="27:27">
      <c r="AA1022537" s="613"/>
    </row>
    <row r="1022682" spans="27:27">
      <c r="AA1022682" s="613"/>
    </row>
    <row r="1022683" spans="27:27">
      <c r="AA1022683" s="613"/>
    </row>
    <row r="1022828" spans="27:27">
      <c r="AA1022828" s="613"/>
    </row>
    <row r="1022829" spans="27:27">
      <c r="AA1022829" s="613"/>
    </row>
    <row r="1022974" spans="27:27">
      <c r="AA1022974" s="613"/>
    </row>
    <row r="1022975" spans="27:27">
      <c r="AA1022975" s="613"/>
    </row>
    <row r="1023120" spans="27:27">
      <c r="AA1023120" s="613"/>
    </row>
    <row r="1023121" spans="27:27">
      <c r="AA1023121" s="613"/>
    </row>
    <row r="1023266" spans="27:27">
      <c r="AA1023266" s="613"/>
    </row>
    <row r="1023267" spans="27:27">
      <c r="AA1023267" s="613"/>
    </row>
    <row r="1023412" spans="27:27">
      <c r="AA1023412" s="613"/>
    </row>
    <row r="1023413" spans="27:27">
      <c r="AA1023413" s="613"/>
    </row>
    <row r="1023558" spans="27:27">
      <c r="AA1023558" s="613"/>
    </row>
    <row r="1023559" spans="27:27">
      <c r="AA1023559" s="613"/>
    </row>
    <row r="1023704" spans="27:27">
      <c r="AA1023704" s="613"/>
    </row>
    <row r="1023705" spans="27:27">
      <c r="AA1023705" s="613"/>
    </row>
    <row r="1023850" spans="27:27">
      <c r="AA1023850" s="613"/>
    </row>
    <row r="1023851" spans="27:27">
      <c r="AA1023851" s="613"/>
    </row>
    <row r="1023996" spans="27:27">
      <c r="AA1023996" s="613"/>
    </row>
    <row r="1023997" spans="27:27">
      <c r="AA1023997" s="613"/>
    </row>
    <row r="1024142" spans="27:27">
      <c r="AA1024142" s="613"/>
    </row>
    <row r="1024143" spans="27:27">
      <c r="AA1024143" s="613"/>
    </row>
    <row r="1024288" spans="27:27">
      <c r="AA1024288" s="613"/>
    </row>
    <row r="1024289" spans="27:27">
      <c r="AA1024289" s="613"/>
    </row>
    <row r="1024434" spans="27:27">
      <c r="AA1024434" s="613"/>
    </row>
    <row r="1024435" spans="27:27">
      <c r="AA1024435" s="613"/>
    </row>
    <row r="1024580" spans="27:27">
      <c r="AA1024580" s="613"/>
    </row>
    <row r="1024581" spans="27:27">
      <c r="AA1024581" s="613"/>
    </row>
    <row r="1024726" spans="27:27">
      <c r="AA1024726" s="613"/>
    </row>
    <row r="1024727" spans="27:27">
      <c r="AA1024727" s="613"/>
    </row>
    <row r="1024872" spans="27:27">
      <c r="AA1024872" s="613"/>
    </row>
    <row r="1024873" spans="27:27">
      <c r="AA1024873" s="613"/>
    </row>
    <row r="1025018" spans="27:27">
      <c r="AA1025018" s="613"/>
    </row>
    <row r="1025019" spans="27:27">
      <c r="AA1025019" s="613"/>
    </row>
    <row r="1025164" spans="27:27">
      <c r="AA1025164" s="613"/>
    </row>
    <row r="1025165" spans="27:27">
      <c r="AA1025165" s="613"/>
    </row>
    <row r="1025310" spans="27:27">
      <c r="AA1025310" s="613"/>
    </row>
    <row r="1025311" spans="27:27">
      <c r="AA1025311" s="613"/>
    </row>
    <row r="1025456" spans="27:27">
      <c r="AA1025456" s="613"/>
    </row>
    <row r="1025457" spans="27:27">
      <c r="AA1025457" s="613"/>
    </row>
    <row r="1025602" spans="27:27">
      <c r="AA1025602" s="613"/>
    </row>
    <row r="1025603" spans="27:27">
      <c r="AA1025603" s="613"/>
    </row>
    <row r="1025748" spans="27:27">
      <c r="AA1025748" s="613"/>
    </row>
    <row r="1025749" spans="27:27">
      <c r="AA1025749" s="613"/>
    </row>
    <row r="1025894" spans="27:27">
      <c r="AA1025894" s="613"/>
    </row>
    <row r="1025895" spans="27:27">
      <c r="AA1025895" s="613"/>
    </row>
    <row r="1026040" spans="27:27">
      <c r="AA1026040" s="613"/>
    </row>
    <row r="1026041" spans="27:27">
      <c r="AA1026041" s="613"/>
    </row>
    <row r="1026186" spans="27:27">
      <c r="AA1026186" s="613"/>
    </row>
    <row r="1026187" spans="27:27">
      <c r="AA1026187" s="613"/>
    </row>
    <row r="1026332" spans="27:27">
      <c r="AA1026332" s="613"/>
    </row>
    <row r="1026333" spans="27:27">
      <c r="AA1026333" s="613"/>
    </row>
    <row r="1026478" spans="27:27">
      <c r="AA1026478" s="613"/>
    </row>
    <row r="1026479" spans="27:27">
      <c r="AA1026479" s="613"/>
    </row>
    <row r="1026624" spans="27:27">
      <c r="AA1026624" s="613"/>
    </row>
    <row r="1026625" spans="27:27">
      <c r="AA1026625" s="613"/>
    </row>
    <row r="1026770" spans="27:27">
      <c r="AA1026770" s="613"/>
    </row>
    <row r="1026771" spans="27:27">
      <c r="AA1026771" s="613"/>
    </row>
    <row r="1026916" spans="27:27">
      <c r="AA1026916" s="613"/>
    </row>
    <row r="1026917" spans="27:27">
      <c r="AA1026917" s="613"/>
    </row>
    <row r="1027062" spans="27:27">
      <c r="AA1027062" s="613"/>
    </row>
    <row r="1027063" spans="27:27">
      <c r="AA1027063" s="613"/>
    </row>
    <row r="1027208" spans="27:27">
      <c r="AA1027208" s="613"/>
    </row>
    <row r="1027209" spans="27:27">
      <c r="AA1027209" s="613"/>
    </row>
    <row r="1027354" spans="27:27">
      <c r="AA1027354" s="613"/>
    </row>
    <row r="1027355" spans="27:27">
      <c r="AA1027355" s="613"/>
    </row>
    <row r="1027500" spans="27:27">
      <c r="AA1027500" s="613"/>
    </row>
    <row r="1027501" spans="27:27">
      <c r="AA1027501" s="613"/>
    </row>
    <row r="1027646" spans="27:27">
      <c r="AA1027646" s="613"/>
    </row>
    <row r="1027647" spans="27:27">
      <c r="AA1027647" s="613"/>
    </row>
    <row r="1027792" spans="27:27">
      <c r="AA1027792" s="613"/>
    </row>
    <row r="1027793" spans="27:27">
      <c r="AA1027793" s="613"/>
    </row>
    <row r="1027938" spans="27:27">
      <c r="AA1027938" s="613"/>
    </row>
    <row r="1027939" spans="27:27">
      <c r="AA1027939" s="613"/>
    </row>
    <row r="1028084" spans="27:27">
      <c r="AA1028084" s="613"/>
    </row>
    <row r="1028085" spans="27:27">
      <c r="AA1028085" s="613"/>
    </row>
    <row r="1028230" spans="27:27">
      <c r="AA1028230" s="613"/>
    </row>
    <row r="1028231" spans="27:27">
      <c r="AA1028231" s="613"/>
    </row>
    <row r="1028376" spans="27:27">
      <c r="AA1028376" s="613"/>
    </row>
    <row r="1028377" spans="27:27">
      <c r="AA1028377" s="613"/>
    </row>
    <row r="1028522" spans="27:27">
      <c r="AA1028522" s="613"/>
    </row>
    <row r="1028523" spans="27:27">
      <c r="AA1028523" s="613"/>
    </row>
    <row r="1028668" spans="27:27">
      <c r="AA1028668" s="613"/>
    </row>
    <row r="1028669" spans="27:27">
      <c r="AA1028669" s="613"/>
    </row>
    <row r="1028814" spans="27:27">
      <c r="AA1028814" s="613"/>
    </row>
    <row r="1028815" spans="27:27">
      <c r="AA1028815" s="613"/>
    </row>
    <row r="1028960" spans="27:27">
      <c r="AA1028960" s="613"/>
    </row>
    <row r="1028961" spans="27:27">
      <c r="AA1028961" s="613"/>
    </row>
    <row r="1029106" spans="27:27">
      <c r="AA1029106" s="613"/>
    </row>
    <row r="1029107" spans="27:27">
      <c r="AA1029107" s="613"/>
    </row>
    <row r="1029252" spans="27:27">
      <c r="AA1029252" s="613"/>
    </row>
    <row r="1029253" spans="27:27">
      <c r="AA1029253" s="613"/>
    </row>
    <row r="1029398" spans="27:27">
      <c r="AA1029398" s="613"/>
    </row>
    <row r="1029399" spans="27:27">
      <c r="AA1029399" s="613"/>
    </row>
    <row r="1029544" spans="27:27">
      <c r="AA1029544" s="613"/>
    </row>
    <row r="1029545" spans="27:27">
      <c r="AA1029545" s="613"/>
    </row>
    <row r="1029690" spans="27:27">
      <c r="AA1029690" s="613"/>
    </row>
    <row r="1029691" spans="27:27">
      <c r="AA1029691" s="613"/>
    </row>
    <row r="1029836" spans="27:27">
      <c r="AA1029836" s="613"/>
    </row>
    <row r="1029837" spans="27:27">
      <c r="AA1029837" s="613"/>
    </row>
    <row r="1029982" spans="27:27">
      <c r="AA1029982" s="613"/>
    </row>
    <row r="1029983" spans="27:27">
      <c r="AA1029983" s="613"/>
    </row>
    <row r="1030128" spans="27:27">
      <c r="AA1030128" s="613"/>
    </row>
    <row r="1030129" spans="27:27">
      <c r="AA1030129" s="613"/>
    </row>
    <row r="1030274" spans="27:27">
      <c r="AA1030274" s="613"/>
    </row>
    <row r="1030275" spans="27:27">
      <c r="AA1030275" s="613"/>
    </row>
    <row r="1030420" spans="27:27">
      <c r="AA1030420" s="613"/>
    </row>
    <row r="1030421" spans="27:27">
      <c r="AA1030421" s="613"/>
    </row>
    <row r="1030566" spans="27:27">
      <c r="AA1030566" s="613"/>
    </row>
    <row r="1030567" spans="27:27">
      <c r="AA1030567" s="613"/>
    </row>
    <row r="1030712" spans="27:27">
      <c r="AA1030712" s="613"/>
    </row>
    <row r="1030713" spans="27:27">
      <c r="AA1030713" s="613"/>
    </row>
    <row r="1030858" spans="27:27">
      <c r="AA1030858" s="613"/>
    </row>
    <row r="1030859" spans="27:27">
      <c r="AA1030859" s="613"/>
    </row>
    <row r="1031004" spans="27:27">
      <c r="AA1031004" s="613"/>
    </row>
    <row r="1031005" spans="27:27">
      <c r="AA1031005" s="613"/>
    </row>
    <row r="1031150" spans="27:27">
      <c r="AA1031150" s="613"/>
    </row>
    <row r="1031151" spans="27:27">
      <c r="AA1031151" s="613"/>
    </row>
    <row r="1031296" spans="27:27">
      <c r="AA1031296" s="613"/>
    </row>
    <row r="1031297" spans="27:27">
      <c r="AA1031297" s="613"/>
    </row>
    <row r="1031442" spans="27:27">
      <c r="AA1031442" s="613"/>
    </row>
    <row r="1031443" spans="27:27">
      <c r="AA1031443" s="613"/>
    </row>
    <row r="1031588" spans="27:27">
      <c r="AA1031588" s="613"/>
    </row>
    <row r="1031589" spans="27:27">
      <c r="AA1031589" s="613"/>
    </row>
    <row r="1031734" spans="27:27">
      <c r="AA1031734" s="613"/>
    </row>
    <row r="1031735" spans="27:27">
      <c r="AA1031735" s="613"/>
    </row>
    <row r="1031880" spans="27:27">
      <c r="AA1031880" s="613"/>
    </row>
    <row r="1031881" spans="27:27">
      <c r="AA1031881" s="613"/>
    </row>
    <row r="1032026" spans="27:27">
      <c r="AA1032026" s="613"/>
    </row>
    <row r="1032027" spans="27:27">
      <c r="AA1032027" s="613"/>
    </row>
    <row r="1032172" spans="27:27">
      <c r="AA1032172" s="613"/>
    </row>
    <row r="1032173" spans="27:27">
      <c r="AA1032173" s="613"/>
    </row>
    <row r="1032318" spans="27:27">
      <c r="AA1032318" s="613"/>
    </row>
    <row r="1032319" spans="27:27">
      <c r="AA1032319" s="613"/>
    </row>
    <row r="1032464" spans="27:27">
      <c r="AA1032464" s="613"/>
    </row>
    <row r="1032465" spans="27:27">
      <c r="AA1032465" s="613"/>
    </row>
    <row r="1032610" spans="27:27">
      <c r="AA1032610" s="613"/>
    </row>
    <row r="1032611" spans="27:27">
      <c r="AA1032611" s="613"/>
    </row>
    <row r="1032756" spans="27:27">
      <c r="AA1032756" s="613"/>
    </row>
    <row r="1032757" spans="27:27">
      <c r="AA1032757" s="613"/>
    </row>
    <row r="1032902" spans="27:27">
      <c r="AA1032902" s="613"/>
    </row>
    <row r="1032903" spans="27:27">
      <c r="AA1032903" s="613"/>
    </row>
    <row r="1033048" spans="27:27">
      <c r="AA1033048" s="613"/>
    </row>
    <row r="1033049" spans="27:27">
      <c r="AA1033049" s="613"/>
    </row>
    <row r="1033194" spans="27:27">
      <c r="AA1033194" s="613"/>
    </row>
    <row r="1033195" spans="27:27">
      <c r="AA1033195" s="613"/>
    </row>
    <row r="1033340" spans="27:27">
      <c r="AA1033340" s="613"/>
    </row>
    <row r="1033341" spans="27:27">
      <c r="AA1033341" s="613"/>
    </row>
    <row r="1033486" spans="27:27">
      <c r="AA1033486" s="613"/>
    </row>
    <row r="1033487" spans="27:27">
      <c r="AA1033487" s="613"/>
    </row>
    <row r="1033632" spans="27:27">
      <c r="AA1033632" s="613"/>
    </row>
    <row r="1033633" spans="27:27">
      <c r="AA1033633" s="613"/>
    </row>
    <row r="1033778" spans="27:27">
      <c r="AA1033778" s="613"/>
    </row>
    <row r="1033779" spans="27:27">
      <c r="AA1033779" s="613"/>
    </row>
    <row r="1033924" spans="27:27">
      <c r="AA1033924" s="613"/>
    </row>
    <row r="1033925" spans="27:27">
      <c r="AA1033925" s="613"/>
    </row>
    <row r="1034070" spans="27:27">
      <c r="AA1034070" s="613"/>
    </row>
    <row r="1034071" spans="27:27">
      <c r="AA1034071" s="613"/>
    </row>
    <row r="1034216" spans="27:27">
      <c r="AA1034216" s="613"/>
    </row>
    <row r="1034217" spans="27:27">
      <c r="AA1034217" s="613"/>
    </row>
    <row r="1034362" spans="27:27">
      <c r="AA1034362" s="613"/>
    </row>
    <row r="1034363" spans="27:27">
      <c r="AA1034363" s="613"/>
    </row>
    <row r="1034508" spans="27:27">
      <c r="AA1034508" s="613"/>
    </row>
    <row r="1034509" spans="27:27">
      <c r="AA1034509" s="613"/>
    </row>
    <row r="1034654" spans="27:27">
      <c r="AA1034654" s="613"/>
    </row>
    <row r="1034655" spans="27:27">
      <c r="AA1034655" s="613"/>
    </row>
    <row r="1034800" spans="27:27">
      <c r="AA1034800" s="613"/>
    </row>
    <row r="1034801" spans="27:27">
      <c r="AA1034801" s="613"/>
    </row>
    <row r="1034946" spans="27:27">
      <c r="AA1034946" s="613"/>
    </row>
    <row r="1034947" spans="27:27">
      <c r="AA1034947" s="613"/>
    </row>
    <row r="1035092" spans="27:27">
      <c r="AA1035092" s="613"/>
    </row>
    <row r="1035093" spans="27:27">
      <c r="AA1035093" s="613"/>
    </row>
    <row r="1035238" spans="27:27">
      <c r="AA1035238" s="613"/>
    </row>
    <row r="1035239" spans="27:27">
      <c r="AA1035239" s="613"/>
    </row>
    <row r="1035384" spans="27:27">
      <c r="AA1035384" s="613"/>
    </row>
    <row r="1035385" spans="27:27">
      <c r="AA1035385" s="613"/>
    </row>
    <row r="1035530" spans="27:27">
      <c r="AA1035530" s="613"/>
    </row>
    <row r="1035531" spans="27:27">
      <c r="AA1035531" s="613"/>
    </row>
    <row r="1035676" spans="27:27">
      <c r="AA1035676" s="613"/>
    </row>
    <row r="1035677" spans="27:27">
      <c r="AA1035677" s="613"/>
    </row>
    <row r="1035822" spans="27:27">
      <c r="AA1035822" s="613"/>
    </row>
    <row r="1035823" spans="27:27">
      <c r="AA1035823" s="613"/>
    </row>
    <row r="1035968" spans="27:27">
      <c r="AA1035968" s="613"/>
    </row>
    <row r="1035969" spans="27:27">
      <c r="AA1035969" s="613"/>
    </row>
    <row r="1036114" spans="27:27">
      <c r="AA1036114" s="613"/>
    </row>
    <row r="1036115" spans="27:27">
      <c r="AA1036115" s="613"/>
    </row>
    <row r="1036260" spans="27:27">
      <c r="AA1036260" s="613"/>
    </row>
    <row r="1036261" spans="27:27">
      <c r="AA1036261" s="613"/>
    </row>
    <row r="1036406" spans="27:27">
      <c r="AA1036406" s="613"/>
    </row>
    <row r="1036407" spans="27:27">
      <c r="AA1036407" s="613"/>
    </row>
    <row r="1036552" spans="27:27">
      <c r="AA1036552" s="613"/>
    </row>
    <row r="1036553" spans="27:27">
      <c r="AA1036553" s="613"/>
    </row>
    <row r="1036698" spans="27:27">
      <c r="AA1036698" s="613"/>
    </row>
    <row r="1036699" spans="27:27">
      <c r="AA1036699" s="613"/>
    </row>
    <row r="1036844" spans="27:27">
      <c r="AA1036844" s="613"/>
    </row>
    <row r="1036845" spans="27:27">
      <c r="AA1036845" s="613"/>
    </row>
    <row r="1036990" spans="27:27">
      <c r="AA1036990" s="613"/>
    </row>
    <row r="1036991" spans="27:27">
      <c r="AA1036991" s="613"/>
    </row>
    <row r="1037136" spans="27:27">
      <c r="AA1037136" s="613"/>
    </row>
    <row r="1037137" spans="27:27">
      <c r="AA1037137" s="613"/>
    </row>
    <row r="1037282" spans="27:27">
      <c r="AA1037282" s="613"/>
    </row>
    <row r="1037283" spans="27:27">
      <c r="AA1037283" s="613"/>
    </row>
    <row r="1037428" spans="27:27">
      <c r="AA1037428" s="613"/>
    </row>
    <row r="1037429" spans="27:27">
      <c r="AA1037429" s="613"/>
    </row>
    <row r="1037574" spans="27:27">
      <c r="AA1037574" s="613"/>
    </row>
    <row r="1037575" spans="27:27">
      <c r="AA1037575" s="613"/>
    </row>
    <row r="1037720" spans="27:27">
      <c r="AA1037720" s="613"/>
    </row>
    <row r="1037721" spans="27:27">
      <c r="AA1037721" s="613"/>
    </row>
    <row r="1037866" spans="27:27">
      <c r="AA1037866" s="613"/>
    </row>
    <row r="1037867" spans="27:27">
      <c r="AA1037867" s="613"/>
    </row>
    <row r="1038012" spans="27:27">
      <c r="AA1038012" s="613"/>
    </row>
    <row r="1038013" spans="27:27">
      <c r="AA1038013" s="613"/>
    </row>
    <row r="1038158" spans="27:27">
      <c r="AA1038158" s="613"/>
    </row>
    <row r="1038159" spans="27:27">
      <c r="AA1038159" s="613"/>
    </row>
    <row r="1038304" spans="27:27">
      <c r="AA1038304" s="613"/>
    </row>
    <row r="1038305" spans="27:27">
      <c r="AA1038305" s="613"/>
    </row>
    <row r="1038450" spans="27:27">
      <c r="AA1038450" s="613"/>
    </row>
    <row r="1038451" spans="27:27">
      <c r="AA1038451" s="613"/>
    </row>
    <row r="1038596" spans="27:27">
      <c r="AA1038596" s="613"/>
    </row>
    <row r="1038597" spans="27:27">
      <c r="AA1038597" s="613"/>
    </row>
    <row r="1038742" spans="27:27">
      <c r="AA1038742" s="613"/>
    </row>
    <row r="1038743" spans="27:27">
      <c r="AA1038743" s="613"/>
    </row>
    <row r="1038888" spans="27:27">
      <c r="AA1038888" s="613"/>
    </row>
    <row r="1038889" spans="27:27">
      <c r="AA1038889" s="613"/>
    </row>
    <row r="1039034" spans="27:27">
      <c r="AA1039034" s="613"/>
    </row>
    <row r="1039035" spans="27:27">
      <c r="AA1039035" s="613"/>
    </row>
    <row r="1039180" spans="27:27">
      <c r="AA1039180" s="613"/>
    </row>
    <row r="1039181" spans="27:27">
      <c r="AA1039181" s="613"/>
    </row>
    <row r="1039326" spans="27:27">
      <c r="AA1039326" s="613"/>
    </row>
    <row r="1039327" spans="27:27">
      <c r="AA1039327" s="613"/>
    </row>
    <row r="1039472" spans="27:27">
      <c r="AA1039472" s="613"/>
    </row>
    <row r="1039473" spans="27:27">
      <c r="AA1039473" s="613"/>
    </row>
    <row r="1039618" spans="27:27">
      <c r="AA1039618" s="613"/>
    </row>
    <row r="1039619" spans="27:27">
      <c r="AA1039619" s="613"/>
    </row>
    <row r="1039764" spans="27:27">
      <c r="AA1039764" s="613"/>
    </row>
    <row r="1039765" spans="27:27">
      <c r="AA1039765" s="613"/>
    </row>
    <row r="1039910" spans="27:27">
      <c r="AA1039910" s="613"/>
    </row>
    <row r="1039911" spans="27:27">
      <c r="AA1039911" s="613"/>
    </row>
    <row r="1040056" spans="27:27">
      <c r="AA1040056" s="613"/>
    </row>
    <row r="1040057" spans="27:27">
      <c r="AA1040057" s="613"/>
    </row>
    <row r="1040202" spans="27:27">
      <c r="AA1040202" s="613"/>
    </row>
    <row r="1040203" spans="27:27">
      <c r="AA1040203" s="613"/>
    </row>
    <row r="1040348" spans="27:27">
      <c r="AA1040348" s="613"/>
    </row>
    <row r="1040349" spans="27:27">
      <c r="AA1040349" s="613"/>
    </row>
    <row r="1040494" spans="27:27">
      <c r="AA1040494" s="613"/>
    </row>
    <row r="1040495" spans="27:27">
      <c r="AA1040495" s="613"/>
    </row>
    <row r="1040640" spans="27:27">
      <c r="AA1040640" s="613"/>
    </row>
    <row r="1040641" spans="27:27">
      <c r="AA1040641" s="613"/>
    </row>
    <row r="1040786" spans="27:27">
      <c r="AA1040786" s="613"/>
    </row>
    <row r="1040787" spans="27:27">
      <c r="AA1040787" s="613"/>
    </row>
    <row r="1040932" spans="27:27">
      <c r="AA1040932" s="613"/>
    </row>
    <row r="1040933" spans="27:27">
      <c r="AA1040933" s="613"/>
    </row>
    <row r="1041078" spans="27:27">
      <c r="AA1041078" s="613"/>
    </row>
    <row r="1041079" spans="27:27">
      <c r="AA1041079" s="613"/>
    </row>
    <row r="1041224" spans="27:27">
      <c r="AA1041224" s="613"/>
    </row>
    <row r="1041225" spans="27:27">
      <c r="AA1041225" s="613"/>
    </row>
    <row r="1041370" spans="27:27">
      <c r="AA1041370" s="613"/>
    </row>
    <row r="1041371" spans="27:27">
      <c r="AA1041371" s="613"/>
    </row>
    <row r="1041516" spans="27:27">
      <c r="AA1041516" s="613"/>
    </row>
    <row r="1041517" spans="27:27">
      <c r="AA1041517" s="613"/>
    </row>
    <row r="1041662" spans="27:27">
      <c r="AA1041662" s="613"/>
    </row>
    <row r="1041663" spans="27:27">
      <c r="AA1041663" s="613"/>
    </row>
    <row r="1041808" spans="27:27">
      <c r="AA1041808" s="613"/>
    </row>
    <row r="1041809" spans="27:27">
      <c r="AA1041809" s="613"/>
    </row>
    <row r="1041954" spans="27:27">
      <c r="AA1041954" s="613"/>
    </row>
    <row r="1041955" spans="27:27">
      <c r="AA1041955" s="613"/>
    </row>
    <row r="1042100" spans="27:27">
      <c r="AA1042100" s="613"/>
    </row>
    <row r="1042101" spans="27:27">
      <c r="AA1042101" s="613"/>
    </row>
    <row r="1042246" spans="27:27">
      <c r="AA1042246" s="613"/>
    </row>
    <row r="1042247" spans="27:27">
      <c r="AA1042247" s="613"/>
    </row>
    <row r="1042392" spans="27:27">
      <c r="AA1042392" s="613"/>
    </row>
    <row r="1042393" spans="27:27">
      <c r="AA1042393" s="613"/>
    </row>
    <row r="1042538" spans="27:27">
      <c r="AA1042538" s="613"/>
    </row>
    <row r="1042539" spans="27:27">
      <c r="AA1042539" s="613"/>
    </row>
    <row r="1042684" spans="27:27">
      <c r="AA1042684" s="613"/>
    </row>
    <row r="1042685" spans="27:27">
      <c r="AA1042685" s="613"/>
    </row>
    <row r="1042830" spans="27:27">
      <c r="AA1042830" s="613"/>
    </row>
    <row r="1042831" spans="27:27">
      <c r="AA1042831" s="613"/>
    </row>
    <row r="1042976" spans="27:27">
      <c r="AA1042976" s="613"/>
    </row>
    <row r="1042977" spans="27:27">
      <c r="AA1042977" s="613"/>
    </row>
    <row r="1043122" spans="27:27">
      <c r="AA1043122" s="613"/>
    </row>
    <row r="1043123" spans="27:27">
      <c r="AA1043123" s="613"/>
    </row>
    <row r="1043268" spans="27:27">
      <c r="AA1043268" s="613"/>
    </row>
    <row r="1043269" spans="27:27">
      <c r="AA1043269" s="613"/>
    </row>
    <row r="1043414" spans="27:27">
      <c r="AA1043414" s="613"/>
    </row>
    <row r="1043415" spans="27:27">
      <c r="AA1043415" s="613"/>
    </row>
    <row r="1043560" spans="27:27">
      <c r="AA1043560" s="613"/>
    </row>
    <row r="1043561" spans="27:27">
      <c r="AA1043561" s="613"/>
    </row>
    <row r="1043706" spans="27:27">
      <c r="AA1043706" s="613"/>
    </row>
    <row r="1043707" spans="27:27">
      <c r="AA1043707" s="613"/>
    </row>
    <row r="1043852" spans="27:27">
      <c r="AA1043852" s="613"/>
    </row>
    <row r="1043853" spans="27:27">
      <c r="AA1043853" s="613"/>
    </row>
    <row r="1043998" spans="27:27">
      <c r="AA1043998" s="613"/>
    </row>
    <row r="1043999" spans="27:27">
      <c r="AA1043999" s="613"/>
    </row>
    <row r="1044144" spans="27:27">
      <c r="AA1044144" s="613"/>
    </row>
    <row r="1044145" spans="27:27">
      <c r="AA1044145" s="613"/>
    </row>
    <row r="1044290" spans="27:27">
      <c r="AA1044290" s="613"/>
    </row>
    <row r="1044291" spans="27:27">
      <c r="AA1044291" s="613"/>
    </row>
    <row r="1044436" spans="27:27">
      <c r="AA1044436" s="613"/>
    </row>
    <row r="1044437" spans="27:27">
      <c r="AA1044437" s="613"/>
    </row>
    <row r="1044582" spans="27:27">
      <c r="AA1044582" s="613"/>
    </row>
    <row r="1044583" spans="27:27">
      <c r="AA1044583" s="613"/>
    </row>
    <row r="1044728" spans="27:27">
      <c r="AA1044728" s="613"/>
    </row>
    <row r="1044729" spans="27:27">
      <c r="AA1044729" s="613"/>
    </row>
    <row r="1044874" spans="27:27">
      <c r="AA1044874" s="613"/>
    </row>
    <row r="1044875" spans="27:27">
      <c r="AA1044875" s="613"/>
    </row>
    <row r="1045020" spans="27:27">
      <c r="AA1045020" s="613"/>
    </row>
    <row r="1045021" spans="27:27">
      <c r="AA1045021" s="613"/>
    </row>
    <row r="1045166" spans="27:27">
      <c r="AA1045166" s="613"/>
    </row>
    <row r="1045167" spans="27:27">
      <c r="AA1045167" s="613"/>
    </row>
    <row r="1045312" spans="27:27">
      <c r="AA1045312" s="613"/>
    </row>
    <row r="1045313" spans="27:27">
      <c r="AA1045313" s="613"/>
    </row>
    <row r="1045458" spans="27:27">
      <c r="AA1045458" s="613"/>
    </row>
    <row r="1045459" spans="27:27">
      <c r="AA1045459" s="613"/>
    </row>
    <row r="1045604" spans="27:27">
      <c r="AA1045604" s="613"/>
    </row>
    <row r="1045605" spans="27:27">
      <c r="AA1045605" s="613"/>
    </row>
    <row r="1045750" spans="27:27">
      <c r="AA1045750" s="613"/>
    </row>
    <row r="1045751" spans="27:27">
      <c r="AA1045751" s="613"/>
    </row>
    <row r="1045896" spans="27:27">
      <c r="AA1045896" s="613"/>
    </row>
    <row r="1045897" spans="27:27">
      <c r="AA1045897" s="613"/>
    </row>
    <row r="1046042" spans="27:27">
      <c r="AA1046042" s="613"/>
    </row>
    <row r="1046043" spans="27:27">
      <c r="AA1046043" s="613"/>
    </row>
    <row r="1046188" spans="27:27">
      <c r="AA1046188" s="613"/>
    </row>
    <row r="1046189" spans="27:27">
      <c r="AA1046189" s="613"/>
    </row>
    <row r="1046334" spans="27:27">
      <c r="AA1046334" s="613"/>
    </row>
    <row r="1046335" spans="27:27">
      <c r="AA1046335" s="613"/>
    </row>
    <row r="1046480" spans="27:27">
      <c r="AA1046480" s="613"/>
    </row>
    <row r="1046481" spans="27:27">
      <c r="AA1046481" s="613"/>
    </row>
    <row r="1046626" spans="27:27">
      <c r="AA1046626" s="613"/>
    </row>
    <row r="1046627" spans="27:27">
      <c r="AA1046627" s="613"/>
    </row>
    <row r="1046772" spans="27:27">
      <c r="AA1046772" s="613"/>
    </row>
    <row r="1046773" spans="27:27">
      <c r="AA1046773" s="613"/>
    </row>
    <row r="1046918" spans="27:27">
      <c r="AA1046918" s="613"/>
    </row>
    <row r="1046919" spans="27:27">
      <c r="AA1046919" s="613"/>
    </row>
    <row r="1047064" spans="27:27">
      <c r="AA1047064" s="613"/>
    </row>
    <row r="1047065" spans="27:27">
      <c r="AA1047065" s="613"/>
    </row>
    <row r="1047210" spans="27:27">
      <c r="AA1047210" s="613"/>
    </row>
    <row r="1047211" spans="27:27">
      <c r="AA1047211" s="613"/>
    </row>
    <row r="1047356" spans="27:27">
      <c r="AA1047356" s="613"/>
    </row>
    <row r="1047357" spans="27:27">
      <c r="AA1047357" s="613"/>
    </row>
    <row r="1047502" spans="27:27">
      <c r="AA1047502" s="613"/>
    </row>
    <row r="1047503" spans="27:27">
      <c r="AA1047503" s="613"/>
    </row>
    <row r="1047648" spans="27:27">
      <c r="AA1047648" s="613"/>
    </row>
    <row r="1047649" spans="27:27">
      <c r="AA1047649" s="613"/>
    </row>
    <row r="1047794" spans="27:27">
      <c r="AA1047794" s="613"/>
    </row>
    <row r="1047795" spans="27:27">
      <c r="AA1047795" s="613"/>
    </row>
    <row r="1047940" spans="27:27">
      <c r="AA1047940" s="613"/>
    </row>
    <row r="1047941" spans="27:27">
      <c r="AA1047941" s="613"/>
    </row>
    <row r="1048086" spans="27:27">
      <c r="AA1048086" s="613"/>
    </row>
    <row r="1048087" spans="27:27">
      <c r="AA1048087" s="613"/>
    </row>
    <row r="1048232" spans="27:27">
      <c r="AA1048232" s="613"/>
    </row>
    <row r="1048233" spans="27:27">
      <c r="AA1048233" s="613"/>
    </row>
    <row r="1048378" spans="27:27">
      <c r="AA1048378" s="613"/>
    </row>
    <row r="1048379" spans="27:27">
      <c r="AA1048379" s="613"/>
    </row>
  </sheetData>
  <mergeCells count="7213">
    <mergeCell ref="R1:T1"/>
    <mergeCell ref="A2:T2"/>
    <mergeCell ref="A3:T3"/>
    <mergeCell ref="A4:T4"/>
    <mergeCell ref="R6:T6"/>
    <mergeCell ref="P7:Q7"/>
    <mergeCell ref="A7:A8"/>
    <mergeCell ref="B7:B8"/>
    <mergeCell ref="C7:C8"/>
    <mergeCell ref="D7:D8"/>
    <mergeCell ref="E7:E8"/>
    <mergeCell ref="F7:F8"/>
    <mergeCell ref="G7:G8"/>
    <mergeCell ref="H7:H8"/>
    <mergeCell ref="I7:I8"/>
    <mergeCell ref="J7:J8"/>
    <mergeCell ref="K7:K8"/>
    <mergeCell ref="L7:L8"/>
    <mergeCell ref="M7:M8"/>
    <mergeCell ref="N7:N8"/>
    <mergeCell ref="O7:O8"/>
    <mergeCell ref="R7:R8"/>
    <mergeCell ref="S7:S8"/>
    <mergeCell ref="T7:T8"/>
    <mergeCell ref="U7:U8"/>
    <mergeCell ref="V7:V8"/>
    <mergeCell ref="W7:W8"/>
    <mergeCell ref="X7:X8"/>
    <mergeCell ref="Y7:Y8"/>
    <mergeCell ref="Z7:Z8"/>
    <mergeCell ref="AA1:AA2"/>
    <mergeCell ref="AA7:AA8"/>
    <mergeCell ref="AA244:AA245"/>
    <mergeCell ref="AA390:AA391"/>
    <mergeCell ref="AA536:AA537"/>
    <mergeCell ref="AA682:AA683"/>
    <mergeCell ref="AA828:AA829"/>
    <mergeCell ref="AA974:AA975"/>
    <mergeCell ref="AA1120:AA1121"/>
    <mergeCell ref="AA1266:AA1267"/>
    <mergeCell ref="AA1412:AA1413"/>
    <mergeCell ref="AA1558:AA1559"/>
    <mergeCell ref="AA1704:AA1705"/>
    <mergeCell ref="AA1850:AA1851"/>
    <mergeCell ref="AA1996:AA1997"/>
    <mergeCell ref="AA2142:AA2143"/>
    <mergeCell ref="AA2288:AA2289"/>
    <mergeCell ref="AA2434:AA2435"/>
    <mergeCell ref="AA2580:AA2581"/>
    <mergeCell ref="AA2726:AA2727"/>
    <mergeCell ref="AA2872:AA2873"/>
    <mergeCell ref="AA3018:AA3019"/>
    <mergeCell ref="AA3164:AA3165"/>
    <mergeCell ref="AA3310:AA3311"/>
    <mergeCell ref="AA3456:AA3457"/>
    <mergeCell ref="AA3602:AA3603"/>
    <mergeCell ref="AA3748:AA3749"/>
    <mergeCell ref="AA3894:AA3895"/>
    <mergeCell ref="AA4040:AA4041"/>
    <mergeCell ref="AA4186:AA4187"/>
    <mergeCell ref="AA4332:AA4333"/>
    <mergeCell ref="AA4478:AA4479"/>
    <mergeCell ref="AA4624:AA4625"/>
    <mergeCell ref="AA4770:AA4771"/>
    <mergeCell ref="AA4916:AA4917"/>
    <mergeCell ref="AA5062:AA5063"/>
    <mergeCell ref="AA5208:AA5209"/>
    <mergeCell ref="AA5354:AA5355"/>
    <mergeCell ref="AA5500:AA5501"/>
    <mergeCell ref="AA5646:AA5647"/>
    <mergeCell ref="AA5792:AA5793"/>
    <mergeCell ref="AA5938:AA5939"/>
    <mergeCell ref="AA6084:AA6085"/>
    <mergeCell ref="AA6230:AA6231"/>
    <mergeCell ref="AA6376:AA6377"/>
    <mergeCell ref="AA6522:AA6523"/>
    <mergeCell ref="AA6668:AA6669"/>
    <mergeCell ref="AA6814:AA6815"/>
    <mergeCell ref="AA6960:AA6961"/>
    <mergeCell ref="AA7106:AA7107"/>
    <mergeCell ref="AA7252:AA7253"/>
    <mergeCell ref="AA7398:AA7399"/>
    <mergeCell ref="AA7544:AA7545"/>
    <mergeCell ref="AA7690:AA7691"/>
    <mergeCell ref="AA7836:AA7837"/>
    <mergeCell ref="AA7982:AA7983"/>
    <mergeCell ref="AA8128:AA8129"/>
    <mergeCell ref="AA8274:AA8275"/>
    <mergeCell ref="AA8420:AA8421"/>
    <mergeCell ref="AA8566:AA8567"/>
    <mergeCell ref="AA8712:AA8713"/>
    <mergeCell ref="AA8858:AA8859"/>
    <mergeCell ref="AA9004:AA9005"/>
    <mergeCell ref="AA9150:AA9151"/>
    <mergeCell ref="AA9296:AA9297"/>
    <mergeCell ref="AA9442:AA9443"/>
    <mergeCell ref="AA9588:AA9589"/>
    <mergeCell ref="AA9734:AA9735"/>
    <mergeCell ref="AA9880:AA9881"/>
    <mergeCell ref="AA10026:AA10027"/>
    <mergeCell ref="AA10172:AA10173"/>
    <mergeCell ref="AA10318:AA10319"/>
    <mergeCell ref="AA10464:AA10465"/>
    <mergeCell ref="AA10610:AA10611"/>
    <mergeCell ref="AA10756:AA10757"/>
    <mergeCell ref="AA10902:AA10903"/>
    <mergeCell ref="AA11048:AA11049"/>
    <mergeCell ref="AA11194:AA11195"/>
    <mergeCell ref="AA11340:AA11341"/>
    <mergeCell ref="AA11486:AA11487"/>
    <mergeCell ref="AA11632:AA11633"/>
    <mergeCell ref="AA11778:AA11779"/>
    <mergeCell ref="AA11924:AA11925"/>
    <mergeCell ref="AA12070:AA12071"/>
    <mergeCell ref="AA12216:AA12217"/>
    <mergeCell ref="AA12362:AA12363"/>
    <mergeCell ref="AA12508:AA12509"/>
    <mergeCell ref="AA12654:AA12655"/>
    <mergeCell ref="AA12800:AA12801"/>
    <mergeCell ref="AA12946:AA12947"/>
    <mergeCell ref="AA13092:AA13093"/>
    <mergeCell ref="AA13238:AA13239"/>
    <mergeCell ref="AA13384:AA13385"/>
    <mergeCell ref="AA13530:AA13531"/>
    <mergeCell ref="AA13676:AA13677"/>
    <mergeCell ref="AA13822:AA13823"/>
    <mergeCell ref="AA13968:AA13969"/>
    <mergeCell ref="AA14114:AA14115"/>
    <mergeCell ref="AA14260:AA14261"/>
    <mergeCell ref="AA14406:AA14407"/>
    <mergeCell ref="AA14552:AA14553"/>
    <mergeCell ref="AA14698:AA14699"/>
    <mergeCell ref="AA14844:AA14845"/>
    <mergeCell ref="AA14990:AA14991"/>
    <mergeCell ref="AA15136:AA15137"/>
    <mergeCell ref="AA15282:AA15283"/>
    <mergeCell ref="AA15428:AA15429"/>
    <mergeCell ref="AA15574:AA15575"/>
    <mergeCell ref="AA15720:AA15721"/>
    <mergeCell ref="AA15866:AA15867"/>
    <mergeCell ref="AA16012:AA16013"/>
    <mergeCell ref="AA16158:AA16159"/>
    <mergeCell ref="AA16304:AA16305"/>
    <mergeCell ref="AA16450:AA16451"/>
    <mergeCell ref="AA16596:AA16597"/>
    <mergeCell ref="AA16742:AA16743"/>
    <mergeCell ref="AA16888:AA16889"/>
    <mergeCell ref="AA17034:AA17035"/>
    <mergeCell ref="AA17180:AA17181"/>
    <mergeCell ref="AA17326:AA17327"/>
    <mergeCell ref="AA17472:AA17473"/>
    <mergeCell ref="AA17618:AA17619"/>
    <mergeCell ref="AA17764:AA17765"/>
    <mergeCell ref="AA17910:AA17911"/>
    <mergeCell ref="AA18056:AA18057"/>
    <mergeCell ref="AA18202:AA18203"/>
    <mergeCell ref="AA18348:AA18349"/>
    <mergeCell ref="AA18494:AA18495"/>
    <mergeCell ref="AA18640:AA18641"/>
    <mergeCell ref="AA18786:AA18787"/>
    <mergeCell ref="AA18932:AA18933"/>
    <mergeCell ref="AA19078:AA19079"/>
    <mergeCell ref="AA19224:AA19225"/>
    <mergeCell ref="AA19370:AA19371"/>
    <mergeCell ref="AA19516:AA19517"/>
    <mergeCell ref="AA19662:AA19663"/>
    <mergeCell ref="AA19808:AA19809"/>
    <mergeCell ref="AA19954:AA19955"/>
    <mergeCell ref="AA20100:AA20101"/>
    <mergeCell ref="AA20246:AA20247"/>
    <mergeCell ref="AA20392:AA20393"/>
    <mergeCell ref="AA20538:AA20539"/>
    <mergeCell ref="AA20684:AA20685"/>
    <mergeCell ref="AA20830:AA20831"/>
    <mergeCell ref="AA20976:AA20977"/>
    <mergeCell ref="AA21122:AA21123"/>
    <mergeCell ref="AA21268:AA21269"/>
    <mergeCell ref="AA21414:AA21415"/>
    <mergeCell ref="AA21560:AA21561"/>
    <mergeCell ref="AA21706:AA21707"/>
    <mergeCell ref="AA21852:AA21853"/>
    <mergeCell ref="AA21998:AA21999"/>
    <mergeCell ref="AA22144:AA22145"/>
    <mergeCell ref="AA22290:AA22291"/>
    <mergeCell ref="AA22436:AA22437"/>
    <mergeCell ref="AA22582:AA22583"/>
    <mergeCell ref="AA22728:AA22729"/>
    <mergeCell ref="AA22874:AA22875"/>
    <mergeCell ref="AA23020:AA23021"/>
    <mergeCell ref="AA23166:AA23167"/>
    <mergeCell ref="AA23312:AA23313"/>
    <mergeCell ref="AA23458:AA23459"/>
    <mergeCell ref="AA23604:AA23605"/>
    <mergeCell ref="AA23750:AA23751"/>
    <mergeCell ref="AA23896:AA23897"/>
    <mergeCell ref="AA24042:AA24043"/>
    <mergeCell ref="AA24188:AA24189"/>
    <mergeCell ref="AA24334:AA24335"/>
    <mergeCell ref="AA24480:AA24481"/>
    <mergeCell ref="AA24626:AA24627"/>
    <mergeCell ref="AA24772:AA24773"/>
    <mergeCell ref="AA24918:AA24919"/>
    <mergeCell ref="AA25064:AA25065"/>
    <mergeCell ref="AA25210:AA25211"/>
    <mergeCell ref="AA25356:AA25357"/>
    <mergeCell ref="AA25502:AA25503"/>
    <mergeCell ref="AA25648:AA25649"/>
    <mergeCell ref="AA25794:AA25795"/>
    <mergeCell ref="AA25940:AA25941"/>
    <mergeCell ref="AA26086:AA26087"/>
    <mergeCell ref="AA26232:AA26233"/>
    <mergeCell ref="AA26378:AA26379"/>
    <mergeCell ref="AA26524:AA26525"/>
    <mergeCell ref="AA26670:AA26671"/>
    <mergeCell ref="AA26816:AA26817"/>
    <mergeCell ref="AA26962:AA26963"/>
    <mergeCell ref="AA27108:AA27109"/>
    <mergeCell ref="AA27254:AA27255"/>
    <mergeCell ref="AA27400:AA27401"/>
    <mergeCell ref="AA27546:AA27547"/>
    <mergeCell ref="AA27692:AA27693"/>
    <mergeCell ref="AA27838:AA27839"/>
    <mergeCell ref="AA27984:AA27985"/>
    <mergeCell ref="AA28130:AA28131"/>
    <mergeCell ref="AA28276:AA28277"/>
    <mergeCell ref="AA28422:AA28423"/>
    <mergeCell ref="AA28568:AA28569"/>
    <mergeCell ref="AA28714:AA28715"/>
    <mergeCell ref="AA28860:AA28861"/>
    <mergeCell ref="AA29006:AA29007"/>
    <mergeCell ref="AA29152:AA29153"/>
    <mergeCell ref="AA29298:AA29299"/>
    <mergeCell ref="AA29444:AA29445"/>
    <mergeCell ref="AA29590:AA29591"/>
    <mergeCell ref="AA29736:AA29737"/>
    <mergeCell ref="AA29882:AA29883"/>
    <mergeCell ref="AA30028:AA30029"/>
    <mergeCell ref="AA30174:AA30175"/>
    <mergeCell ref="AA30320:AA30321"/>
    <mergeCell ref="AA30466:AA30467"/>
    <mergeCell ref="AA30612:AA30613"/>
    <mergeCell ref="AA30758:AA30759"/>
    <mergeCell ref="AA30904:AA30905"/>
    <mergeCell ref="AA31050:AA31051"/>
    <mergeCell ref="AA31196:AA31197"/>
    <mergeCell ref="AA31342:AA31343"/>
    <mergeCell ref="AA31488:AA31489"/>
    <mergeCell ref="AA31634:AA31635"/>
    <mergeCell ref="AA31780:AA31781"/>
    <mergeCell ref="AA31926:AA31927"/>
    <mergeCell ref="AA32072:AA32073"/>
    <mergeCell ref="AA32218:AA32219"/>
    <mergeCell ref="AA32364:AA32365"/>
    <mergeCell ref="AA32510:AA32511"/>
    <mergeCell ref="AA32656:AA32657"/>
    <mergeCell ref="AA32802:AA32803"/>
    <mergeCell ref="AA32948:AA32949"/>
    <mergeCell ref="AA33094:AA33095"/>
    <mergeCell ref="AA33240:AA33241"/>
    <mergeCell ref="AA33386:AA33387"/>
    <mergeCell ref="AA33532:AA33533"/>
    <mergeCell ref="AA33678:AA33679"/>
    <mergeCell ref="AA33824:AA33825"/>
    <mergeCell ref="AA33970:AA33971"/>
    <mergeCell ref="AA34116:AA34117"/>
    <mergeCell ref="AA34262:AA34263"/>
    <mergeCell ref="AA34408:AA34409"/>
    <mergeCell ref="AA34554:AA34555"/>
    <mergeCell ref="AA34700:AA34701"/>
    <mergeCell ref="AA34846:AA34847"/>
    <mergeCell ref="AA34992:AA34993"/>
    <mergeCell ref="AA35138:AA35139"/>
    <mergeCell ref="AA35284:AA35285"/>
    <mergeCell ref="AA35430:AA35431"/>
    <mergeCell ref="AA35576:AA35577"/>
    <mergeCell ref="AA35722:AA35723"/>
    <mergeCell ref="AA35868:AA35869"/>
    <mergeCell ref="AA36014:AA36015"/>
    <mergeCell ref="AA36160:AA36161"/>
    <mergeCell ref="AA36306:AA36307"/>
    <mergeCell ref="AA36452:AA36453"/>
    <mergeCell ref="AA36598:AA36599"/>
    <mergeCell ref="AA36744:AA36745"/>
    <mergeCell ref="AA36890:AA36891"/>
    <mergeCell ref="AA37036:AA37037"/>
    <mergeCell ref="AA37182:AA37183"/>
    <mergeCell ref="AA37328:AA37329"/>
    <mergeCell ref="AA37474:AA37475"/>
    <mergeCell ref="AA37620:AA37621"/>
    <mergeCell ref="AA37766:AA37767"/>
    <mergeCell ref="AA37912:AA37913"/>
    <mergeCell ref="AA38058:AA38059"/>
    <mergeCell ref="AA38204:AA38205"/>
    <mergeCell ref="AA38350:AA38351"/>
    <mergeCell ref="AA38496:AA38497"/>
    <mergeCell ref="AA38642:AA38643"/>
    <mergeCell ref="AA38788:AA38789"/>
    <mergeCell ref="AA38934:AA38935"/>
    <mergeCell ref="AA39080:AA39081"/>
    <mergeCell ref="AA39226:AA39227"/>
    <mergeCell ref="AA39372:AA39373"/>
    <mergeCell ref="AA39518:AA39519"/>
    <mergeCell ref="AA39664:AA39665"/>
    <mergeCell ref="AA39810:AA39811"/>
    <mergeCell ref="AA39956:AA39957"/>
    <mergeCell ref="AA40102:AA40103"/>
    <mergeCell ref="AA40248:AA40249"/>
    <mergeCell ref="AA40394:AA40395"/>
    <mergeCell ref="AA40540:AA40541"/>
    <mergeCell ref="AA40686:AA40687"/>
    <mergeCell ref="AA40832:AA40833"/>
    <mergeCell ref="AA40978:AA40979"/>
    <mergeCell ref="AA41124:AA41125"/>
    <mergeCell ref="AA41270:AA41271"/>
    <mergeCell ref="AA41416:AA41417"/>
    <mergeCell ref="AA41562:AA41563"/>
    <mergeCell ref="AA41708:AA41709"/>
    <mergeCell ref="AA41854:AA41855"/>
    <mergeCell ref="AA42000:AA42001"/>
    <mergeCell ref="AA42146:AA42147"/>
    <mergeCell ref="AA42292:AA42293"/>
    <mergeCell ref="AA42438:AA42439"/>
    <mergeCell ref="AA42584:AA42585"/>
    <mergeCell ref="AA42730:AA42731"/>
    <mergeCell ref="AA42876:AA42877"/>
    <mergeCell ref="AA43022:AA43023"/>
    <mergeCell ref="AA43168:AA43169"/>
    <mergeCell ref="AA43314:AA43315"/>
    <mergeCell ref="AA43460:AA43461"/>
    <mergeCell ref="AA43606:AA43607"/>
    <mergeCell ref="AA43752:AA43753"/>
    <mergeCell ref="AA43898:AA43899"/>
    <mergeCell ref="AA44044:AA44045"/>
    <mergeCell ref="AA44190:AA44191"/>
    <mergeCell ref="AA44336:AA44337"/>
    <mergeCell ref="AA44482:AA44483"/>
    <mergeCell ref="AA44628:AA44629"/>
    <mergeCell ref="AA44774:AA44775"/>
    <mergeCell ref="AA44920:AA44921"/>
    <mergeCell ref="AA45066:AA45067"/>
    <mergeCell ref="AA45212:AA45213"/>
    <mergeCell ref="AA45358:AA45359"/>
    <mergeCell ref="AA45504:AA45505"/>
    <mergeCell ref="AA45650:AA45651"/>
    <mergeCell ref="AA45796:AA45797"/>
    <mergeCell ref="AA45942:AA45943"/>
    <mergeCell ref="AA46088:AA46089"/>
    <mergeCell ref="AA46234:AA46235"/>
    <mergeCell ref="AA46380:AA46381"/>
    <mergeCell ref="AA46526:AA46527"/>
    <mergeCell ref="AA46672:AA46673"/>
    <mergeCell ref="AA46818:AA46819"/>
    <mergeCell ref="AA46964:AA46965"/>
    <mergeCell ref="AA47110:AA47111"/>
    <mergeCell ref="AA47256:AA47257"/>
    <mergeCell ref="AA47402:AA47403"/>
    <mergeCell ref="AA47548:AA47549"/>
    <mergeCell ref="AA47694:AA47695"/>
    <mergeCell ref="AA47840:AA47841"/>
    <mergeCell ref="AA47986:AA47987"/>
    <mergeCell ref="AA48132:AA48133"/>
    <mergeCell ref="AA48278:AA48279"/>
    <mergeCell ref="AA48424:AA48425"/>
    <mergeCell ref="AA48570:AA48571"/>
    <mergeCell ref="AA48716:AA48717"/>
    <mergeCell ref="AA48862:AA48863"/>
    <mergeCell ref="AA49008:AA49009"/>
    <mergeCell ref="AA49154:AA49155"/>
    <mergeCell ref="AA49300:AA49301"/>
    <mergeCell ref="AA49446:AA49447"/>
    <mergeCell ref="AA49592:AA49593"/>
    <mergeCell ref="AA49738:AA49739"/>
    <mergeCell ref="AA49884:AA49885"/>
    <mergeCell ref="AA50030:AA50031"/>
    <mergeCell ref="AA50176:AA50177"/>
    <mergeCell ref="AA50322:AA50323"/>
    <mergeCell ref="AA50468:AA50469"/>
    <mergeCell ref="AA50614:AA50615"/>
    <mergeCell ref="AA50760:AA50761"/>
    <mergeCell ref="AA50906:AA50907"/>
    <mergeCell ref="AA51052:AA51053"/>
    <mergeCell ref="AA51198:AA51199"/>
    <mergeCell ref="AA51344:AA51345"/>
    <mergeCell ref="AA51490:AA51491"/>
    <mergeCell ref="AA51636:AA51637"/>
    <mergeCell ref="AA51782:AA51783"/>
    <mergeCell ref="AA51928:AA51929"/>
    <mergeCell ref="AA52074:AA52075"/>
    <mergeCell ref="AA52220:AA52221"/>
    <mergeCell ref="AA52366:AA52367"/>
    <mergeCell ref="AA52512:AA52513"/>
    <mergeCell ref="AA52658:AA52659"/>
    <mergeCell ref="AA52804:AA52805"/>
    <mergeCell ref="AA52950:AA52951"/>
    <mergeCell ref="AA53096:AA53097"/>
    <mergeCell ref="AA53242:AA53243"/>
    <mergeCell ref="AA53388:AA53389"/>
    <mergeCell ref="AA53534:AA53535"/>
    <mergeCell ref="AA53680:AA53681"/>
    <mergeCell ref="AA53826:AA53827"/>
    <mergeCell ref="AA53972:AA53973"/>
    <mergeCell ref="AA54118:AA54119"/>
    <mergeCell ref="AA54264:AA54265"/>
    <mergeCell ref="AA54410:AA54411"/>
    <mergeCell ref="AA54556:AA54557"/>
    <mergeCell ref="AA54702:AA54703"/>
    <mergeCell ref="AA54848:AA54849"/>
    <mergeCell ref="AA54994:AA54995"/>
    <mergeCell ref="AA55140:AA55141"/>
    <mergeCell ref="AA55286:AA55287"/>
    <mergeCell ref="AA55432:AA55433"/>
    <mergeCell ref="AA55578:AA55579"/>
    <mergeCell ref="AA55724:AA55725"/>
    <mergeCell ref="AA55870:AA55871"/>
    <mergeCell ref="AA56016:AA56017"/>
    <mergeCell ref="AA56162:AA56163"/>
    <mergeCell ref="AA56308:AA56309"/>
    <mergeCell ref="AA56454:AA56455"/>
    <mergeCell ref="AA56600:AA56601"/>
    <mergeCell ref="AA56746:AA56747"/>
    <mergeCell ref="AA56892:AA56893"/>
    <mergeCell ref="AA57038:AA57039"/>
    <mergeCell ref="AA57184:AA57185"/>
    <mergeCell ref="AA57330:AA57331"/>
    <mergeCell ref="AA57476:AA57477"/>
    <mergeCell ref="AA57622:AA57623"/>
    <mergeCell ref="AA57768:AA57769"/>
    <mergeCell ref="AA57914:AA57915"/>
    <mergeCell ref="AA58060:AA58061"/>
    <mergeCell ref="AA58206:AA58207"/>
    <mergeCell ref="AA58352:AA58353"/>
    <mergeCell ref="AA58498:AA58499"/>
    <mergeCell ref="AA58644:AA58645"/>
    <mergeCell ref="AA58790:AA58791"/>
    <mergeCell ref="AA58936:AA58937"/>
    <mergeCell ref="AA59082:AA59083"/>
    <mergeCell ref="AA59228:AA59229"/>
    <mergeCell ref="AA59374:AA59375"/>
    <mergeCell ref="AA59520:AA59521"/>
    <mergeCell ref="AA59666:AA59667"/>
    <mergeCell ref="AA59812:AA59813"/>
    <mergeCell ref="AA59958:AA59959"/>
    <mergeCell ref="AA60104:AA60105"/>
    <mergeCell ref="AA60250:AA60251"/>
    <mergeCell ref="AA60396:AA60397"/>
    <mergeCell ref="AA60542:AA60543"/>
    <mergeCell ref="AA60688:AA60689"/>
    <mergeCell ref="AA60834:AA60835"/>
    <mergeCell ref="AA60980:AA60981"/>
    <mergeCell ref="AA61126:AA61127"/>
    <mergeCell ref="AA61272:AA61273"/>
    <mergeCell ref="AA61418:AA61419"/>
    <mergeCell ref="AA61564:AA61565"/>
    <mergeCell ref="AA61710:AA61711"/>
    <mergeCell ref="AA61856:AA61857"/>
    <mergeCell ref="AA62002:AA62003"/>
    <mergeCell ref="AA62148:AA62149"/>
    <mergeCell ref="AA62294:AA62295"/>
    <mergeCell ref="AA62440:AA62441"/>
    <mergeCell ref="AA62586:AA62587"/>
    <mergeCell ref="AA62732:AA62733"/>
    <mergeCell ref="AA62878:AA62879"/>
    <mergeCell ref="AA63024:AA63025"/>
    <mergeCell ref="AA63170:AA63171"/>
    <mergeCell ref="AA63316:AA63317"/>
    <mergeCell ref="AA63462:AA63463"/>
    <mergeCell ref="AA63608:AA63609"/>
    <mergeCell ref="AA63754:AA63755"/>
    <mergeCell ref="AA63900:AA63901"/>
    <mergeCell ref="AA64046:AA64047"/>
    <mergeCell ref="AA64192:AA64193"/>
    <mergeCell ref="AA64338:AA64339"/>
    <mergeCell ref="AA64484:AA64485"/>
    <mergeCell ref="AA64630:AA64631"/>
    <mergeCell ref="AA64776:AA64777"/>
    <mergeCell ref="AA64922:AA64923"/>
    <mergeCell ref="AA65068:AA65069"/>
    <mergeCell ref="AA65214:AA65215"/>
    <mergeCell ref="AA65360:AA65361"/>
    <mergeCell ref="AA65506:AA65507"/>
    <mergeCell ref="AA65652:AA65653"/>
    <mergeCell ref="AA65798:AA65799"/>
    <mergeCell ref="AA65944:AA65945"/>
    <mergeCell ref="AA66090:AA66091"/>
    <mergeCell ref="AA66236:AA66237"/>
    <mergeCell ref="AA66382:AA66383"/>
    <mergeCell ref="AA66528:AA66529"/>
    <mergeCell ref="AA66674:AA66675"/>
    <mergeCell ref="AA66820:AA66821"/>
    <mergeCell ref="AA66966:AA66967"/>
    <mergeCell ref="AA67112:AA67113"/>
    <mergeCell ref="AA67258:AA67259"/>
    <mergeCell ref="AA67404:AA67405"/>
    <mergeCell ref="AA67550:AA67551"/>
    <mergeCell ref="AA67696:AA67697"/>
    <mergeCell ref="AA67842:AA67843"/>
    <mergeCell ref="AA67988:AA67989"/>
    <mergeCell ref="AA68134:AA68135"/>
    <mergeCell ref="AA68280:AA68281"/>
    <mergeCell ref="AA68426:AA68427"/>
    <mergeCell ref="AA68572:AA68573"/>
    <mergeCell ref="AA68718:AA68719"/>
    <mergeCell ref="AA68864:AA68865"/>
    <mergeCell ref="AA69010:AA69011"/>
    <mergeCell ref="AA69156:AA69157"/>
    <mergeCell ref="AA69302:AA69303"/>
    <mergeCell ref="AA69448:AA69449"/>
    <mergeCell ref="AA69594:AA69595"/>
    <mergeCell ref="AA69740:AA69741"/>
    <mergeCell ref="AA69886:AA69887"/>
    <mergeCell ref="AA70032:AA70033"/>
    <mergeCell ref="AA70178:AA70179"/>
    <mergeCell ref="AA70324:AA70325"/>
    <mergeCell ref="AA70470:AA70471"/>
    <mergeCell ref="AA70616:AA70617"/>
    <mergeCell ref="AA70762:AA70763"/>
    <mergeCell ref="AA70908:AA70909"/>
    <mergeCell ref="AA71054:AA71055"/>
    <mergeCell ref="AA71200:AA71201"/>
    <mergeCell ref="AA71346:AA71347"/>
    <mergeCell ref="AA71492:AA71493"/>
    <mergeCell ref="AA71638:AA71639"/>
    <mergeCell ref="AA71784:AA71785"/>
    <mergeCell ref="AA71930:AA71931"/>
    <mergeCell ref="AA72076:AA72077"/>
    <mergeCell ref="AA72222:AA72223"/>
    <mergeCell ref="AA72368:AA72369"/>
    <mergeCell ref="AA72514:AA72515"/>
    <mergeCell ref="AA72660:AA72661"/>
    <mergeCell ref="AA72806:AA72807"/>
    <mergeCell ref="AA72952:AA72953"/>
    <mergeCell ref="AA73098:AA73099"/>
    <mergeCell ref="AA73244:AA73245"/>
    <mergeCell ref="AA73390:AA73391"/>
    <mergeCell ref="AA73536:AA73537"/>
    <mergeCell ref="AA73682:AA73683"/>
    <mergeCell ref="AA73828:AA73829"/>
    <mergeCell ref="AA73974:AA73975"/>
    <mergeCell ref="AA74120:AA74121"/>
    <mergeCell ref="AA74266:AA74267"/>
    <mergeCell ref="AA74412:AA74413"/>
    <mergeCell ref="AA74558:AA74559"/>
    <mergeCell ref="AA74704:AA74705"/>
    <mergeCell ref="AA74850:AA74851"/>
    <mergeCell ref="AA74996:AA74997"/>
    <mergeCell ref="AA75142:AA75143"/>
    <mergeCell ref="AA75288:AA75289"/>
    <mergeCell ref="AA75434:AA75435"/>
    <mergeCell ref="AA75580:AA75581"/>
    <mergeCell ref="AA75726:AA75727"/>
    <mergeCell ref="AA75872:AA75873"/>
    <mergeCell ref="AA76018:AA76019"/>
    <mergeCell ref="AA76164:AA76165"/>
    <mergeCell ref="AA76310:AA76311"/>
    <mergeCell ref="AA76456:AA76457"/>
    <mergeCell ref="AA76602:AA76603"/>
    <mergeCell ref="AA76748:AA76749"/>
    <mergeCell ref="AA76894:AA76895"/>
    <mergeCell ref="AA77040:AA77041"/>
    <mergeCell ref="AA77186:AA77187"/>
    <mergeCell ref="AA77332:AA77333"/>
    <mergeCell ref="AA77478:AA77479"/>
    <mergeCell ref="AA77624:AA77625"/>
    <mergeCell ref="AA77770:AA77771"/>
    <mergeCell ref="AA77916:AA77917"/>
    <mergeCell ref="AA78062:AA78063"/>
    <mergeCell ref="AA78208:AA78209"/>
    <mergeCell ref="AA78354:AA78355"/>
    <mergeCell ref="AA78500:AA78501"/>
    <mergeCell ref="AA78646:AA78647"/>
    <mergeCell ref="AA78792:AA78793"/>
    <mergeCell ref="AA78938:AA78939"/>
    <mergeCell ref="AA79084:AA79085"/>
    <mergeCell ref="AA79230:AA79231"/>
    <mergeCell ref="AA79376:AA79377"/>
    <mergeCell ref="AA79522:AA79523"/>
    <mergeCell ref="AA79668:AA79669"/>
    <mergeCell ref="AA79814:AA79815"/>
    <mergeCell ref="AA79960:AA79961"/>
    <mergeCell ref="AA80106:AA80107"/>
    <mergeCell ref="AA80252:AA80253"/>
    <mergeCell ref="AA80398:AA80399"/>
    <mergeCell ref="AA80544:AA80545"/>
    <mergeCell ref="AA80690:AA80691"/>
    <mergeCell ref="AA80836:AA80837"/>
    <mergeCell ref="AA80982:AA80983"/>
    <mergeCell ref="AA81128:AA81129"/>
    <mergeCell ref="AA81274:AA81275"/>
    <mergeCell ref="AA81420:AA81421"/>
    <mergeCell ref="AA81566:AA81567"/>
    <mergeCell ref="AA81712:AA81713"/>
    <mergeCell ref="AA81858:AA81859"/>
    <mergeCell ref="AA82004:AA82005"/>
    <mergeCell ref="AA82150:AA82151"/>
    <mergeCell ref="AA82296:AA82297"/>
    <mergeCell ref="AA82442:AA82443"/>
    <mergeCell ref="AA82588:AA82589"/>
    <mergeCell ref="AA82734:AA82735"/>
    <mergeCell ref="AA82880:AA82881"/>
    <mergeCell ref="AA83026:AA83027"/>
    <mergeCell ref="AA83172:AA83173"/>
    <mergeCell ref="AA83318:AA83319"/>
    <mergeCell ref="AA83464:AA83465"/>
    <mergeCell ref="AA83610:AA83611"/>
    <mergeCell ref="AA83756:AA83757"/>
    <mergeCell ref="AA83902:AA83903"/>
    <mergeCell ref="AA84048:AA84049"/>
    <mergeCell ref="AA84194:AA84195"/>
    <mergeCell ref="AA84340:AA84341"/>
    <mergeCell ref="AA84486:AA84487"/>
    <mergeCell ref="AA84632:AA84633"/>
    <mergeCell ref="AA84778:AA84779"/>
    <mergeCell ref="AA84924:AA84925"/>
    <mergeCell ref="AA85070:AA85071"/>
    <mergeCell ref="AA85216:AA85217"/>
    <mergeCell ref="AA85362:AA85363"/>
    <mergeCell ref="AA85508:AA85509"/>
    <mergeCell ref="AA85654:AA85655"/>
    <mergeCell ref="AA85800:AA85801"/>
    <mergeCell ref="AA85946:AA85947"/>
    <mergeCell ref="AA86092:AA86093"/>
    <mergeCell ref="AA86238:AA86239"/>
    <mergeCell ref="AA86384:AA86385"/>
    <mergeCell ref="AA86530:AA86531"/>
    <mergeCell ref="AA86676:AA86677"/>
    <mergeCell ref="AA86822:AA86823"/>
    <mergeCell ref="AA86968:AA86969"/>
    <mergeCell ref="AA87114:AA87115"/>
    <mergeCell ref="AA87260:AA87261"/>
    <mergeCell ref="AA87406:AA87407"/>
    <mergeCell ref="AA87552:AA87553"/>
    <mergeCell ref="AA87698:AA87699"/>
    <mergeCell ref="AA87844:AA87845"/>
    <mergeCell ref="AA87990:AA87991"/>
    <mergeCell ref="AA88136:AA88137"/>
    <mergeCell ref="AA88282:AA88283"/>
    <mergeCell ref="AA88428:AA88429"/>
    <mergeCell ref="AA88574:AA88575"/>
    <mergeCell ref="AA88720:AA88721"/>
    <mergeCell ref="AA88866:AA88867"/>
    <mergeCell ref="AA89012:AA89013"/>
    <mergeCell ref="AA89158:AA89159"/>
    <mergeCell ref="AA89304:AA89305"/>
    <mergeCell ref="AA89450:AA89451"/>
    <mergeCell ref="AA89596:AA89597"/>
    <mergeCell ref="AA89742:AA89743"/>
    <mergeCell ref="AA89888:AA89889"/>
    <mergeCell ref="AA90034:AA90035"/>
    <mergeCell ref="AA90180:AA90181"/>
    <mergeCell ref="AA90326:AA90327"/>
    <mergeCell ref="AA90472:AA90473"/>
    <mergeCell ref="AA90618:AA90619"/>
    <mergeCell ref="AA90764:AA90765"/>
    <mergeCell ref="AA90910:AA90911"/>
    <mergeCell ref="AA91056:AA91057"/>
    <mergeCell ref="AA91202:AA91203"/>
    <mergeCell ref="AA91348:AA91349"/>
    <mergeCell ref="AA91494:AA91495"/>
    <mergeCell ref="AA91640:AA91641"/>
    <mergeCell ref="AA91786:AA91787"/>
    <mergeCell ref="AA91932:AA91933"/>
    <mergeCell ref="AA92078:AA92079"/>
    <mergeCell ref="AA92224:AA92225"/>
    <mergeCell ref="AA92370:AA92371"/>
    <mergeCell ref="AA92516:AA92517"/>
    <mergeCell ref="AA92662:AA92663"/>
    <mergeCell ref="AA92808:AA92809"/>
    <mergeCell ref="AA92954:AA92955"/>
    <mergeCell ref="AA93100:AA93101"/>
    <mergeCell ref="AA93246:AA93247"/>
    <mergeCell ref="AA93392:AA93393"/>
    <mergeCell ref="AA93538:AA93539"/>
    <mergeCell ref="AA93684:AA93685"/>
    <mergeCell ref="AA93830:AA93831"/>
    <mergeCell ref="AA93976:AA93977"/>
    <mergeCell ref="AA94122:AA94123"/>
    <mergeCell ref="AA94268:AA94269"/>
    <mergeCell ref="AA94414:AA94415"/>
    <mergeCell ref="AA94560:AA94561"/>
    <mergeCell ref="AA94706:AA94707"/>
    <mergeCell ref="AA94852:AA94853"/>
    <mergeCell ref="AA94998:AA94999"/>
    <mergeCell ref="AA95144:AA95145"/>
    <mergeCell ref="AA95290:AA95291"/>
    <mergeCell ref="AA95436:AA95437"/>
    <mergeCell ref="AA95582:AA95583"/>
    <mergeCell ref="AA95728:AA95729"/>
    <mergeCell ref="AA95874:AA95875"/>
    <mergeCell ref="AA96020:AA96021"/>
    <mergeCell ref="AA96166:AA96167"/>
    <mergeCell ref="AA96312:AA96313"/>
    <mergeCell ref="AA96458:AA96459"/>
    <mergeCell ref="AA96604:AA96605"/>
    <mergeCell ref="AA96750:AA96751"/>
    <mergeCell ref="AA96896:AA96897"/>
    <mergeCell ref="AA97042:AA97043"/>
    <mergeCell ref="AA97188:AA97189"/>
    <mergeCell ref="AA97334:AA97335"/>
    <mergeCell ref="AA97480:AA97481"/>
    <mergeCell ref="AA97626:AA97627"/>
    <mergeCell ref="AA97772:AA97773"/>
    <mergeCell ref="AA97918:AA97919"/>
    <mergeCell ref="AA98064:AA98065"/>
    <mergeCell ref="AA98210:AA98211"/>
    <mergeCell ref="AA98356:AA98357"/>
    <mergeCell ref="AA98502:AA98503"/>
    <mergeCell ref="AA98648:AA98649"/>
    <mergeCell ref="AA98794:AA98795"/>
    <mergeCell ref="AA98940:AA98941"/>
    <mergeCell ref="AA99086:AA99087"/>
    <mergeCell ref="AA99232:AA99233"/>
    <mergeCell ref="AA99378:AA99379"/>
    <mergeCell ref="AA99524:AA99525"/>
    <mergeCell ref="AA99670:AA99671"/>
    <mergeCell ref="AA99816:AA99817"/>
    <mergeCell ref="AA99962:AA99963"/>
    <mergeCell ref="AA100108:AA100109"/>
    <mergeCell ref="AA100254:AA100255"/>
    <mergeCell ref="AA100400:AA100401"/>
    <mergeCell ref="AA100546:AA100547"/>
    <mergeCell ref="AA100692:AA100693"/>
    <mergeCell ref="AA100838:AA100839"/>
    <mergeCell ref="AA100984:AA100985"/>
    <mergeCell ref="AA101130:AA101131"/>
    <mergeCell ref="AA101276:AA101277"/>
    <mergeCell ref="AA101422:AA101423"/>
    <mergeCell ref="AA101568:AA101569"/>
    <mergeCell ref="AA101714:AA101715"/>
    <mergeCell ref="AA101860:AA101861"/>
    <mergeCell ref="AA102006:AA102007"/>
    <mergeCell ref="AA102152:AA102153"/>
    <mergeCell ref="AA102298:AA102299"/>
    <mergeCell ref="AA102444:AA102445"/>
    <mergeCell ref="AA102590:AA102591"/>
    <mergeCell ref="AA102736:AA102737"/>
    <mergeCell ref="AA102882:AA102883"/>
    <mergeCell ref="AA103028:AA103029"/>
    <mergeCell ref="AA103174:AA103175"/>
    <mergeCell ref="AA103320:AA103321"/>
    <mergeCell ref="AA103466:AA103467"/>
    <mergeCell ref="AA103612:AA103613"/>
    <mergeCell ref="AA103758:AA103759"/>
    <mergeCell ref="AA103904:AA103905"/>
    <mergeCell ref="AA104050:AA104051"/>
    <mergeCell ref="AA104196:AA104197"/>
    <mergeCell ref="AA104342:AA104343"/>
    <mergeCell ref="AA104488:AA104489"/>
    <mergeCell ref="AA104634:AA104635"/>
    <mergeCell ref="AA104780:AA104781"/>
    <mergeCell ref="AA104926:AA104927"/>
    <mergeCell ref="AA105072:AA105073"/>
    <mergeCell ref="AA105218:AA105219"/>
    <mergeCell ref="AA105364:AA105365"/>
    <mergeCell ref="AA105510:AA105511"/>
    <mergeCell ref="AA105656:AA105657"/>
    <mergeCell ref="AA105802:AA105803"/>
    <mergeCell ref="AA105948:AA105949"/>
    <mergeCell ref="AA106094:AA106095"/>
    <mergeCell ref="AA106240:AA106241"/>
    <mergeCell ref="AA106386:AA106387"/>
    <mergeCell ref="AA106532:AA106533"/>
    <mergeCell ref="AA106678:AA106679"/>
    <mergeCell ref="AA106824:AA106825"/>
    <mergeCell ref="AA106970:AA106971"/>
    <mergeCell ref="AA107116:AA107117"/>
    <mergeCell ref="AA107262:AA107263"/>
    <mergeCell ref="AA107408:AA107409"/>
    <mergeCell ref="AA107554:AA107555"/>
    <mergeCell ref="AA107700:AA107701"/>
    <mergeCell ref="AA107846:AA107847"/>
    <mergeCell ref="AA107992:AA107993"/>
    <mergeCell ref="AA108138:AA108139"/>
    <mergeCell ref="AA108284:AA108285"/>
    <mergeCell ref="AA108430:AA108431"/>
    <mergeCell ref="AA108576:AA108577"/>
    <mergeCell ref="AA108722:AA108723"/>
    <mergeCell ref="AA108868:AA108869"/>
    <mergeCell ref="AA109014:AA109015"/>
    <mergeCell ref="AA109160:AA109161"/>
    <mergeCell ref="AA109306:AA109307"/>
    <mergeCell ref="AA109452:AA109453"/>
    <mergeCell ref="AA109598:AA109599"/>
    <mergeCell ref="AA109744:AA109745"/>
    <mergeCell ref="AA109890:AA109891"/>
    <mergeCell ref="AA110036:AA110037"/>
    <mergeCell ref="AA110182:AA110183"/>
    <mergeCell ref="AA110328:AA110329"/>
    <mergeCell ref="AA110474:AA110475"/>
    <mergeCell ref="AA110620:AA110621"/>
    <mergeCell ref="AA110766:AA110767"/>
    <mergeCell ref="AA110912:AA110913"/>
    <mergeCell ref="AA111058:AA111059"/>
    <mergeCell ref="AA111204:AA111205"/>
    <mergeCell ref="AA111350:AA111351"/>
    <mergeCell ref="AA111496:AA111497"/>
    <mergeCell ref="AA111642:AA111643"/>
    <mergeCell ref="AA111788:AA111789"/>
    <mergeCell ref="AA111934:AA111935"/>
    <mergeCell ref="AA112080:AA112081"/>
    <mergeCell ref="AA112226:AA112227"/>
    <mergeCell ref="AA112372:AA112373"/>
    <mergeCell ref="AA112518:AA112519"/>
    <mergeCell ref="AA112664:AA112665"/>
    <mergeCell ref="AA112810:AA112811"/>
    <mergeCell ref="AA112956:AA112957"/>
    <mergeCell ref="AA113102:AA113103"/>
    <mergeCell ref="AA113248:AA113249"/>
    <mergeCell ref="AA113394:AA113395"/>
    <mergeCell ref="AA113540:AA113541"/>
    <mergeCell ref="AA113686:AA113687"/>
    <mergeCell ref="AA113832:AA113833"/>
    <mergeCell ref="AA113978:AA113979"/>
    <mergeCell ref="AA114124:AA114125"/>
    <mergeCell ref="AA114270:AA114271"/>
    <mergeCell ref="AA114416:AA114417"/>
    <mergeCell ref="AA114562:AA114563"/>
    <mergeCell ref="AA114708:AA114709"/>
    <mergeCell ref="AA114854:AA114855"/>
    <mergeCell ref="AA115000:AA115001"/>
    <mergeCell ref="AA115146:AA115147"/>
    <mergeCell ref="AA115292:AA115293"/>
    <mergeCell ref="AA115438:AA115439"/>
    <mergeCell ref="AA115584:AA115585"/>
    <mergeCell ref="AA115730:AA115731"/>
    <mergeCell ref="AA115876:AA115877"/>
    <mergeCell ref="AA116022:AA116023"/>
    <mergeCell ref="AA116168:AA116169"/>
    <mergeCell ref="AA116314:AA116315"/>
    <mergeCell ref="AA116460:AA116461"/>
    <mergeCell ref="AA116606:AA116607"/>
    <mergeCell ref="AA116752:AA116753"/>
    <mergeCell ref="AA116898:AA116899"/>
    <mergeCell ref="AA117044:AA117045"/>
    <mergeCell ref="AA117190:AA117191"/>
    <mergeCell ref="AA117336:AA117337"/>
    <mergeCell ref="AA117482:AA117483"/>
    <mergeCell ref="AA117628:AA117629"/>
    <mergeCell ref="AA117774:AA117775"/>
    <mergeCell ref="AA117920:AA117921"/>
    <mergeCell ref="AA118066:AA118067"/>
    <mergeCell ref="AA118212:AA118213"/>
    <mergeCell ref="AA118358:AA118359"/>
    <mergeCell ref="AA118504:AA118505"/>
    <mergeCell ref="AA118650:AA118651"/>
    <mergeCell ref="AA118796:AA118797"/>
    <mergeCell ref="AA118942:AA118943"/>
    <mergeCell ref="AA119088:AA119089"/>
    <mergeCell ref="AA119234:AA119235"/>
    <mergeCell ref="AA119380:AA119381"/>
    <mergeCell ref="AA119526:AA119527"/>
    <mergeCell ref="AA119672:AA119673"/>
    <mergeCell ref="AA119818:AA119819"/>
    <mergeCell ref="AA119964:AA119965"/>
    <mergeCell ref="AA120110:AA120111"/>
    <mergeCell ref="AA120256:AA120257"/>
    <mergeCell ref="AA120402:AA120403"/>
    <mergeCell ref="AA120548:AA120549"/>
    <mergeCell ref="AA120694:AA120695"/>
    <mergeCell ref="AA120840:AA120841"/>
    <mergeCell ref="AA120986:AA120987"/>
    <mergeCell ref="AA121132:AA121133"/>
    <mergeCell ref="AA121278:AA121279"/>
    <mergeCell ref="AA121424:AA121425"/>
    <mergeCell ref="AA121570:AA121571"/>
    <mergeCell ref="AA121716:AA121717"/>
    <mergeCell ref="AA121862:AA121863"/>
    <mergeCell ref="AA122008:AA122009"/>
    <mergeCell ref="AA122154:AA122155"/>
    <mergeCell ref="AA122300:AA122301"/>
    <mergeCell ref="AA122446:AA122447"/>
    <mergeCell ref="AA122592:AA122593"/>
    <mergeCell ref="AA122738:AA122739"/>
    <mergeCell ref="AA122884:AA122885"/>
    <mergeCell ref="AA123030:AA123031"/>
    <mergeCell ref="AA123176:AA123177"/>
    <mergeCell ref="AA123322:AA123323"/>
    <mergeCell ref="AA123468:AA123469"/>
    <mergeCell ref="AA123614:AA123615"/>
    <mergeCell ref="AA123760:AA123761"/>
    <mergeCell ref="AA123906:AA123907"/>
    <mergeCell ref="AA124052:AA124053"/>
    <mergeCell ref="AA124198:AA124199"/>
    <mergeCell ref="AA124344:AA124345"/>
    <mergeCell ref="AA124490:AA124491"/>
    <mergeCell ref="AA124636:AA124637"/>
    <mergeCell ref="AA124782:AA124783"/>
    <mergeCell ref="AA124928:AA124929"/>
    <mergeCell ref="AA125074:AA125075"/>
    <mergeCell ref="AA125220:AA125221"/>
    <mergeCell ref="AA125366:AA125367"/>
    <mergeCell ref="AA125512:AA125513"/>
    <mergeCell ref="AA125658:AA125659"/>
    <mergeCell ref="AA125804:AA125805"/>
    <mergeCell ref="AA125950:AA125951"/>
    <mergeCell ref="AA126096:AA126097"/>
    <mergeCell ref="AA126242:AA126243"/>
    <mergeCell ref="AA126388:AA126389"/>
    <mergeCell ref="AA126534:AA126535"/>
    <mergeCell ref="AA126680:AA126681"/>
    <mergeCell ref="AA126826:AA126827"/>
    <mergeCell ref="AA126972:AA126973"/>
    <mergeCell ref="AA127118:AA127119"/>
    <mergeCell ref="AA127264:AA127265"/>
    <mergeCell ref="AA127410:AA127411"/>
    <mergeCell ref="AA127556:AA127557"/>
    <mergeCell ref="AA127702:AA127703"/>
    <mergeCell ref="AA127848:AA127849"/>
    <mergeCell ref="AA127994:AA127995"/>
    <mergeCell ref="AA128140:AA128141"/>
    <mergeCell ref="AA128286:AA128287"/>
    <mergeCell ref="AA128432:AA128433"/>
    <mergeCell ref="AA128578:AA128579"/>
    <mergeCell ref="AA128724:AA128725"/>
    <mergeCell ref="AA128870:AA128871"/>
    <mergeCell ref="AA129016:AA129017"/>
    <mergeCell ref="AA129162:AA129163"/>
    <mergeCell ref="AA129308:AA129309"/>
    <mergeCell ref="AA129454:AA129455"/>
    <mergeCell ref="AA129600:AA129601"/>
    <mergeCell ref="AA129746:AA129747"/>
    <mergeCell ref="AA129892:AA129893"/>
    <mergeCell ref="AA130038:AA130039"/>
    <mergeCell ref="AA130184:AA130185"/>
    <mergeCell ref="AA130330:AA130331"/>
    <mergeCell ref="AA130476:AA130477"/>
    <mergeCell ref="AA130622:AA130623"/>
    <mergeCell ref="AA130768:AA130769"/>
    <mergeCell ref="AA130914:AA130915"/>
    <mergeCell ref="AA131060:AA131061"/>
    <mergeCell ref="AA131206:AA131207"/>
    <mergeCell ref="AA131352:AA131353"/>
    <mergeCell ref="AA131498:AA131499"/>
    <mergeCell ref="AA131644:AA131645"/>
    <mergeCell ref="AA131790:AA131791"/>
    <mergeCell ref="AA131936:AA131937"/>
    <mergeCell ref="AA132082:AA132083"/>
    <mergeCell ref="AA132228:AA132229"/>
    <mergeCell ref="AA132374:AA132375"/>
    <mergeCell ref="AA132520:AA132521"/>
    <mergeCell ref="AA132666:AA132667"/>
    <mergeCell ref="AA132812:AA132813"/>
    <mergeCell ref="AA132958:AA132959"/>
    <mergeCell ref="AA133104:AA133105"/>
    <mergeCell ref="AA133250:AA133251"/>
    <mergeCell ref="AA133396:AA133397"/>
    <mergeCell ref="AA133542:AA133543"/>
    <mergeCell ref="AA133688:AA133689"/>
    <mergeCell ref="AA133834:AA133835"/>
    <mergeCell ref="AA133980:AA133981"/>
    <mergeCell ref="AA134126:AA134127"/>
    <mergeCell ref="AA134272:AA134273"/>
    <mergeCell ref="AA134418:AA134419"/>
    <mergeCell ref="AA134564:AA134565"/>
    <mergeCell ref="AA134710:AA134711"/>
    <mergeCell ref="AA134856:AA134857"/>
    <mergeCell ref="AA135002:AA135003"/>
    <mergeCell ref="AA135148:AA135149"/>
    <mergeCell ref="AA135294:AA135295"/>
    <mergeCell ref="AA135440:AA135441"/>
    <mergeCell ref="AA135586:AA135587"/>
    <mergeCell ref="AA135732:AA135733"/>
    <mergeCell ref="AA135878:AA135879"/>
    <mergeCell ref="AA136024:AA136025"/>
    <mergeCell ref="AA136170:AA136171"/>
    <mergeCell ref="AA136316:AA136317"/>
    <mergeCell ref="AA136462:AA136463"/>
    <mergeCell ref="AA136608:AA136609"/>
    <mergeCell ref="AA136754:AA136755"/>
    <mergeCell ref="AA136900:AA136901"/>
    <mergeCell ref="AA137046:AA137047"/>
    <mergeCell ref="AA137192:AA137193"/>
    <mergeCell ref="AA137338:AA137339"/>
    <mergeCell ref="AA137484:AA137485"/>
    <mergeCell ref="AA137630:AA137631"/>
    <mergeCell ref="AA137776:AA137777"/>
    <mergeCell ref="AA137922:AA137923"/>
    <mergeCell ref="AA138068:AA138069"/>
    <mergeCell ref="AA138214:AA138215"/>
    <mergeCell ref="AA138360:AA138361"/>
    <mergeCell ref="AA138506:AA138507"/>
    <mergeCell ref="AA138652:AA138653"/>
    <mergeCell ref="AA138798:AA138799"/>
    <mergeCell ref="AA138944:AA138945"/>
    <mergeCell ref="AA139090:AA139091"/>
    <mergeCell ref="AA139236:AA139237"/>
    <mergeCell ref="AA139382:AA139383"/>
    <mergeCell ref="AA139528:AA139529"/>
    <mergeCell ref="AA139674:AA139675"/>
    <mergeCell ref="AA139820:AA139821"/>
    <mergeCell ref="AA139966:AA139967"/>
    <mergeCell ref="AA140112:AA140113"/>
    <mergeCell ref="AA140258:AA140259"/>
    <mergeCell ref="AA140404:AA140405"/>
    <mergeCell ref="AA140550:AA140551"/>
    <mergeCell ref="AA140696:AA140697"/>
    <mergeCell ref="AA140842:AA140843"/>
    <mergeCell ref="AA140988:AA140989"/>
    <mergeCell ref="AA141134:AA141135"/>
    <mergeCell ref="AA141280:AA141281"/>
    <mergeCell ref="AA141426:AA141427"/>
    <mergeCell ref="AA141572:AA141573"/>
    <mergeCell ref="AA141718:AA141719"/>
    <mergeCell ref="AA141864:AA141865"/>
    <mergeCell ref="AA142010:AA142011"/>
    <mergeCell ref="AA142156:AA142157"/>
    <mergeCell ref="AA142302:AA142303"/>
    <mergeCell ref="AA142448:AA142449"/>
    <mergeCell ref="AA142594:AA142595"/>
    <mergeCell ref="AA142740:AA142741"/>
    <mergeCell ref="AA142886:AA142887"/>
    <mergeCell ref="AA143032:AA143033"/>
    <mergeCell ref="AA143178:AA143179"/>
    <mergeCell ref="AA143324:AA143325"/>
    <mergeCell ref="AA143470:AA143471"/>
    <mergeCell ref="AA143616:AA143617"/>
    <mergeCell ref="AA143762:AA143763"/>
    <mergeCell ref="AA143908:AA143909"/>
    <mergeCell ref="AA144054:AA144055"/>
    <mergeCell ref="AA144200:AA144201"/>
    <mergeCell ref="AA144346:AA144347"/>
    <mergeCell ref="AA144492:AA144493"/>
    <mergeCell ref="AA144638:AA144639"/>
    <mergeCell ref="AA144784:AA144785"/>
    <mergeCell ref="AA144930:AA144931"/>
    <mergeCell ref="AA145076:AA145077"/>
    <mergeCell ref="AA145222:AA145223"/>
    <mergeCell ref="AA145368:AA145369"/>
    <mergeCell ref="AA145514:AA145515"/>
    <mergeCell ref="AA145660:AA145661"/>
    <mergeCell ref="AA145806:AA145807"/>
    <mergeCell ref="AA145952:AA145953"/>
    <mergeCell ref="AA146098:AA146099"/>
    <mergeCell ref="AA146244:AA146245"/>
    <mergeCell ref="AA146390:AA146391"/>
    <mergeCell ref="AA146536:AA146537"/>
    <mergeCell ref="AA146682:AA146683"/>
    <mergeCell ref="AA146828:AA146829"/>
    <mergeCell ref="AA146974:AA146975"/>
    <mergeCell ref="AA147120:AA147121"/>
    <mergeCell ref="AA147266:AA147267"/>
    <mergeCell ref="AA147412:AA147413"/>
    <mergeCell ref="AA147558:AA147559"/>
    <mergeCell ref="AA147704:AA147705"/>
    <mergeCell ref="AA147850:AA147851"/>
    <mergeCell ref="AA147996:AA147997"/>
    <mergeCell ref="AA148142:AA148143"/>
    <mergeCell ref="AA148288:AA148289"/>
    <mergeCell ref="AA148434:AA148435"/>
    <mergeCell ref="AA148580:AA148581"/>
    <mergeCell ref="AA148726:AA148727"/>
    <mergeCell ref="AA148872:AA148873"/>
    <mergeCell ref="AA149018:AA149019"/>
    <mergeCell ref="AA149164:AA149165"/>
    <mergeCell ref="AA149310:AA149311"/>
    <mergeCell ref="AA149456:AA149457"/>
    <mergeCell ref="AA149602:AA149603"/>
    <mergeCell ref="AA149748:AA149749"/>
    <mergeCell ref="AA149894:AA149895"/>
    <mergeCell ref="AA150040:AA150041"/>
    <mergeCell ref="AA150186:AA150187"/>
    <mergeCell ref="AA150332:AA150333"/>
    <mergeCell ref="AA150478:AA150479"/>
    <mergeCell ref="AA150624:AA150625"/>
    <mergeCell ref="AA150770:AA150771"/>
    <mergeCell ref="AA150916:AA150917"/>
    <mergeCell ref="AA151062:AA151063"/>
    <mergeCell ref="AA151208:AA151209"/>
    <mergeCell ref="AA151354:AA151355"/>
    <mergeCell ref="AA151500:AA151501"/>
    <mergeCell ref="AA151646:AA151647"/>
    <mergeCell ref="AA151792:AA151793"/>
    <mergeCell ref="AA151938:AA151939"/>
    <mergeCell ref="AA152084:AA152085"/>
    <mergeCell ref="AA152230:AA152231"/>
    <mergeCell ref="AA152376:AA152377"/>
    <mergeCell ref="AA152522:AA152523"/>
    <mergeCell ref="AA152668:AA152669"/>
    <mergeCell ref="AA152814:AA152815"/>
    <mergeCell ref="AA152960:AA152961"/>
    <mergeCell ref="AA153106:AA153107"/>
    <mergeCell ref="AA153252:AA153253"/>
    <mergeCell ref="AA153398:AA153399"/>
    <mergeCell ref="AA153544:AA153545"/>
    <mergeCell ref="AA153690:AA153691"/>
    <mergeCell ref="AA153836:AA153837"/>
    <mergeCell ref="AA153982:AA153983"/>
    <mergeCell ref="AA154128:AA154129"/>
    <mergeCell ref="AA154274:AA154275"/>
    <mergeCell ref="AA154420:AA154421"/>
    <mergeCell ref="AA154566:AA154567"/>
    <mergeCell ref="AA154712:AA154713"/>
    <mergeCell ref="AA154858:AA154859"/>
    <mergeCell ref="AA155004:AA155005"/>
    <mergeCell ref="AA155150:AA155151"/>
    <mergeCell ref="AA155296:AA155297"/>
    <mergeCell ref="AA155442:AA155443"/>
    <mergeCell ref="AA155588:AA155589"/>
    <mergeCell ref="AA155734:AA155735"/>
    <mergeCell ref="AA155880:AA155881"/>
    <mergeCell ref="AA156026:AA156027"/>
    <mergeCell ref="AA156172:AA156173"/>
    <mergeCell ref="AA156318:AA156319"/>
    <mergeCell ref="AA156464:AA156465"/>
    <mergeCell ref="AA156610:AA156611"/>
    <mergeCell ref="AA156756:AA156757"/>
    <mergeCell ref="AA156902:AA156903"/>
    <mergeCell ref="AA157048:AA157049"/>
    <mergeCell ref="AA157194:AA157195"/>
    <mergeCell ref="AA157340:AA157341"/>
    <mergeCell ref="AA157486:AA157487"/>
    <mergeCell ref="AA157632:AA157633"/>
    <mergeCell ref="AA157778:AA157779"/>
    <mergeCell ref="AA157924:AA157925"/>
    <mergeCell ref="AA158070:AA158071"/>
    <mergeCell ref="AA158216:AA158217"/>
    <mergeCell ref="AA158362:AA158363"/>
    <mergeCell ref="AA158508:AA158509"/>
    <mergeCell ref="AA158654:AA158655"/>
    <mergeCell ref="AA158800:AA158801"/>
    <mergeCell ref="AA158946:AA158947"/>
    <mergeCell ref="AA159092:AA159093"/>
    <mergeCell ref="AA159238:AA159239"/>
    <mergeCell ref="AA159384:AA159385"/>
    <mergeCell ref="AA159530:AA159531"/>
    <mergeCell ref="AA159676:AA159677"/>
    <mergeCell ref="AA159822:AA159823"/>
    <mergeCell ref="AA159968:AA159969"/>
    <mergeCell ref="AA160114:AA160115"/>
    <mergeCell ref="AA160260:AA160261"/>
    <mergeCell ref="AA160406:AA160407"/>
    <mergeCell ref="AA160552:AA160553"/>
    <mergeCell ref="AA160698:AA160699"/>
    <mergeCell ref="AA160844:AA160845"/>
    <mergeCell ref="AA160990:AA160991"/>
    <mergeCell ref="AA161136:AA161137"/>
    <mergeCell ref="AA161282:AA161283"/>
    <mergeCell ref="AA161428:AA161429"/>
    <mergeCell ref="AA161574:AA161575"/>
    <mergeCell ref="AA161720:AA161721"/>
    <mergeCell ref="AA161866:AA161867"/>
    <mergeCell ref="AA162012:AA162013"/>
    <mergeCell ref="AA162158:AA162159"/>
    <mergeCell ref="AA162304:AA162305"/>
    <mergeCell ref="AA162450:AA162451"/>
    <mergeCell ref="AA162596:AA162597"/>
    <mergeCell ref="AA162742:AA162743"/>
    <mergeCell ref="AA162888:AA162889"/>
    <mergeCell ref="AA163034:AA163035"/>
    <mergeCell ref="AA163180:AA163181"/>
    <mergeCell ref="AA163326:AA163327"/>
    <mergeCell ref="AA163472:AA163473"/>
    <mergeCell ref="AA163618:AA163619"/>
    <mergeCell ref="AA163764:AA163765"/>
    <mergeCell ref="AA163910:AA163911"/>
    <mergeCell ref="AA164056:AA164057"/>
    <mergeCell ref="AA164202:AA164203"/>
    <mergeCell ref="AA164348:AA164349"/>
    <mergeCell ref="AA164494:AA164495"/>
    <mergeCell ref="AA164640:AA164641"/>
    <mergeCell ref="AA164786:AA164787"/>
    <mergeCell ref="AA164932:AA164933"/>
    <mergeCell ref="AA165078:AA165079"/>
    <mergeCell ref="AA165224:AA165225"/>
    <mergeCell ref="AA165370:AA165371"/>
    <mergeCell ref="AA165516:AA165517"/>
    <mergeCell ref="AA165662:AA165663"/>
    <mergeCell ref="AA165808:AA165809"/>
    <mergeCell ref="AA165954:AA165955"/>
    <mergeCell ref="AA166100:AA166101"/>
    <mergeCell ref="AA166246:AA166247"/>
    <mergeCell ref="AA166392:AA166393"/>
    <mergeCell ref="AA166538:AA166539"/>
    <mergeCell ref="AA166684:AA166685"/>
    <mergeCell ref="AA166830:AA166831"/>
    <mergeCell ref="AA166976:AA166977"/>
    <mergeCell ref="AA167122:AA167123"/>
    <mergeCell ref="AA167268:AA167269"/>
    <mergeCell ref="AA167414:AA167415"/>
    <mergeCell ref="AA167560:AA167561"/>
    <mergeCell ref="AA167706:AA167707"/>
    <mergeCell ref="AA167852:AA167853"/>
    <mergeCell ref="AA167998:AA167999"/>
    <mergeCell ref="AA168144:AA168145"/>
    <mergeCell ref="AA168290:AA168291"/>
    <mergeCell ref="AA168436:AA168437"/>
    <mergeCell ref="AA168582:AA168583"/>
    <mergeCell ref="AA168728:AA168729"/>
    <mergeCell ref="AA168874:AA168875"/>
    <mergeCell ref="AA169020:AA169021"/>
    <mergeCell ref="AA169166:AA169167"/>
    <mergeCell ref="AA169312:AA169313"/>
    <mergeCell ref="AA169458:AA169459"/>
    <mergeCell ref="AA169604:AA169605"/>
    <mergeCell ref="AA169750:AA169751"/>
    <mergeCell ref="AA169896:AA169897"/>
    <mergeCell ref="AA170042:AA170043"/>
    <mergeCell ref="AA170188:AA170189"/>
    <mergeCell ref="AA170334:AA170335"/>
    <mergeCell ref="AA170480:AA170481"/>
    <mergeCell ref="AA170626:AA170627"/>
    <mergeCell ref="AA170772:AA170773"/>
    <mergeCell ref="AA170918:AA170919"/>
    <mergeCell ref="AA171064:AA171065"/>
    <mergeCell ref="AA171210:AA171211"/>
    <mergeCell ref="AA171356:AA171357"/>
    <mergeCell ref="AA171502:AA171503"/>
    <mergeCell ref="AA171648:AA171649"/>
    <mergeCell ref="AA171794:AA171795"/>
    <mergeCell ref="AA171940:AA171941"/>
    <mergeCell ref="AA172086:AA172087"/>
    <mergeCell ref="AA172232:AA172233"/>
    <mergeCell ref="AA172378:AA172379"/>
    <mergeCell ref="AA172524:AA172525"/>
    <mergeCell ref="AA172670:AA172671"/>
    <mergeCell ref="AA172816:AA172817"/>
    <mergeCell ref="AA172962:AA172963"/>
    <mergeCell ref="AA173108:AA173109"/>
    <mergeCell ref="AA173254:AA173255"/>
    <mergeCell ref="AA173400:AA173401"/>
    <mergeCell ref="AA173546:AA173547"/>
    <mergeCell ref="AA173692:AA173693"/>
    <mergeCell ref="AA173838:AA173839"/>
    <mergeCell ref="AA173984:AA173985"/>
    <mergeCell ref="AA174130:AA174131"/>
    <mergeCell ref="AA174276:AA174277"/>
    <mergeCell ref="AA174422:AA174423"/>
    <mergeCell ref="AA174568:AA174569"/>
    <mergeCell ref="AA174714:AA174715"/>
    <mergeCell ref="AA174860:AA174861"/>
    <mergeCell ref="AA175006:AA175007"/>
    <mergeCell ref="AA175152:AA175153"/>
    <mergeCell ref="AA175298:AA175299"/>
    <mergeCell ref="AA175444:AA175445"/>
    <mergeCell ref="AA175590:AA175591"/>
    <mergeCell ref="AA175736:AA175737"/>
    <mergeCell ref="AA175882:AA175883"/>
    <mergeCell ref="AA176028:AA176029"/>
    <mergeCell ref="AA176174:AA176175"/>
    <mergeCell ref="AA176320:AA176321"/>
    <mergeCell ref="AA176466:AA176467"/>
    <mergeCell ref="AA176612:AA176613"/>
    <mergeCell ref="AA176758:AA176759"/>
    <mergeCell ref="AA176904:AA176905"/>
    <mergeCell ref="AA177050:AA177051"/>
    <mergeCell ref="AA177196:AA177197"/>
    <mergeCell ref="AA177342:AA177343"/>
    <mergeCell ref="AA177488:AA177489"/>
    <mergeCell ref="AA177634:AA177635"/>
    <mergeCell ref="AA177780:AA177781"/>
    <mergeCell ref="AA177926:AA177927"/>
    <mergeCell ref="AA178072:AA178073"/>
    <mergeCell ref="AA178218:AA178219"/>
    <mergeCell ref="AA178364:AA178365"/>
    <mergeCell ref="AA178510:AA178511"/>
    <mergeCell ref="AA178656:AA178657"/>
    <mergeCell ref="AA178802:AA178803"/>
    <mergeCell ref="AA178948:AA178949"/>
    <mergeCell ref="AA179094:AA179095"/>
    <mergeCell ref="AA179240:AA179241"/>
    <mergeCell ref="AA179386:AA179387"/>
    <mergeCell ref="AA179532:AA179533"/>
    <mergeCell ref="AA179678:AA179679"/>
    <mergeCell ref="AA179824:AA179825"/>
    <mergeCell ref="AA179970:AA179971"/>
    <mergeCell ref="AA180116:AA180117"/>
    <mergeCell ref="AA180262:AA180263"/>
    <mergeCell ref="AA180408:AA180409"/>
    <mergeCell ref="AA180554:AA180555"/>
    <mergeCell ref="AA180700:AA180701"/>
    <mergeCell ref="AA180846:AA180847"/>
    <mergeCell ref="AA180992:AA180993"/>
    <mergeCell ref="AA181138:AA181139"/>
    <mergeCell ref="AA181284:AA181285"/>
    <mergeCell ref="AA181430:AA181431"/>
    <mergeCell ref="AA181576:AA181577"/>
    <mergeCell ref="AA181722:AA181723"/>
    <mergeCell ref="AA181868:AA181869"/>
    <mergeCell ref="AA182014:AA182015"/>
    <mergeCell ref="AA182160:AA182161"/>
    <mergeCell ref="AA182306:AA182307"/>
    <mergeCell ref="AA182452:AA182453"/>
    <mergeCell ref="AA182598:AA182599"/>
    <mergeCell ref="AA182744:AA182745"/>
    <mergeCell ref="AA182890:AA182891"/>
    <mergeCell ref="AA183036:AA183037"/>
    <mergeCell ref="AA183182:AA183183"/>
    <mergeCell ref="AA183328:AA183329"/>
    <mergeCell ref="AA183474:AA183475"/>
    <mergeCell ref="AA183620:AA183621"/>
    <mergeCell ref="AA183766:AA183767"/>
    <mergeCell ref="AA183912:AA183913"/>
    <mergeCell ref="AA184058:AA184059"/>
    <mergeCell ref="AA184204:AA184205"/>
    <mergeCell ref="AA184350:AA184351"/>
    <mergeCell ref="AA184496:AA184497"/>
    <mergeCell ref="AA184642:AA184643"/>
    <mergeCell ref="AA184788:AA184789"/>
    <mergeCell ref="AA184934:AA184935"/>
    <mergeCell ref="AA185080:AA185081"/>
    <mergeCell ref="AA185226:AA185227"/>
    <mergeCell ref="AA185372:AA185373"/>
    <mergeCell ref="AA185518:AA185519"/>
    <mergeCell ref="AA185664:AA185665"/>
    <mergeCell ref="AA185810:AA185811"/>
    <mergeCell ref="AA185956:AA185957"/>
    <mergeCell ref="AA186102:AA186103"/>
    <mergeCell ref="AA186248:AA186249"/>
    <mergeCell ref="AA186394:AA186395"/>
    <mergeCell ref="AA186540:AA186541"/>
    <mergeCell ref="AA186686:AA186687"/>
    <mergeCell ref="AA186832:AA186833"/>
    <mergeCell ref="AA186978:AA186979"/>
    <mergeCell ref="AA187124:AA187125"/>
    <mergeCell ref="AA187270:AA187271"/>
    <mergeCell ref="AA187416:AA187417"/>
    <mergeCell ref="AA187562:AA187563"/>
    <mergeCell ref="AA187708:AA187709"/>
    <mergeCell ref="AA187854:AA187855"/>
    <mergeCell ref="AA188000:AA188001"/>
    <mergeCell ref="AA188146:AA188147"/>
    <mergeCell ref="AA188292:AA188293"/>
    <mergeCell ref="AA188438:AA188439"/>
    <mergeCell ref="AA188584:AA188585"/>
    <mergeCell ref="AA188730:AA188731"/>
    <mergeCell ref="AA188876:AA188877"/>
    <mergeCell ref="AA189022:AA189023"/>
    <mergeCell ref="AA189168:AA189169"/>
    <mergeCell ref="AA189314:AA189315"/>
    <mergeCell ref="AA189460:AA189461"/>
    <mergeCell ref="AA189606:AA189607"/>
    <mergeCell ref="AA189752:AA189753"/>
    <mergeCell ref="AA189898:AA189899"/>
    <mergeCell ref="AA190044:AA190045"/>
    <mergeCell ref="AA190190:AA190191"/>
    <mergeCell ref="AA190336:AA190337"/>
    <mergeCell ref="AA190482:AA190483"/>
    <mergeCell ref="AA190628:AA190629"/>
    <mergeCell ref="AA190774:AA190775"/>
    <mergeCell ref="AA190920:AA190921"/>
    <mergeCell ref="AA191066:AA191067"/>
    <mergeCell ref="AA191212:AA191213"/>
    <mergeCell ref="AA191358:AA191359"/>
    <mergeCell ref="AA191504:AA191505"/>
    <mergeCell ref="AA191650:AA191651"/>
    <mergeCell ref="AA191796:AA191797"/>
    <mergeCell ref="AA191942:AA191943"/>
    <mergeCell ref="AA192088:AA192089"/>
    <mergeCell ref="AA192234:AA192235"/>
    <mergeCell ref="AA192380:AA192381"/>
    <mergeCell ref="AA192526:AA192527"/>
    <mergeCell ref="AA192672:AA192673"/>
    <mergeCell ref="AA192818:AA192819"/>
    <mergeCell ref="AA192964:AA192965"/>
    <mergeCell ref="AA193110:AA193111"/>
    <mergeCell ref="AA193256:AA193257"/>
    <mergeCell ref="AA193402:AA193403"/>
    <mergeCell ref="AA193548:AA193549"/>
    <mergeCell ref="AA193694:AA193695"/>
    <mergeCell ref="AA193840:AA193841"/>
    <mergeCell ref="AA193986:AA193987"/>
    <mergeCell ref="AA194132:AA194133"/>
    <mergeCell ref="AA194278:AA194279"/>
    <mergeCell ref="AA194424:AA194425"/>
    <mergeCell ref="AA194570:AA194571"/>
    <mergeCell ref="AA194716:AA194717"/>
    <mergeCell ref="AA194862:AA194863"/>
    <mergeCell ref="AA195008:AA195009"/>
    <mergeCell ref="AA195154:AA195155"/>
    <mergeCell ref="AA195300:AA195301"/>
    <mergeCell ref="AA195446:AA195447"/>
    <mergeCell ref="AA195592:AA195593"/>
    <mergeCell ref="AA195738:AA195739"/>
    <mergeCell ref="AA195884:AA195885"/>
    <mergeCell ref="AA196030:AA196031"/>
    <mergeCell ref="AA196176:AA196177"/>
    <mergeCell ref="AA196322:AA196323"/>
    <mergeCell ref="AA196468:AA196469"/>
    <mergeCell ref="AA196614:AA196615"/>
    <mergeCell ref="AA196760:AA196761"/>
    <mergeCell ref="AA196906:AA196907"/>
    <mergeCell ref="AA197052:AA197053"/>
    <mergeCell ref="AA197198:AA197199"/>
    <mergeCell ref="AA197344:AA197345"/>
    <mergeCell ref="AA197490:AA197491"/>
    <mergeCell ref="AA197636:AA197637"/>
    <mergeCell ref="AA197782:AA197783"/>
    <mergeCell ref="AA197928:AA197929"/>
    <mergeCell ref="AA198074:AA198075"/>
    <mergeCell ref="AA198220:AA198221"/>
    <mergeCell ref="AA198366:AA198367"/>
    <mergeCell ref="AA198512:AA198513"/>
    <mergeCell ref="AA198658:AA198659"/>
    <mergeCell ref="AA198804:AA198805"/>
    <mergeCell ref="AA198950:AA198951"/>
    <mergeCell ref="AA199096:AA199097"/>
    <mergeCell ref="AA199242:AA199243"/>
    <mergeCell ref="AA199388:AA199389"/>
    <mergeCell ref="AA199534:AA199535"/>
    <mergeCell ref="AA199680:AA199681"/>
    <mergeCell ref="AA199826:AA199827"/>
    <mergeCell ref="AA199972:AA199973"/>
    <mergeCell ref="AA200118:AA200119"/>
    <mergeCell ref="AA200264:AA200265"/>
    <mergeCell ref="AA200410:AA200411"/>
    <mergeCell ref="AA200556:AA200557"/>
    <mergeCell ref="AA200702:AA200703"/>
    <mergeCell ref="AA200848:AA200849"/>
    <mergeCell ref="AA200994:AA200995"/>
    <mergeCell ref="AA201140:AA201141"/>
    <mergeCell ref="AA201286:AA201287"/>
    <mergeCell ref="AA201432:AA201433"/>
    <mergeCell ref="AA201578:AA201579"/>
    <mergeCell ref="AA201724:AA201725"/>
    <mergeCell ref="AA201870:AA201871"/>
    <mergeCell ref="AA202016:AA202017"/>
    <mergeCell ref="AA202162:AA202163"/>
    <mergeCell ref="AA202308:AA202309"/>
    <mergeCell ref="AA202454:AA202455"/>
    <mergeCell ref="AA202600:AA202601"/>
    <mergeCell ref="AA202746:AA202747"/>
    <mergeCell ref="AA202892:AA202893"/>
    <mergeCell ref="AA203038:AA203039"/>
    <mergeCell ref="AA203184:AA203185"/>
    <mergeCell ref="AA203330:AA203331"/>
    <mergeCell ref="AA203476:AA203477"/>
    <mergeCell ref="AA203622:AA203623"/>
    <mergeCell ref="AA203768:AA203769"/>
    <mergeCell ref="AA203914:AA203915"/>
    <mergeCell ref="AA204060:AA204061"/>
    <mergeCell ref="AA204206:AA204207"/>
    <mergeCell ref="AA204352:AA204353"/>
    <mergeCell ref="AA204498:AA204499"/>
    <mergeCell ref="AA204644:AA204645"/>
    <mergeCell ref="AA204790:AA204791"/>
    <mergeCell ref="AA204936:AA204937"/>
    <mergeCell ref="AA205082:AA205083"/>
    <mergeCell ref="AA205228:AA205229"/>
    <mergeCell ref="AA205374:AA205375"/>
    <mergeCell ref="AA205520:AA205521"/>
    <mergeCell ref="AA205666:AA205667"/>
    <mergeCell ref="AA205812:AA205813"/>
    <mergeCell ref="AA205958:AA205959"/>
    <mergeCell ref="AA206104:AA206105"/>
    <mergeCell ref="AA206250:AA206251"/>
    <mergeCell ref="AA206396:AA206397"/>
    <mergeCell ref="AA206542:AA206543"/>
    <mergeCell ref="AA206688:AA206689"/>
    <mergeCell ref="AA206834:AA206835"/>
    <mergeCell ref="AA206980:AA206981"/>
    <mergeCell ref="AA207126:AA207127"/>
    <mergeCell ref="AA207272:AA207273"/>
    <mergeCell ref="AA207418:AA207419"/>
    <mergeCell ref="AA207564:AA207565"/>
    <mergeCell ref="AA207710:AA207711"/>
    <mergeCell ref="AA207856:AA207857"/>
    <mergeCell ref="AA208002:AA208003"/>
    <mergeCell ref="AA208148:AA208149"/>
    <mergeCell ref="AA208294:AA208295"/>
    <mergeCell ref="AA208440:AA208441"/>
    <mergeCell ref="AA208586:AA208587"/>
    <mergeCell ref="AA208732:AA208733"/>
    <mergeCell ref="AA208878:AA208879"/>
    <mergeCell ref="AA209024:AA209025"/>
    <mergeCell ref="AA209170:AA209171"/>
    <mergeCell ref="AA209316:AA209317"/>
    <mergeCell ref="AA209462:AA209463"/>
    <mergeCell ref="AA209608:AA209609"/>
    <mergeCell ref="AA209754:AA209755"/>
    <mergeCell ref="AA209900:AA209901"/>
    <mergeCell ref="AA210046:AA210047"/>
    <mergeCell ref="AA210192:AA210193"/>
    <mergeCell ref="AA210338:AA210339"/>
    <mergeCell ref="AA210484:AA210485"/>
    <mergeCell ref="AA210630:AA210631"/>
    <mergeCell ref="AA210776:AA210777"/>
    <mergeCell ref="AA210922:AA210923"/>
    <mergeCell ref="AA211068:AA211069"/>
    <mergeCell ref="AA211214:AA211215"/>
    <mergeCell ref="AA211360:AA211361"/>
    <mergeCell ref="AA211506:AA211507"/>
    <mergeCell ref="AA211652:AA211653"/>
    <mergeCell ref="AA211798:AA211799"/>
    <mergeCell ref="AA211944:AA211945"/>
    <mergeCell ref="AA212090:AA212091"/>
    <mergeCell ref="AA212236:AA212237"/>
    <mergeCell ref="AA212382:AA212383"/>
    <mergeCell ref="AA212528:AA212529"/>
    <mergeCell ref="AA212674:AA212675"/>
    <mergeCell ref="AA212820:AA212821"/>
    <mergeCell ref="AA212966:AA212967"/>
    <mergeCell ref="AA213112:AA213113"/>
    <mergeCell ref="AA213258:AA213259"/>
    <mergeCell ref="AA213404:AA213405"/>
    <mergeCell ref="AA213550:AA213551"/>
    <mergeCell ref="AA213696:AA213697"/>
    <mergeCell ref="AA213842:AA213843"/>
    <mergeCell ref="AA213988:AA213989"/>
    <mergeCell ref="AA214134:AA214135"/>
    <mergeCell ref="AA214280:AA214281"/>
    <mergeCell ref="AA214426:AA214427"/>
    <mergeCell ref="AA214572:AA214573"/>
    <mergeCell ref="AA214718:AA214719"/>
    <mergeCell ref="AA214864:AA214865"/>
    <mergeCell ref="AA215010:AA215011"/>
    <mergeCell ref="AA215156:AA215157"/>
    <mergeCell ref="AA215302:AA215303"/>
    <mergeCell ref="AA215448:AA215449"/>
    <mergeCell ref="AA215594:AA215595"/>
    <mergeCell ref="AA215740:AA215741"/>
    <mergeCell ref="AA215886:AA215887"/>
    <mergeCell ref="AA216032:AA216033"/>
    <mergeCell ref="AA216178:AA216179"/>
    <mergeCell ref="AA216324:AA216325"/>
    <mergeCell ref="AA216470:AA216471"/>
    <mergeCell ref="AA216616:AA216617"/>
    <mergeCell ref="AA216762:AA216763"/>
    <mergeCell ref="AA216908:AA216909"/>
    <mergeCell ref="AA217054:AA217055"/>
    <mergeCell ref="AA217200:AA217201"/>
    <mergeCell ref="AA217346:AA217347"/>
    <mergeCell ref="AA217492:AA217493"/>
    <mergeCell ref="AA217638:AA217639"/>
    <mergeCell ref="AA217784:AA217785"/>
    <mergeCell ref="AA217930:AA217931"/>
    <mergeCell ref="AA218076:AA218077"/>
    <mergeCell ref="AA218222:AA218223"/>
    <mergeCell ref="AA218368:AA218369"/>
    <mergeCell ref="AA218514:AA218515"/>
    <mergeCell ref="AA218660:AA218661"/>
    <mergeCell ref="AA218806:AA218807"/>
    <mergeCell ref="AA218952:AA218953"/>
    <mergeCell ref="AA219098:AA219099"/>
    <mergeCell ref="AA219244:AA219245"/>
    <mergeCell ref="AA219390:AA219391"/>
    <mergeCell ref="AA219536:AA219537"/>
    <mergeCell ref="AA219682:AA219683"/>
    <mergeCell ref="AA219828:AA219829"/>
    <mergeCell ref="AA219974:AA219975"/>
    <mergeCell ref="AA220120:AA220121"/>
    <mergeCell ref="AA220266:AA220267"/>
    <mergeCell ref="AA220412:AA220413"/>
    <mergeCell ref="AA220558:AA220559"/>
    <mergeCell ref="AA220704:AA220705"/>
    <mergeCell ref="AA220850:AA220851"/>
    <mergeCell ref="AA220996:AA220997"/>
    <mergeCell ref="AA221142:AA221143"/>
    <mergeCell ref="AA221288:AA221289"/>
    <mergeCell ref="AA221434:AA221435"/>
    <mergeCell ref="AA221580:AA221581"/>
    <mergeCell ref="AA221726:AA221727"/>
    <mergeCell ref="AA221872:AA221873"/>
    <mergeCell ref="AA222018:AA222019"/>
    <mergeCell ref="AA222164:AA222165"/>
    <mergeCell ref="AA222310:AA222311"/>
    <mergeCell ref="AA222456:AA222457"/>
    <mergeCell ref="AA222602:AA222603"/>
    <mergeCell ref="AA222748:AA222749"/>
    <mergeCell ref="AA222894:AA222895"/>
    <mergeCell ref="AA223040:AA223041"/>
    <mergeCell ref="AA223186:AA223187"/>
    <mergeCell ref="AA223332:AA223333"/>
    <mergeCell ref="AA223478:AA223479"/>
    <mergeCell ref="AA223624:AA223625"/>
    <mergeCell ref="AA223770:AA223771"/>
    <mergeCell ref="AA223916:AA223917"/>
    <mergeCell ref="AA224062:AA224063"/>
    <mergeCell ref="AA224208:AA224209"/>
    <mergeCell ref="AA224354:AA224355"/>
    <mergeCell ref="AA224500:AA224501"/>
    <mergeCell ref="AA224646:AA224647"/>
    <mergeCell ref="AA224792:AA224793"/>
    <mergeCell ref="AA224938:AA224939"/>
    <mergeCell ref="AA225084:AA225085"/>
    <mergeCell ref="AA225230:AA225231"/>
    <mergeCell ref="AA225376:AA225377"/>
    <mergeCell ref="AA225522:AA225523"/>
    <mergeCell ref="AA225668:AA225669"/>
    <mergeCell ref="AA225814:AA225815"/>
    <mergeCell ref="AA225960:AA225961"/>
    <mergeCell ref="AA226106:AA226107"/>
    <mergeCell ref="AA226252:AA226253"/>
    <mergeCell ref="AA226398:AA226399"/>
    <mergeCell ref="AA226544:AA226545"/>
    <mergeCell ref="AA226690:AA226691"/>
    <mergeCell ref="AA226836:AA226837"/>
    <mergeCell ref="AA226982:AA226983"/>
    <mergeCell ref="AA227128:AA227129"/>
    <mergeCell ref="AA227274:AA227275"/>
    <mergeCell ref="AA227420:AA227421"/>
    <mergeCell ref="AA227566:AA227567"/>
    <mergeCell ref="AA227712:AA227713"/>
    <mergeCell ref="AA227858:AA227859"/>
    <mergeCell ref="AA228004:AA228005"/>
    <mergeCell ref="AA228150:AA228151"/>
    <mergeCell ref="AA228296:AA228297"/>
    <mergeCell ref="AA228442:AA228443"/>
    <mergeCell ref="AA228588:AA228589"/>
    <mergeCell ref="AA228734:AA228735"/>
    <mergeCell ref="AA228880:AA228881"/>
    <mergeCell ref="AA229026:AA229027"/>
    <mergeCell ref="AA229172:AA229173"/>
    <mergeCell ref="AA229318:AA229319"/>
    <mergeCell ref="AA229464:AA229465"/>
    <mergeCell ref="AA229610:AA229611"/>
    <mergeCell ref="AA229756:AA229757"/>
    <mergeCell ref="AA229902:AA229903"/>
    <mergeCell ref="AA230048:AA230049"/>
    <mergeCell ref="AA230194:AA230195"/>
    <mergeCell ref="AA230340:AA230341"/>
    <mergeCell ref="AA230486:AA230487"/>
    <mergeCell ref="AA230632:AA230633"/>
    <mergeCell ref="AA230778:AA230779"/>
    <mergeCell ref="AA230924:AA230925"/>
    <mergeCell ref="AA231070:AA231071"/>
    <mergeCell ref="AA231216:AA231217"/>
    <mergeCell ref="AA231362:AA231363"/>
    <mergeCell ref="AA231508:AA231509"/>
    <mergeCell ref="AA231654:AA231655"/>
    <mergeCell ref="AA231800:AA231801"/>
    <mergeCell ref="AA231946:AA231947"/>
    <mergeCell ref="AA232092:AA232093"/>
    <mergeCell ref="AA232238:AA232239"/>
    <mergeCell ref="AA232384:AA232385"/>
    <mergeCell ref="AA232530:AA232531"/>
    <mergeCell ref="AA232676:AA232677"/>
    <mergeCell ref="AA232822:AA232823"/>
    <mergeCell ref="AA232968:AA232969"/>
    <mergeCell ref="AA233114:AA233115"/>
    <mergeCell ref="AA233260:AA233261"/>
    <mergeCell ref="AA233406:AA233407"/>
    <mergeCell ref="AA233552:AA233553"/>
    <mergeCell ref="AA233698:AA233699"/>
    <mergeCell ref="AA233844:AA233845"/>
    <mergeCell ref="AA233990:AA233991"/>
    <mergeCell ref="AA234136:AA234137"/>
    <mergeCell ref="AA234282:AA234283"/>
    <mergeCell ref="AA234428:AA234429"/>
    <mergeCell ref="AA234574:AA234575"/>
    <mergeCell ref="AA234720:AA234721"/>
    <mergeCell ref="AA234866:AA234867"/>
    <mergeCell ref="AA235012:AA235013"/>
    <mergeCell ref="AA235158:AA235159"/>
    <mergeCell ref="AA235304:AA235305"/>
    <mergeCell ref="AA235450:AA235451"/>
    <mergeCell ref="AA235596:AA235597"/>
    <mergeCell ref="AA235742:AA235743"/>
    <mergeCell ref="AA235888:AA235889"/>
    <mergeCell ref="AA236034:AA236035"/>
    <mergeCell ref="AA236180:AA236181"/>
    <mergeCell ref="AA236326:AA236327"/>
    <mergeCell ref="AA236472:AA236473"/>
    <mergeCell ref="AA236618:AA236619"/>
    <mergeCell ref="AA236764:AA236765"/>
    <mergeCell ref="AA236910:AA236911"/>
    <mergeCell ref="AA237056:AA237057"/>
    <mergeCell ref="AA237202:AA237203"/>
    <mergeCell ref="AA237348:AA237349"/>
    <mergeCell ref="AA237494:AA237495"/>
    <mergeCell ref="AA237640:AA237641"/>
    <mergeCell ref="AA237786:AA237787"/>
    <mergeCell ref="AA237932:AA237933"/>
    <mergeCell ref="AA238078:AA238079"/>
    <mergeCell ref="AA238224:AA238225"/>
    <mergeCell ref="AA238370:AA238371"/>
    <mergeCell ref="AA238516:AA238517"/>
    <mergeCell ref="AA238662:AA238663"/>
    <mergeCell ref="AA238808:AA238809"/>
    <mergeCell ref="AA238954:AA238955"/>
    <mergeCell ref="AA239100:AA239101"/>
    <mergeCell ref="AA239246:AA239247"/>
    <mergeCell ref="AA239392:AA239393"/>
    <mergeCell ref="AA239538:AA239539"/>
    <mergeCell ref="AA239684:AA239685"/>
    <mergeCell ref="AA239830:AA239831"/>
    <mergeCell ref="AA239976:AA239977"/>
    <mergeCell ref="AA240122:AA240123"/>
    <mergeCell ref="AA240268:AA240269"/>
    <mergeCell ref="AA240414:AA240415"/>
    <mergeCell ref="AA240560:AA240561"/>
    <mergeCell ref="AA240706:AA240707"/>
    <mergeCell ref="AA240852:AA240853"/>
    <mergeCell ref="AA240998:AA240999"/>
    <mergeCell ref="AA241144:AA241145"/>
    <mergeCell ref="AA241290:AA241291"/>
    <mergeCell ref="AA241436:AA241437"/>
    <mergeCell ref="AA241582:AA241583"/>
    <mergeCell ref="AA241728:AA241729"/>
    <mergeCell ref="AA241874:AA241875"/>
    <mergeCell ref="AA242020:AA242021"/>
    <mergeCell ref="AA242166:AA242167"/>
    <mergeCell ref="AA242312:AA242313"/>
    <mergeCell ref="AA242458:AA242459"/>
    <mergeCell ref="AA242604:AA242605"/>
    <mergeCell ref="AA242750:AA242751"/>
    <mergeCell ref="AA242896:AA242897"/>
    <mergeCell ref="AA243042:AA243043"/>
    <mergeCell ref="AA243188:AA243189"/>
    <mergeCell ref="AA243334:AA243335"/>
    <mergeCell ref="AA243480:AA243481"/>
    <mergeCell ref="AA243626:AA243627"/>
    <mergeCell ref="AA243772:AA243773"/>
    <mergeCell ref="AA243918:AA243919"/>
    <mergeCell ref="AA244064:AA244065"/>
    <mergeCell ref="AA244210:AA244211"/>
    <mergeCell ref="AA244356:AA244357"/>
    <mergeCell ref="AA244502:AA244503"/>
    <mergeCell ref="AA244648:AA244649"/>
    <mergeCell ref="AA244794:AA244795"/>
    <mergeCell ref="AA244940:AA244941"/>
    <mergeCell ref="AA245086:AA245087"/>
    <mergeCell ref="AA245232:AA245233"/>
    <mergeCell ref="AA245378:AA245379"/>
    <mergeCell ref="AA245524:AA245525"/>
    <mergeCell ref="AA245670:AA245671"/>
    <mergeCell ref="AA245816:AA245817"/>
    <mergeCell ref="AA245962:AA245963"/>
    <mergeCell ref="AA246108:AA246109"/>
    <mergeCell ref="AA246254:AA246255"/>
    <mergeCell ref="AA246400:AA246401"/>
    <mergeCell ref="AA246546:AA246547"/>
    <mergeCell ref="AA246692:AA246693"/>
    <mergeCell ref="AA246838:AA246839"/>
    <mergeCell ref="AA246984:AA246985"/>
    <mergeCell ref="AA247130:AA247131"/>
    <mergeCell ref="AA247276:AA247277"/>
    <mergeCell ref="AA247422:AA247423"/>
    <mergeCell ref="AA247568:AA247569"/>
    <mergeCell ref="AA247714:AA247715"/>
    <mergeCell ref="AA247860:AA247861"/>
    <mergeCell ref="AA248006:AA248007"/>
    <mergeCell ref="AA248152:AA248153"/>
    <mergeCell ref="AA248298:AA248299"/>
    <mergeCell ref="AA248444:AA248445"/>
    <mergeCell ref="AA248590:AA248591"/>
    <mergeCell ref="AA248736:AA248737"/>
    <mergeCell ref="AA248882:AA248883"/>
    <mergeCell ref="AA249028:AA249029"/>
    <mergeCell ref="AA249174:AA249175"/>
    <mergeCell ref="AA249320:AA249321"/>
    <mergeCell ref="AA249466:AA249467"/>
    <mergeCell ref="AA249612:AA249613"/>
    <mergeCell ref="AA249758:AA249759"/>
    <mergeCell ref="AA249904:AA249905"/>
    <mergeCell ref="AA250050:AA250051"/>
    <mergeCell ref="AA250196:AA250197"/>
    <mergeCell ref="AA250342:AA250343"/>
    <mergeCell ref="AA250488:AA250489"/>
    <mergeCell ref="AA250634:AA250635"/>
    <mergeCell ref="AA250780:AA250781"/>
    <mergeCell ref="AA250926:AA250927"/>
    <mergeCell ref="AA251072:AA251073"/>
    <mergeCell ref="AA251218:AA251219"/>
    <mergeCell ref="AA251364:AA251365"/>
    <mergeCell ref="AA251510:AA251511"/>
    <mergeCell ref="AA251656:AA251657"/>
    <mergeCell ref="AA251802:AA251803"/>
    <mergeCell ref="AA251948:AA251949"/>
    <mergeCell ref="AA252094:AA252095"/>
    <mergeCell ref="AA252240:AA252241"/>
    <mergeCell ref="AA252386:AA252387"/>
    <mergeCell ref="AA252532:AA252533"/>
    <mergeCell ref="AA252678:AA252679"/>
    <mergeCell ref="AA252824:AA252825"/>
    <mergeCell ref="AA252970:AA252971"/>
    <mergeCell ref="AA253116:AA253117"/>
    <mergeCell ref="AA253262:AA253263"/>
    <mergeCell ref="AA253408:AA253409"/>
    <mergeCell ref="AA253554:AA253555"/>
    <mergeCell ref="AA253700:AA253701"/>
    <mergeCell ref="AA253846:AA253847"/>
    <mergeCell ref="AA253992:AA253993"/>
    <mergeCell ref="AA254138:AA254139"/>
    <mergeCell ref="AA254284:AA254285"/>
    <mergeCell ref="AA254430:AA254431"/>
    <mergeCell ref="AA254576:AA254577"/>
    <mergeCell ref="AA254722:AA254723"/>
    <mergeCell ref="AA254868:AA254869"/>
    <mergeCell ref="AA255014:AA255015"/>
    <mergeCell ref="AA255160:AA255161"/>
    <mergeCell ref="AA255306:AA255307"/>
    <mergeCell ref="AA255452:AA255453"/>
    <mergeCell ref="AA255598:AA255599"/>
    <mergeCell ref="AA255744:AA255745"/>
    <mergeCell ref="AA255890:AA255891"/>
    <mergeCell ref="AA256036:AA256037"/>
    <mergeCell ref="AA256182:AA256183"/>
    <mergeCell ref="AA256328:AA256329"/>
    <mergeCell ref="AA256474:AA256475"/>
    <mergeCell ref="AA256620:AA256621"/>
    <mergeCell ref="AA256766:AA256767"/>
    <mergeCell ref="AA256912:AA256913"/>
    <mergeCell ref="AA257058:AA257059"/>
    <mergeCell ref="AA257204:AA257205"/>
    <mergeCell ref="AA257350:AA257351"/>
    <mergeCell ref="AA257496:AA257497"/>
    <mergeCell ref="AA257642:AA257643"/>
    <mergeCell ref="AA257788:AA257789"/>
    <mergeCell ref="AA257934:AA257935"/>
    <mergeCell ref="AA258080:AA258081"/>
    <mergeCell ref="AA258226:AA258227"/>
    <mergeCell ref="AA258372:AA258373"/>
    <mergeCell ref="AA258518:AA258519"/>
    <mergeCell ref="AA258664:AA258665"/>
    <mergeCell ref="AA258810:AA258811"/>
    <mergeCell ref="AA258956:AA258957"/>
    <mergeCell ref="AA259102:AA259103"/>
    <mergeCell ref="AA259248:AA259249"/>
    <mergeCell ref="AA259394:AA259395"/>
    <mergeCell ref="AA259540:AA259541"/>
    <mergeCell ref="AA259686:AA259687"/>
    <mergeCell ref="AA259832:AA259833"/>
    <mergeCell ref="AA259978:AA259979"/>
    <mergeCell ref="AA260124:AA260125"/>
    <mergeCell ref="AA260270:AA260271"/>
    <mergeCell ref="AA260416:AA260417"/>
    <mergeCell ref="AA260562:AA260563"/>
    <mergeCell ref="AA260708:AA260709"/>
    <mergeCell ref="AA260854:AA260855"/>
    <mergeCell ref="AA261000:AA261001"/>
    <mergeCell ref="AA261146:AA261147"/>
    <mergeCell ref="AA261292:AA261293"/>
    <mergeCell ref="AA261438:AA261439"/>
    <mergeCell ref="AA261584:AA261585"/>
    <mergeCell ref="AA261730:AA261731"/>
    <mergeCell ref="AA261876:AA261877"/>
    <mergeCell ref="AA262022:AA262023"/>
    <mergeCell ref="AA262168:AA262169"/>
    <mergeCell ref="AA262314:AA262315"/>
    <mergeCell ref="AA262460:AA262461"/>
    <mergeCell ref="AA262606:AA262607"/>
    <mergeCell ref="AA262752:AA262753"/>
    <mergeCell ref="AA262898:AA262899"/>
    <mergeCell ref="AA263044:AA263045"/>
    <mergeCell ref="AA263190:AA263191"/>
    <mergeCell ref="AA263336:AA263337"/>
    <mergeCell ref="AA263482:AA263483"/>
    <mergeCell ref="AA263628:AA263629"/>
    <mergeCell ref="AA263774:AA263775"/>
    <mergeCell ref="AA263920:AA263921"/>
    <mergeCell ref="AA264066:AA264067"/>
    <mergeCell ref="AA264212:AA264213"/>
    <mergeCell ref="AA264358:AA264359"/>
    <mergeCell ref="AA264504:AA264505"/>
    <mergeCell ref="AA264650:AA264651"/>
    <mergeCell ref="AA264796:AA264797"/>
    <mergeCell ref="AA264942:AA264943"/>
    <mergeCell ref="AA265088:AA265089"/>
    <mergeCell ref="AA265234:AA265235"/>
    <mergeCell ref="AA265380:AA265381"/>
    <mergeCell ref="AA265526:AA265527"/>
    <mergeCell ref="AA265672:AA265673"/>
    <mergeCell ref="AA265818:AA265819"/>
    <mergeCell ref="AA265964:AA265965"/>
    <mergeCell ref="AA266110:AA266111"/>
    <mergeCell ref="AA266256:AA266257"/>
    <mergeCell ref="AA266402:AA266403"/>
    <mergeCell ref="AA266548:AA266549"/>
    <mergeCell ref="AA266694:AA266695"/>
    <mergeCell ref="AA266840:AA266841"/>
    <mergeCell ref="AA266986:AA266987"/>
    <mergeCell ref="AA267132:AA267133"/>
    <mergeCell ref="AA267278:AA267279"/>
    <mergeCell ref="AA267424:AA267425"/>
    <mergeCell ref="AA267570:AA267571"/>
    <mergeCell ref="AA267716:AA267717"/>
    <mergeCell ref="AA267862:AA267863"/>
    <mergeCell ref="AA268008:AA268009"/>
    <mergeCell ref="AA268154:AA268155"/>
    <mergeCell ref="AA268300:AA268301"/>
    <mergeCell ref="AA268446:AA268447"/>
    <mergeCell ref="AA268592:AA268593"/>
    <mergeCell ref="AA268738:AA268739"/>
    <mergeCell ref="AA268884:AA268885"/>
    <mergeCell ref="AA269030:AA269031"/>
    <mergeCell ref="AA269176:AA269177"/>
    <mergeCell ref="AA269322:AA269323"/>
    <mergeCell ref="AA269468:AA269469"/>
    <mergeCell ref="AA269614:AA269615"/>
    <mergeCell ref="AA269760:AA269761"/>
    <mergeCell ref="AA269906:AA269907"/>
    <mergeCell ref="AA270052:AA270053"/>
    <mergeCell ref="AA270198:AA270199"/>
    <mergeCell ref="AA270344:AA270345"/>
    <mergeCell ref="AA270490:AA270491"/>
    <mergeCell ref="AA270636:AA270637"/>
    <mergeCell ref="AA270782:AA270783"/>
    <mergeCell ref="AA270928:AA270929"/>
    <mergeCell ref="AA271074:AA271075"/>
    <mergeCell ref="AA271220:AA271221"/>
    <mergeCell ref="AA271366:AA271367"/>
    <mergeCell ref="AA271512:AA271513"/>
    <mergeCell ref="AA271658:AA271659"/>
    <mergeCell ref="AA271804:AA271805"/>
    <mergeCell ref="AA271950:AA271951"/>
    <mergeCell ref="AA272096:AA272097"/>
    <mergeCell ref="AA272242:AA272243"/>
    <mergeCell ref="AA272388:AA272389"/>
    <mergeCell ref="AA272534:AA272535"/>
    <mergeCell ref="AA272680:AA272681"/>
    <mergeCell ref="AA272826:AA272827"/>
    <mergeCell ref="AA272972:AA272973"/>
    <mergeCell ref="AA273118:AA273119"/>
    <mergeCell ref="AA273264:AA273265"/>
    <mergeCell ref="AA273410:AA273411"/>
    <mergeCell ref="AA273556:AA273557"/>
    <mergeCell ref="AA273702:AA273703"/>
    <mergeCell ref="AA273848:AA273849"/>
    <mergeCell ref="AA273994:AA273995"/>
    <mergeCell ref="AA274140:AA274141"/>
    <mergeCell ref="AA274286:AA274287"/>
    <mergeCell ref="AA274432:AA274433"/>
    <mergeCell ref="AA274578:AA274579"/>
    <mergeCell ref="AA274724:AA274725"/>
    <mergeCell ref="AA274870:AA274871"/>
    <mergeCell ref="AA275016:AA275017"/>
    <mergeCell ref="AA275162:AA275163"/>
    <mergeCell ref="AA275308:AA275309"/>
    <mergeCell ref="AA275454:AA275455"/>
    <mergeCell ref="AA275600:AA275601"/>
    <mergeCell ref="AA275746:AA275747"/>
    <mergeCell ref="AA275892:AA275893"/>
    <mergeCell ref="AA276038:AA276039"/>
    <mergeCell ref="AA276184:AA276185"/>
    <mergeCell ref="AA276330:AA276331"/>
    <mergeCell ref="AA276476:AA276477"/>
    <mergeCell ref="AA276622:AA276623"/>
    <mergeCell ref="AA276768:AA276769"/>
    <mergeCell ref="AA276914:AA276915"/>
    <mergeCell ref="AA277060:AA277061"/>
    <mergeCell ref="AA277206:AA277207"/>
    <mergeCell ref="AA277352:AA277353"/>
    <mergeCell ref="AA277498:AA277499"/>
    <mergeCell ref="AA277644:AA277645"/>
    <mergeCell ref="AA277790:AA277791"/>
    <mergeCell ref="AA277936:AA277937"/>
    <mergeCell ref="AA278082:AA278083"/>
    <mergeCell ref="AA278228:AA278229"/>
    <mergeCell ref="AA278374:AA278375"/>
    <mergeCell ref="AA278520:AA278521"/>
    <mergeCell ref="AA278666:AA278667"/>
    <mergeCell ref="AA278812:AA278813"/>
    <mergeCell ref="AA278958:AA278959"/>
    <mergeCell ref="AA279104:AA279105"/>
    <mergeCell ref="AA279250:AA279251"/>
    <mergeCell ref="AA279396:AA279397"/>
    <mergeCell ref="AA279542:AA279543"/>
    <mergeCell ref="AA279688:AA279689"/>
    <mergeCell ref="AA279834:AA279835"/>
    <mergeCell ref="AA279980:AA279981"/>
    <mergeCell ref="AA280126:AA280127"/>
    <mergeCell ref="AA280272:AA280273"/>
    <mergeCell ref="AA280418:AA280419"/>
    <mergeCell ref="AA280564:AA280565"/>
    <mergeCell ref="AA280710:AA280711"/>
    <mergeCell ref="AA280856:AA280857"/>
    <mergeCell ref="AA281002:AA281003"/>
    <mergeCell ref="AA281148:AA281149"/>
    <mergeCell ref="AA281294:AA281295"/>
    <mergeCell ref="AA281440:AA281441"/>
    <mergeCell ref="AA281586:AA281587"/>
    <mergeCell ref="AA281732:AA281733"/>
    <mergeCell ref="AA281878:AA281879"/>
    <mergeCell ref="AA282024:AA282025"/>
    <mergeCell ref="AA282170:AA282171"/>
    <mergeCell ref="AA282316:AA282317"/>
    <mergeCell ref="AA282462:AA282463"/>
    <mergeCell ref="AA282608:AA282609"/>
    <mergeCell ref="AA282754:AA282755"/>
    <mergeCell ref="AA282900:AA282901"/>
    <mergeCell ref="AA283046:AA283047"/>
    <mergeCell ref="AA283192:AA283193"/>
    <mergeCell ref="AA283338:AA283339"/>
    <mergeCell ref="AA283484:AA283485"/>
    <mergeCell ref="AA283630:AA283631"/>
    <mergeCell ref="AA283776:AA283777"/>
    <mergeCell ref="AA283922:AA283923"/>
    <mergeCell ref="AA284068:AA284069"/>
    <mergeCell ref="AA284214:AA284215"/>
    <mergeCell ref="AA284360:AA284361"/>
    <mergeCell ref="AA284506:AA284507"/>
    <mergeCell ref="AA284652:AA284653"/>
    <mergeCell ref="AA284798:AA284799"/>
    <mergeCell ref="AA284944:AA284945"/>
    <mergeCell ref="AA285090:AA285091"/>
    <mergeCell ref="AA285236:AA285237"/>
    <mergeCell ref="AA285382:AA285383"/>
    <mergeCell ref="AA285528:AA285529"/>
    <mergeCell ref="AA285674:AA285675"/>
    <mergeCell ref="AA285820:AA285821"/>
    <mergeCell ref="AA285966:AA285967"/>
    <mergeCell ref="AA286112:AA286113"/>
    <mergeCell ref="AA286258:AA286259"/>
    <mergeCell ref="AA286404:AA286405"/>
    <mergeCell ref="AA286550:AA286551"/>
    <mergeCell ref="AA286696:AA286697"/>
    <mergeCell ref="AA286842:AA286843"/>
    <mergeCell ref="AA286988:AA286989"/>
    <mergeCell ref="AA287134:AA287135"/>
    <mergeCell ref="AA287280:AA287281"/>
    <mergeCell ref="AA287426:AA287427"/>
    <mergeCell ref="AA287572:AA287573"/>
    <mergeCell ref="AA287718:AA287719"/>
    <mergeCell ref="AA287864:AA287865"/>
    <mergeCell ref="AA288010:AA288011"/>
    <mergeCell ref="AA288156:AA288157"/>
    <mergeCell ref="AA288302:AA288303"/>
    <mergeCell ref="AA288448:AA288449"/>
    <mergeCell ref="AA288594:AA288595"/>
    <mergeCell ref="AA288740:AA288741"/>
    <mergeCell ref="AA288886:AA288887"/>
    <mergeCell ref="AA289032:AA289033"/>
    <mergeCell ref="AA289178:AA289179"/>
    <mergeCell ref="AA289324:AA289325"/>
    <mergeCell ref="AA289470:AA289471"/>
    <mergeCell ref="AA289616:AA289617"/>
    <mergeCell ref="AA289762:AA289763"/>
    <mergeCell ref="AA289908:AA289909"/>
    <mergeCell ref="AA290054:AA290055"/>
    <mergeCell ref="AA290200:AA290201"/>
    <mergeCell ref="AA290346:AA290347"/>
    <mergeCell ref="AA290492:AA290493"/>
    <mergeCell ref="AA290638:AA290639"/>
    <mergeCell ref="AA290784:AA290785"/>
    <mergeCell ref="AA290930:AA290931"/>
    <mergeCell ref="AA291076:AA291077"/>
    <mergeCell ref="AA291222:AA291223"/>
    <mergeCell ref="AA291368:AA291369"/>
    <mergeCell ref="AA291514:AA291515"/>
    <mergeCell ref="AA291660:AA291661"/>
    <mergeCell ref="AA291806:AA291807"/>
    <mergeCell ref="AA291952:AA291953"/>
    <mergeCell ref="AA292098:AA292099"/>
    <mergeCell ref="AA292244:AA292245"/>
    <mergeCell ref="AA292390:AA292391"/>
    <mergeCell ref="AA292536:AA292537"/>
    <mergeCell ref="AA292682:AA292683"/>
    <mergeCell ref="AA292828:AA292829"/>
    <mergeCell ref="AA292974:AA292975"/>
    <mergeCell ref="AA293120:AA293121"/>
    <mergeCell ref="AA293266:AA293267"/>
    <mergeCell ref="AA293412:AA293413"/>
    <mergeCell ref="AA293558:AA293559"/>
    <mergeCell ref="AA293704:AA293705"/>
    <mergeCell ref="AA293850:AA293851"/>
    <mergeCell ref="AA293996:AA293997"/>
    <mergeCell ref="AA294142:AA294143"/>
    <mergeCell ref="AA294288:AA294289"/>
    <mergeCell ref="AA294434:AA294435"/>
    <mergeCell ref="AA294580:AA294581"/>
    <mergeCell ref="AA294726:AA294727"/>
    <mergeCell ref="AA294872:AA294873"/>
    <mergeCell ref="AA295018:AA295019"/>
    <mergeCell ref="AA295164:AA295165"/>
    <mergeCell ref="AA295310:AA295311"/>
    <mergeCell ref="AA295456:AA295457"/>
    <mergeCell ref="AA295602:AA295603"/>
    <mergeCell ref="AA295748:AA295749"/>
    <mergeCell ref="AA295894:AA295895"/>
    <mergeCell ref="AA296040:AA296041"/>
    <mergeCell ref="AA296186:AA296187"/>
    <mergeCell ref="AA296332:AA296333"/>
    <mergeCell ref="AA296478:AA296479"/>
    <mergeCell ref="AA296624:AA296625"/>
    <mergeCell ref="AA296770:AA296771"/>
    <mergeCell ref="AA296916:AA296917"/>
    <mergeCell ref="AA297062:AA297063"/>
    <mergeCell ref="AA297208:AA297209"/>
    <mergeCell ref="AA297354:AA297355"/>
    <mergeCell ref="AA297500:AA297501"/>
    <mergeCell ref="AA297646:AA297647"/>
    <mergeCell ref="AA297792:AA297793"/>
    <mergeCell ref="AA297938:AA297939"/>
    <mergeCell ref="AA298084:AA298085"/>
    <mergeCell ref="AA298230:AA298231"/>
    <mergeCell ref="AA298376:AA298377"/>
    <mergeCell ref="AA298522:AA298523"/>
    <mergeCell ref="AA298668:AA298669"/>
    <mergeCell ref="AA298814:AA298815"/>
    <mergeCell ref="AA298960:AA298961"/>
    <mergeCell ref="AA299106:AA299107"/>
    <mergeCell ref="AA299252:AA299253"/>
    <mergeCell ref="AA299398:AA299399"/>
    <mergeCell ref="AA299544:AA299545"/>
    <mergeCell ref="AA299690:AA299691"/>
    <mergeCell ref="AA299836:AA299837"/>
    <mergeCell ref="AA299982:AA299983"/>
    <mergeCell ref="AA300128:AA300129"/>
    <mergeCell ref="AA300274:AA300275"/>
    <mergeCell ref="AA300420:AA300421"/>
    <mergeCell ref="AA300566:AA300567"/>
    <mergeCell ref="AA300712:AA300713"/>
    <mergeCell ref="AA300858:AA300859"/>
    <mergeCell ref="AA301004:AA301005"/>
    <mergeCell ref="AA301150:AA301151"/>
    <mergeCell ref="AA301296:AA301297"/>
    <mergeCell ref="AA301442:AA301443"/>
    <mergeCell ref="AA301588:AA301589"/>
    <mergeCell ref="AA301734:AA301735"/>
    <mergeCell ref="AA301880:AA301881"/>
    <mergeCell ref="AA302026:AA302027"/>
    <mergeCell ref="AA302172:AA302173"/>
    <mergeCell ref="AA302318:AA302319"/>
    <mergeCell ref="AA302464:AA302465"/>
    <mergeCell ref="AA302610:AA302611"/>
    <mergeCell ref="AA302756:AA302757"/>
    <mergeCell ref="AA302902:AA302903"/>
    <mergeCell ref="AA303048:AA303049"/>
    <mergeCell ref="AA303194:AA303195"/>
    <mergeCell ref="AA303340:AA303341"/>
    <mergeCell ref="AA303486:AA303487"/>
    <mergeCell ref="AA303632:AA303633"/>
    <mergeCell ref="AA303778:AA303779"/>
    <mergeCell ref="AA303924:AA303925"/>
    <mergeCell ref="AA304070:AA304071"/>
    <mergeCell ref="AA304216:AA304217"/>
    <mergeCell ref="AA304362:AA304363"/>
    <mergeCell ref="AA304508:AA304509"/>
    <mergeCell ref="AA304654:AA304655"/>
    <mergeCell ref="AA304800:AA304801"/>
    <mergeCell ref="AA304946:AA304947"/>
    <mergeCell ref="AA305092:AA305093"/>
    <mergeCell ref="AA305238:AA305239"/>
    <mergeCell ref="AA305384:AA305385"/>
    <mergeCell ref="AA305530:AA305531"/>
    <mergeCell ref="AA305676:AA305677"/>
    <mergeCell ref="AA305822:AA305823"/>
    <mergeCell ref="AA305968:AA305969"/>
    <mergeCell ref="AA306114:AA306115"/>
    <mergeCell ref="AA306260:AA306261"/>
    <mergeCell ref="AA306406:AA306407"/>
    <mergeCell ref="AA306552:AA306553"/>
    <mergeCell ref="AA306698:AA306699"/>
    <mergeCell ref="AA306844:AA306845"/>
    <mergeCell ref="AA306990:AA306991"/>
    <mergeCell ref="AA307136:AA307137"/>
    <mergeCell ref="AA307282:AA307283"/>
    <mergeCell ref="AA307428:AA307429"/>
    <mergeCell ref="AA307574:AA307575"/>
    <mergeCell ref="AA307720:AA307721"/>
    <mergeCell ref="AA307866:AA307867"/>
    <mergeCell ref="AA308012:AA308013"/>
    <mergeCell ref="AA308158:AA308159"/>
    <mergeCell ref="AA308304:AA308305"/>
    <mergeCell ref="AA308450:AA308451"/>
    <mergeCell ref="AA308596:AA308597"/>
    <mergeCell ref="AA308742:AA308743"/>
    <mergeCell ref="AA308888:AA308889"/>
    <mergeCell ref="AA309034:AA309035"/>
    <mergeCell ref="AA309180:AA309181"/>
    <mergeCell ref="AA309326:AA309327"/>
    <mergeCell ref="AA309472:AA309473"/>
    <mergeCell ref="AA309618:AA309619"/>
    <mergeCell ref="AA309764:AA309765"/>
    <mergeCell ref="AA309910:AA309911"/>
    <mergeCell ref="AA310056:AA310057"/>
    <mergeCell ref="AA310202:AA310203"/>
    <mergeCell ref="AA310348:AA310349"/>
    <mergeCell ref="AA310494:AA310495"/>
    <mergeCell ref="AA310640:AA310641"/>
    <mergeCell ref="AA310786:AA310787"/>
    <mergeCell ref="AA310932:AA310933"/>
    <mergeCell ref="AA311078:AA311079"/>
    <mergeCell ref="AA311224:AA311225"/>
    <mergeCell ref="AA311370:AA311371"/>
    <mergeCell ref="AA311516:AA311517"/>
    <mergeCell ref="AA311662:AA311663"/>
    <mergeCell ref="AA311808:AA311809"/>
    <mergeCell ref="AA311954:AA311955"/>
    <mergeCell ref="AA312100:AA312101"/>
    <mergeCell ref="AA312246:AA312247"/>
    <mergeCell ref="AA312392:AA312393"/>
    <mergeCell ref="AA312538:AA312539"/>
    <mergeCell ref="AA312684:AA312685"/>
    <mergeCell ref="AA312830:AA312831"/>
    <mergeCell ref="AA312976:AA312977"/>
    <mergeCell ref="AA313122:AA313123"/>
    <mergeCell ref="AA313268:AA313269"/>
    <mergeCell ref="AA313414:AA313415"/>
    <mergeCell ref="AA313560:AA313561"/>
    <mergeCell ref="AA313706:AA313707"/>
    <mergeCell ref="AA313852:AA313853"/>
    <mergeCell ref="AA313998:AA313999"/>
    <mergeCell ref="AA314144:AA314145"/>
    <mergeCell ref="AA314290:AA314291"/>
    <mergeCell ref="AA314436:AA314437"/>
    <mergeCell ref="AA314582:AA314583"/>
    <mergeCell ref="AA314728:AA314729"/>
    <mergeCell ref="AA314874:AA314875"/>
    <mergeCell ref="AA315020:AA315021"/>
    <mergeCell ref="AA315166:AA315167"/>
    <mergeCell ref="AA315312:AA315313"/>
    <mergeCell ref="AA315458:AA315459"/>
    <mergeCell ref="AA315604:AA315605"/>
    <mergeCell ref="AA315750:AA315751"/>
    <mergeCell ref="AA315896:AA315897"/>
    <mergeCell ref="AA316042:AA316043"/>
    <mergeCell ref="AA316188:AA316189"/>
    <mergeCell ref="AA316334:AA316335"/>
    <mergeCell ref="AA316480:AA316481"/>
    <mergeCell ref="AA316626:AA316627"/>
    <mergeCell ref="AA316772:AA316773"/>
    <mergeCell ref="AA316918:AA316919"/>
    <mergeCell ref="AA317064:AA317065"/>
    <mergeCell ref="AA317210:AA317211"/>
    <mergeCell ref="AA317356:AA317357"/>
    <mergeCell ref="AA317502:AA317503"/>
    <mergeCell ref="AA317648:AA317649"/>
    <mergeCell ref="AA317794:AA317795"/>
    <mergeCell ref="AA317940:AA317941"/>
    <mergeCell ref="AA318086:AA318087"/>
    <mergeCell ref="AA318232:AA318233"/>
    <mergeCell ref="AA318378:AA318379"/>
    <mergeCell ref="AA318524:AA318525"/>
    <mergeCell ref="AA318670:AA318671"/>
    <mergeCell ref="AA318816:AA318817"/>
    <mergeCell ref="AA318962:AA318963"/>
    <mergeCell ref="AA319108:AA319109"/>
    <mergeCell ref="AA319254:AA319255"/>
    <mergeCell ref="AA319400:AA319401"/>
    <mergeCell ref="AA319546:AA319547"/>
    <mergeCell ref="AA319692:AA319693"/>
    <mergeCell ref="AA319838:AA319839"/>
    <mergeCell ref="AA319984:AA319985"/>
    <mergeCell ref="AA320130:AA320131"/>
    <mergeCell ref="AA320276:AA320277"/>
    <mergeCell ref="AA320422:AA320423"/>
    <mergeCell ref="AA320568:AA320569"/>
    <mergeCell ref="AA320714:AA320715"/>
    <mergeCell ref="AA320860:AA320861"/>
    <mergeCell ref="AA321006:AA321007"/>
    <mergeCell ref="AA321152:AA321153"/>
    <mergeCell ref="AA321298:AA321299"/>
    <mergeCell ref="AA321444:AA321445"/>
    <mergeCell ref="AA321590:AA321591"/>
    <mergeCell ref="AA321736:AA321737"/>
    <mergeCell ref="AA321882:AA321883"/>
    <mergeCell ref="AA322028:AA322029"/>
    <mergeCell ref="AA322174:AA322175"/>
    <mergeCell ref="AA322320:AA322321"/>
    <mergeCell ref="AA322466:AA322467"/>
    <mergeCell ref="AA322612:AA322613"/>
    <mergeCell ref="AA322758:AA322759"/>
    <mergeCell ref="AA322904:AA322905"/>
    <mergeCell ref="AA323050:AA323051"/>
    <mergeCell ref="AA323196:AA323197"/>
    <mergeCell ref="AA323342:AA323343"/>
    <mergeCell ref="AA323488:AA323489"/>
    <mergeCell ref="AA323634:AA323635"/>
    <mergeCell ref="AA323780:AA323781"/>
    <mergeCell ref="AA323926:AA323927"/>
    <mergeCell ref="AA324072:AA324073"/>
    <mergeCell ref="AA324218:AA324219"/>
    <mergeCell ref="AA324364:AA324365"/>
    <mergeCell ref="AA324510:AA324511"/>
    <mergeCell ref="AA324656:AA324657"/>
    <mergeCell ref="AA324802:AA324803"/>
    <mergeCell ref="AA324948:AA324949"/>
    <mergeCell ref="AA325094:AA325095"/>
    <mergeCell ref="AA325240:AA325241"/>
    <mergeCell ref="AA325386:AA325387"/>
    <mergeCell ref="AA325532:AA325533"/>
    <mergeCell ref="AA325678:AA325679"/>
    <mergeCell ref="AA325824:AA325825"/>
    <mergeCell ref="AA325970:AA325971"/>
    <mergeCell ref="AA326116:AA326117"/>
    <mergeCell ref="AA326262:AA326263"/>
    <mergeCell ref="AA326408:AA326409"/>
    <mergeCell ref="AA326554:AA326555"/>
    <mergeCell ref="AA326700:AA326701"/>
    <mergeCell ref="AA326846:AA326847"/>
    <mergeCell ref="AA326992:AA326993"/>
    <mergeCell ref="AA327138:AA327139"/>
    <mergeCell ref="AA327284:AA327285"/>
    <mergeCell ref="AA327430:AA327431"/>
    <mergeCell ref="AA327576:AA327577"/>
    <mergeCell ref="AA327722:AA327723"/>
    <mergeCell ref="AA327868:AA327869"/>
    <mergeCell ref="AA328014:AA328015"/>
    <mergeCell ref="AA328160:AA328161"/>
    <mergeCell ref="AA328306:AA328307"/>
    <mergeCell ref="AA328452:AA328453"/>
    <mergeCell ref="AA328598:AA328599"/>
    <mergeCell ref="AA328744:AA328745"/>
    <mergeCell ref="AA328890:AA328891"/>
    <mergeCell ref="AA329036:AA329037"/>
    <mergeCell ref="AA329182:AA329183"/>
    <mergeCell ref="AA329328:AA329329"/>
    <mergeCell ref="AA329474:AA329475"/>
    <mergeCell ref="AA329620:AA329621"/>
    <mergeCell ref="AA329766:AA329767"/>
    <mergeCell ref="AA329912:AA329913"/>
    <mergeCell ref="AA330058:AA330059"/>
    <mergeCell ref="AA330204:AA330205"/>
    <mergeCell ref="AA330350:AA330351"/>
    <mergeCell ref="AA330496:AA330497"/>
    <mergeCell ref="AA330642:AA330643"/>
    <mergeCell ref="AA330788:AA330789"/>
    <mergeCell ref="AA330934:AA330935"/>
    <mergeCell ref="AA331080:AA331081"/>
    <mergeCell ref="AA331226:AA331227"/>
    <mergeCell ref="AA331372:AA331373"/>
    <mergeCell ref="AA331518:AA331519"/>
    <mergeCell ref="AA331664:AA331665"/>
    <mergeCell ref="AA331810:AA331811"/>
    <mergeCell ref="AA331956:AA331957"/>
    <mergeCell ref="AA332102:AA332103"/>
    <mergeCell ref="AA332248:AA332249"/>
    <mergeCell ref="AA332394:AA332395"/>
    <mergeCell ref="AA332540:AA332541"/>
    <mergeCell ref="AA332686:AA332687"/>
    <mergeCell ref="AA332832:AA332833"/>
    <mergeCell ref="AA332978:AA332979"/>
    <mergeCell ref="AA333124:AA333125"/>
    <mergeCell ref="AA333270:AA333271"/>
    <mergeCell ref="AA333416:AA333417"/>
    <mergeCell ref="AA333562:AA333563"/>
    <mergeCell ref="AA333708:AA333709"/>
    <mergeCell ref="AA333854:AA333855"/>
    <mergeCell ref="AA334000:AA334001"/>
    <mergeCell ref="AA334146:AA334147"/>
    <mergeCell ref="AA334292:AA334293"/>
    <mergeCell ref="AA334438:AA334439"/>
    <mergeCell ref="AA334584:AA334585"/>
    <mergeCell ref="AA334730:AA334731"/>
    <mergeCell ref="AA334876:AA334877"/>
    <mergeCell ref="AA335022:AA335023"/>
    <mergeCell ref="AA335168:AA335169"/>
    <mergeCell ref="AA335314:AA335315"/>
    <mergeCell ref="AA335460:AA335461"/>
    <mergeCell ref="AA335606:AA335607"/>
    <mergeCell ref="AA335752:AA335753"/>
    <mergeCell ref="AA335898:AA335899"/>
    <mergeCell ref="AA336044:AA336045"/>
    <mergeCell ref="AA336190:AA336191"/>
    <mergeCell ref="AA336336:AA336337"/>
    <mergeCell ref="AA336482:AA336483"/>
    <mergeCell ref="AA336628:AA336629"/>
    <mergeCell ref="AA336774:AA336775"/>
    <mergeCell ref="AA336920:AA336921"/>
    <mergeCell ref="AA337066:AA337067"/>
    <mergeCell ref="AA337212:AA337213"/>
    <mergeCell ref="AA337358:AA337359"/>
    <mergeCell ref="AA337504:AA337505"/>
    <mergeCell ref="AA337650:AA337651"/>
    <mergeCell ref="AA337796:AA337797"/>
    <mergeCell ref="AA337942:AA337943"/>
    <mergeCell ref="AA338088:AA338089"/>
    <mergeCell ref="AA338234:AA338235"/>
    <mergeCell ref="AA338380:AA338381"/>
    <mergeCell ref="AA338526:AA338527"/>
    <mergeCell ref="AA338672:AA338673"/>
    <mergeCell ref="AA338818:AA338819"/>
    <mergeCell ref="AA338964:AA338965"/>
    <mergeCell ref="AA339110:AA339111"/>
    <mergeCell ref="AA339256:AA339257"/>
    <mergeCell ref="AA339402:AA339403"/>
    <mergeCell ref="AA339548:AA339549"/>
    <mergeCell ref="AA339694:AA339695"/>
    <mergeCell ref="AA339840:AA339841"/>
    <mergeCell ref="AA339986:AA339987"/>
    <mergeCell ref="AA340132:AA340133"/>
    <mergeCell ref="AA340278:AA340279"/>
    <mergeCell ref="AA340424:AA340425"/>
    <mergeCell ref="AA340570:AA340571"/>
    <mergeCell ref="AA340716:AA340717"/>
    <mergeCell ref="AA340862:AA340863"/>
    <mergeCell ref="AA341008:AA341009"/>
    <mergeCell ref="AA341154:AA341155"/>
    <mergeCell ref="AA341300:AA341301"/>
    <mergeCell ref="AA341446:AA341447"/>
    <mergeCell ref="AA341592:AA341593"/>
    <mergeCell ref="AA341738:AA341739"/>
    <mergeCell ref="AA341884:AA341885"/>
    <mergeCell ref="AA342030:AA342031"/>
    <mergeCell ref="AA342176:AA342177"/>
    <mergeCell ref="AA342322:AA342323"/>
    <mergeCell ref="AA342468:AA342469"/>
    <mergeCell ref="AA342614:AA342615"/>
    <mergeCell ref="AA342760:AA342761"/>
    <mergeCell ref="AA342906:AA342907"/>
    <mergeCell ref="AA343052:AA343053"/>
    <mergeCell ref="AA343198:AA343199"/>
    <mergeCell ref="AA343344:AA343345"/>
    <mergeCell ref="AA343490:AA343491"/>
    <mergeCell ref="AA343636:AA343637"/>
    <mergeCell ref="AA343782:AA343783"/>
    <mergeCell ref="AA343928:AA343929"/>
    <mergeCell ref="AA344074:AA344075"/>
    <mergeCell ref="AA344220:AA344221"/>
    <mergeCell ref="AA344366:AA344367"/>
    <mergeCell ref="AA344512:AA344513"/>
    <mergeCell ref="AA344658:AA344659"/>
    <mergeCell ref="AA344804:AA344805"/>
    <mergeCell ref="AA344950:AA344951"/>
    <mergeCell ref="AA345096:AA345097"/>
    <mergeCell ref="AA345242:AA345243"/>
    <mergeCell ref="AA345388:AA345389"/>
    <mergeCell ref="AA345534:AA345535"/>
    <mergeCell ref="AA345680:AA345681"/>
    <mergeCell ref="AA345826:AA345827"/>
    <mergeCell ref="AA345972:AA345973"/>
    <mergeCell ref="AA346118:AA346119"/>
    <mergeCell ref="AA346264:AA346265"/>
    <mergeCell ref="AA346410:AA346411"/>
    <mergeCell ref="AA346556:AA346557"/>
    <mergeCell ref="AA346702:AA346703"/>
    <mergeCell ref="AA346848:AA346849"/>
    <mergeCell ref="AA346994:AA346995"/>
    <mergeCell ref="AA347140:AA347141"/>
    <mergeCell ref="AA347286:AA347287"/>
    <mergeCell ref="AA347432:AA347433"/>
    <mergeCell ref="AA347578:AA347579"/>
    <mergeCell ref="AA347724:AA347725"/>
    <mergeCell ref="AA347870:AA347871"/>
    <mergeCell ref="AA348016:AA348017"/>
    <mergeCell ref="AA348162:AA348163"/>
    <mergeCell ref="AA348308:AA348309"/>
    <mergeCell ref="AA348454:AA348455"/>
    <mergeCell ref="AA348600:AA348601"/>
    <mergeCell ref="AA348746:AA348747"/>
    <mergeCell ref="AA348892:AA348893"/>
    <mergeCell ref="AA349038:AA349039"/>
    <mergeCell ref="AA349184:AA349185"/>
    <mergeCell ref="AA349330:AA349331"/>
    <mergeCell ref="AA349476:AA349477"/>
    <mergeCell ref="AA349622:AA349623"/>
    <mergeCell ref="AA349768:AA349769"/>
    <mergeCell ref="AA349914:AA349915"/>
    <mergeCell ref="AA350060:AA350061"/>
    <mergeCell ref="AA350206:AA350207"/>
    <mergeCell ref="AA350352:AA350353"/>
    <mergeCell ref="AA350498:AA350499"/>
    <mergeCell ref="AA350644:AA350645"/>
    <mergeCell ref="AA350790:AA350791"/>
    <mergeCell ref="AA350936:AA350937"/>
    <mergeCell ref="AA351082:AA351083"/>
    <mergeCell ref="AA351228:AA351229"/>
    <mergeCell ref="AA351374:AA351375"/>
    <mergeCell ref="AA351520:AA351521"/>
    <mergeCell ref="AA351666:AA351667"/>
    <mergeCell ref="AA351812:AA351813"/>
    <mergeCell ref="AA351958:AA351959"/>
    <mergeCell ref="AA352104:AA352105"/>
    <mergeCell ref="AA352250:AA352251"/>
    <mergeCell ref="AA352396:AA352397"/>
    <mergeCell ref="AA352542:AA352543"/>
    <mergeCell ref="AA352688:AA352689"/>
    <mergeCell ref="AA352834:AA352835"/>
    <mergeCell ref="AA352980:AA352981"/>
    <mergeCell ref="AA353126:AA353127"/>
    <mergeCell ref="AA353272:AA353273"/>
    <mergeCell ref="AA353418:AA353419"/>
    <mergeCell ref="AA353564:AA353565"/>
    <mergeCell ref="AA353710:AA353711"/>
    <mergeCell ref="AA353856:AA353857"/>
    <mergeCell ref="AA354002:AA354003"/>
    <mergeCell ref="AA354148:AA354149"/>
    <mergeCell ref="AA354294:AA354295"/>
    <mergeCell ref="AA354440:AA354441"/>
    <mergeCell ref="AA354586:AA354587"/>
    <mergeCell ref="AA354732:AA354733"/>
    <mergeCell ref="AA354878:AA354879"/>
    <mergeCell ref="AA355024:AA355025"/>
    <mergeCell ref="AA355170:AA355171"/>
    <mergeCell ref="AA355316:AA355317"/>
    <mergeCell ref="AA355462:AA355463"/>
    <mergeCell ref="AA355608:AA355609"/>
    <mergeCell ref="AA355754:AA355755"/>
    <mergeCell ref="AA355900:AA355901"/>
    <mergeCell ref="AA356046:AA356047"/>
    <mergeCell ref="AA356192:AA356193"/>
    <mergeCell ref="AA356338:AA356339"/>
    <mergeCell ref="AA356484:AA356485"/>
    <mergeCell ref="AA356630:AA356631"/>
    <mergeCell ref="AA356776:AA356777"/>
    <mergeCell ref="AA356922:AA356923"/>
    <mergeCell ref="AA357068:AA357069"/>
    <mergeCell ref="AA357214:AA357215"/>
    <mergeCell ref="AA357360:AA357361"/>
    <mergeCell ref="AA357506:AA357507"/>
    <mergeCell ref="AA357652:AA357653"/>
    <mergeCell ref="AA357798:AA357799"/>
    <mergeCell ref="AA357944:AA357945"/>
    <mergeCell ref="AA358090:AA358091"/>
    <mergeCell ref="AA358236:AA358237"/>
    <mergeCell ref="AA358382:AA358383"/>
    <mergeCell ref="AA358528:AA358529"/>
    <mergeCell ref="AA358674:AA358675"/>
    <mergeCell ref="AA358820:AA358821"/>
    <mergeCell ref="AA358966:AA358967"/>
    <mergeCell ref="AA359112:AA359113"/>
    <mergeCell ref="AA359258:AA359259"/>
    <mergeCell ref="AA359404:AA359405"/>
    <mergeCell ref="AA359550:AA359551"/>
    <mergeCell ref="AA359696:AA359697"/>
    <mergeCell ref="AA359842:AA359843"/>
    <mergeCell ref="AA359988:AA359989"/>
    <mergeCell ref="AA360134:AA360135"/>
    <mergeCell ref="AA360280:AA360281"/>
    <mergeCell ref="AA360426:AA360427"/>
    <mergeCell ref="AA360572:AA360573"/>
    <mergeCell ref="AA360718:AA360719"/>
    <mergeCell ref="AA360864:AA360865"/>
    <mergeCell ref="AA361010:AA361011"/>
    <mergeCell ref="AA361156:AA361157"/>
    <mergeCell ref="AA361302:AA361303"/>
    <mergeCell ref="AA361448:AA361449"/>
    <mergeCell ref="AA361594:AA361595"/>
    <mergeCell ref="AA361740:AA361741"/>
    <mergeCell ref="AA361886:AA361887"/>
    <mergeCell ref="AA362032:AA362033"/>
    <mergeCell ref="AA362178:AA362179"/>
    <mergeCell ref="AA362324:AA362325"/>
    <mergeCell ref="AA362470:AA362471"/>
    <mergeCell ref="AA362616:AA362617"/>
    <mergeCell ref="AA362762:AA362763"/>
    <mergeCell ref="AA362908:AA362909"/>
    <mergeCell ref="AA363054:AA363055"/>
    <mergeCell ref="AA363200:AA363201"/>
    <mergeCell ref="AA363346:AA363347"/>
    <mergeCell ref="AA363492:AA363493"/>
    <mergeCell ref="AA363638:AA363639"/>
    <mergeCell ref="AA363784:AA363785"/>
    <mergeCell ref="AA363930:AA363931"/>
    <mergeCell ref="AA364076:AA364077"/>
    <mergeCell ref="AA364222:AA364223"/>
    <mergeCell ref="AA364368:AA364369"/>
    <mergeCell ref="AA364514:AA364515"/>
    <mergeCell ref="AA364660:AA364661"/>
    <mergeCell ref="AA364806:AA364807"/>
    <mergeCell ref="AA364952:AA364953"/>
    <mergeCell ref="AA365098:AA365099"/>
    <mergeCell ref="AA365244:AA365245"/>
    <mergeCell ref="AA365390:AA365391"/>
    <mergeCell ref="AA365536:AA365537"/>
    <mergeCell ref="AA365682:AA365683"/>
    <mergeCell ref="AA365828:AA365829"/>
    <mergeCell ref="AA365974:AA365975"/>
    <mergeCell ref="AA366120:AA366121"/>
    <mergeCell ref="AA366266:AA366267"/>
    <mergeCell ref="AA366412:AA366413"/>
    <mergeCell ref="AA366558:AA366559"/>
    <mergeCell ref="AA366704:AA366705"/>
    <mergeCell ref="AA366850:AA366851"/>
    <mergeCell ref="AA366996:AA366997"/>
    <mergeCell ref="AA367142:AA367143"/>
    <mergeCell ref="AA367288:AA367289"/>
    <mergeCell ref="AA367434:AA367435"/>
    <mergeCell ref="AA367580:AA367581"/>
    <mergeCell ref="AA367726:AA367727"/>
    <mergeCell ref="AA367872:AA367873"/>
    <mergeCell ref="AA368018:AA368019"/>
    <mergeCell ref="AA368164:AA368165"/>
    <mergeCell ref="AA368310:AA368311"/>
    <mergeCell ref="AA368456:AA368457"/>
    <mergeCell ref="AA368602:AA368603"/>
    <mergeCell ref="AA368748:AA368749"/>
    <mergeCell ref="AA368894:AA368895"/>
    <mergeCell ref="AA369040:AA369041"/>
    <mergeCell ref="AA369186:AA369187"/>
    <mergeCell ref="AA369332:AA369333"/>
    <mergeCell ref="AA369478:AA369479"/>
    <mergeCell ref="AA369624:AA369625"/>
    <mergeCell ref="AA369770:AA369771"/>
    <mergeCell ref="AA369916:AA369917"/>
    <mergeCell ref="AA370062:AA370063"/>
    <mergeCell ref="AA370208:AA370209"/>
    <mergeCell ref="AA370354:AA370355"/>
    <mergeCell ref="AA370500:AA370501"/>
    <mergeCell ref="AA370646:AA370647"/>
    <mergeCell ref="AA370792:AA370793"/>
    <mergeCell ref="AA370938:AA370939"/>
    <mergeCell ref="AA371084:AA371085"/>
    <mergeCell ref="AA371230:AA371231"/>
    <mergeCell ref="AA371376:AA371377"/>
    <mergeCell ref="AA371522:AA371523"/>
    <mergeCell ref="AA371668:AA371669"/>
    <mergeCell ref="AA371814:AA371815"/>
    <mergeCell ref="AA371960:AA371961"/>
    <mergeCell ref="AA372106:AA372107"/>
    <mergeCell ref="AA372252:AA372253"/>
    <mergeCell ref="AA372398:AA372399"/>
    <mergeCell ref="AA372544:AA372545"/>
    <mergeCell ref="AA372690:AA372691"/>
    <mergeCell ref="AA372836:AA372837"/>
    <mergeCell ref="AA372982:AA372983"/>
    <mergeCell ref="AA373128:AA373129"/>
    <mergeCell ref="AA373274:AA373275"/>
    <mergeCell ref="AA373420:AA373421"/>
    <mergeCell ref="AA373566:AA373567"/>
    <mergeCell ref="AA373712:AA373713"/>
    <mergeCell ref="AA373858:AA373859"/>
    <mergeCell ref="AA374004:AA374005"/>
    <mergeCell ref="AA374150:AA374151"/>
    <mergeCell ref="AA374296:AA374297"/>
    <mergeCell ref="AA374442:AA374443"/>
    <mergeCell ref="AA374588:AA374589"/>
    <mergeCell ref="AA374734:AA374735"/>
    <mergeCell ref="AA374880:AA374881"/>
    <mergeCell ref="AA375026:AA375027"/>
    <mergeCell ref="AA375172:AA375173"/>
    <mergeCell ref="AA375318:AA375319"/>
    <mergeCell ref="AA375464:AA375465"/>
    <mergeCell ref="AA375610:AA375611"/>
    <mergeCell ref="AA375756:AA375757"/>
    <mergeCell ref="AA375902:AA375903"/>
    <mergeCell ref="AA376048:AA376049"/>
    <mergeCell ref="AA376194:AA376195"/>
    <mergeCell ref="AA376340:AA376341"/>
    <mergeCell ref="AA376486:AA376487"/>
    <mergeCell ref="AA376632:AA376633"/>
    <mergeCell ref="AA376778:AA376779"/>
    <mergeCell ref="AA376924:AA376925"/>
    <mergeCell ref="AA377070:AA377071"/>
    <mergeCell ref="AA377216:AA377217"/>
    <mergeCell ref="AA377362:AA377363"/>
    <mergeCell ref="AA377508:AA377509"/>
    <mergeCell ref="AA377654:AA377655"/>
    <mergeCell ref="AA377800:AA377801"/>
    <mergeCell ref="AA377946:AA377947"/>
    <mergeCell ref="AA378092:AA378093"/>
    <mergeCell ref="AA378238:AA378239"/>
    <mergeCell ref="AA378384:AA378385"/>
    <mergeCell ref="AA378530:AA378531"/>
    <mergeCell ref="AA378676:AA378677"/>
    <mergeCell ref="AA378822:AA378823"/>
    <mergeCell ref="AA378968:AA378969"/>
    <mergeCell ref="AA379114:AA379115"/>
    <mergeCell ref="AA379260:AA379261"/>
    <mergeCell ref="AA379406:AA379407"/>
    <mergeCell ref="AA379552:AA379553"/>
    <mergeCell ref="AA379698:AA379699"/>
    <mergeCell ref="AA379844:AA379845"/>
    <mergeCell ref="AA379990:AA379991"/>
    <mergeCell ref="AA380136:AA380137"/>
    <mergeCell ref="AA380282:AA380283"/>
    <mergeCell ref="AA380428:AA380429"/>
    <mergeCell ref="AA380574:AA380575"/>
    <mergeCell ref="AA380720:AA380721"/>
    <mergeCell ref="AA380866:AA380867"/>
    <mergeCell ref="AA381012:AA381013"/>
    <mergeCell ref="AA381158:AA381159"/>
    <mergeCell ref="AA381304:AA381305"/>
    <mergeCell ref="AA381450:AA381451"/>
    <mergeCell ref="AA381596:AA381597"/>
    <mergeCell ref="AA381742:AA381743"/>
    <mergeCell ref="AA381888:AA381889"/>
    <mergeCell ref="AA382034:AA382035"/>
    <mergeCell ref="AA382180:AA382181"/>
    <mergeCell ref="AA382326:AA382327"/>
    <mergeCell ref="AA382472:AA382473"/>
    <mergeCell ref="AA382618:AA382619"/>
    <mergeCell ref="AA382764:AA382765"/>
    <mergeCell ref="AA382910:AA382911"/>
    <mergeCell ref="AA383056:AA383057"/>
    <mergeCell ref="AA383202:AA383203"/>
    <mergeCell ref="AA383348:AA383349"/>
    <mergeCell ref="AA383494:AA383495"/>
    <mergeCell ref="AA383640:AA383641"/>
    <mergeCell ref="AA383786:AA383787"/>
    <mergeCell ref="AA383932:AA383933"/>
    <mergeCell ref="AA384078:AA384079"/>
    <mergeCell ref="AA384224:AA384225"/>
    <mergeCell ref="AA384370:AA384371"/>
    <mergeCell ref="AA384516:AA384517"/>
    <mergeCell ref="AA384662:AA384663"/>
    <mergeCell ref="AA384808:AA384809"/>
    <mergeCell ref="AA384954:AA384955"/>
    <mergeCell ref="AA385100:AA385101"/>
    <mergeCell ref="AA385246:AA385247"/>
    <mergeCell ref="AA385392:AA385393"/>
    <mergeCell ref="AA385538:AA385539"/>
    <mergeCell ref="AA385684:AA385685"/>
    <mergeCell ref="AA385830:AA385831"/>
    <mergeCell ref="AA385976:AA385977"/>
    <mergeCell ref="AA386122:AA386123"/>
    <mergeCell ref="AA386268:AA386269"/>
    <mergeCell ref="AA386414:AA386415"/>
    <mergeCell ref="AA386560:AA386561"/>
    <mergeCell ref="AA386706:AA386707"/>
    <mergeCell ref="AA386852:AA386853"/>
    <mergeCell ref="AA386998:AA386999"/>
    <mergeCell ref="AA387144:AA387145"/>
    <mergeCell ref="AA387290:AA387291"/>
    <mergeCell ref="AA387436:AA387437"/>
    <mergeCell ref="AA387582:AA387583"/>
    <mergeCell ref="AA387728:AA387729"/>
    <mergeCell ref="AA387874:AA387875"/>
    <mergeCell ref="AA388020:AA388021"/>
    <mergeCell ref="AA388166:AA388167"/>
    <mergeCell ref="AA388312:AA388313"/>
    <mergeCell ref="AA388458:AA388459"/>
    <mergeCell ref="AA388604:AA388605"/>
    <mergeCell ref="AA388750:AA388751"/>
    <mergeCell ref="AA388896:AA388897"/>
    <mergeCell ref="AA389042:AA389043"/>
    <mergeCell ref="AA389188:AA389189"/>
    <mergeCell ref="AA389334:AA389335"/>
    <mergeCell ref="AA389480:AA389481"/>
    <mergeCell ref="AA389626:AA389627"/>
    <mergeCell ref="AA389772:AA389773"/>
    <mergeCell ref="AA389918:AA389919"/>
    <mergeCell ref="AA390064:AA390065"/>
    <mergeCell ref="AA390210:AA390211"/>
    <mergeCell ref="AA390356:AA390357"/>
    <mergeCell ref="AA390502:AA390503"/>
    <mergeCell ref="AA390648:AA390649"/>
    <mergeCell ref="AA390794:AA390795"/>
    <mergeCell ref="AA390940:AA390941"/>
    <mergeCell ref="AA391086:AA391087"/>
    <mergeCell ref="AA391232:AA391233"/>
    <mergeCell ref="AA391378:AA391379"/>
    <mergeCell ref="AA391524:AA391525"/>
    <mergeCell ref="AA391670:AA391671"/>
    <mergeCell ref="AA391816:AA391817"/>
    <mergeCell ref="AA391962:AA391963"/>
    <mergeCell ref="AA392108:AA392109"/>
    <mergeCell ref="AA392254:AA392255"/>
    <mergeCell ref="AA392400:AA392401"/>
    <mergeCell ref="AA392546:AA392547"/>
    <mergeCell ref="AA392692:AA392693"/>
    <mergeCell ref="AA392838:AA392839"/>
    <mergeCell ref="AA392984:AA392985"/>
    <mergeCell ref="AA393130:AA393131"/>
    <mergeCell ref="AA393276:AA393277"/>
    <mergeCell ref="AA393422:AA393423"/>
    <mergeCell ref="AA393568:AA393569"/>
    <mergeCell ref="AA393714:AA393715"/>
    <mergeCell ref="AA393860:AA393861"/>
    <mergeCell ref="AA394006:AA394007"/>
    <mergeCell ref="AA394152:AA394153"/>
    <mergeCell ref="AA394298:AA394299"/>
    <mergeCell ref="AA394444:AA394445"/>
    <mergeCell ref="AA394590:AA394591"/>
    <mergeCell ref="AA394736:AA394737"/>
    <mergeCell ref="AA394882:AA394883"/>
    <mergeCell ref="AA395028:AA395029"/>
    <mergeCell ref="AA395174:AA395175"/>
    <mergeCell ref="AA395320:AA395321"/>
    <mergeCell ref="AA395466:AA395467"/>
    <mergeCell ref="AA395612:AA395613"/>
    <mergeCell ref="AA395758:AA395759"/>
    <mergeCell ref="AA395904:AA395905"/>
    <mergeCell ref="AA396050:AA396051"/>
    <mergeCell ref="AA396196:AA396197"/>
    <mergeCell ref="AA396342:AA396343"/>
    <mergeCell ref="AA396488:AA396489"/>
    <mergeCell ref="AA396634:AA396635"/>
    <mergeCell ref="AA396780:AA396781"/>
    <mergeCell ref="AA396926:AA396927"/>
    <mergeCell ref="AA397072:AA397073"/>
    <mergeCell ref="AA397218:AA397219"/>
    <mergeCell ref="AA397364:AA397365"/>
    <mergeCell ref="AA397510:AA397511"/>
    <mergeCell ref="AA397656:AA397657"/>
    <mergeCell ref="AA397802:AA397803"/>
    <mergeCell ref="AA397948:AA397949"/>
    <mergeCell ref="AA398094:AA398095"/>
    <mergeCell ref="AA398240:AA398241"/>
    <mergeCell ref="AA398386:AA398387"/>
    <mergeCell ref="AA398532:AA398533"/>
    <mergeCell ref="AA398678:AA398679"/>
    <mergeCell ref="AA398824:AA398825"/>
    <mergeCell ref="AA398970:AA398971"/>
    <mergeCell ref="AA399116:AA399117"/>
    <mergeCell ref="AA399262:AA399263"/>
    <mergeCell ref="AA399408:AA399409"/>
    <mergeCell ref="AA399554:AA399555"/>
    <mergeCell ref="AA399700:AA399701"/>
    <mergeCell ref="AA399846:AA399847"/>
    <mergeCell ref="AA399992:AA399993"/>
    <mergeCell ref="AA400138:AA400139"/>
    <mergeCell ref="AA400284:AA400285"/>
    <mergeCell ref="AA400430:AA400431"/>
    <mergeCell ref="AA400576:AA400577"/>
    <mergeCell ref="AA400722:AA400723"/>
    <mergeCell ref="AA400868:AA400869"/>
    <mergeCell ref="AA401014:AA401015"/>
    <mergeCell ref="AA401160:AA401161"/>
    <mergeCell ref="AA401306:AA401307"/>
    <mergeCell ref="AA401452:AA401453"/>
    <mergeCell ref="AA401598:AA401599"/>
    <mergeCell ref="AA401744:AA401745"/>
    <mergeCell ref="AA401890:AA401891"/>
    <mergeCell ref="AA402036:AA402037"/>
    <mergeCell ref="AA402182:AA402183"/>
    <mergeCell ref="AA402328:AA402329"/>
    <mergeCell ref="AA402474:AA402475"/>
    <mergeCell ref="AA402620:AA402621"/>
    <mergeCell ref="AA402766:AA402767"/>
    <mergeCell ref="AA402912:AA402913"/>
    <mergeCell ref="AA403058:AA403059"/>
    <mergeCell ref="AA403204:AA403205"/>
    <mergeCell ref="AA403350:AA403351"/>
    <mergeCell ref="AA403496:AA403497"/>
    <mergeCell ref="AA403642:AA403643"/>
    <mergeCell ref="AA403788:AA403789"/>
    <mergeCell ref="AA403934:AA403935"/>
    <mergeCell ref="AA404080:AA404081"/>
    <mergeCell ref="AA404226:AA404227"/>
    <mergeCell ref="AA404372:AA404373"/>
    <mergeCell ref="AA404518:AA404519"/>
    <mergeCell ref="AA404664:AA404665"/>
    <mergeCell ref="AA404810:AA404811"/>
    <mergeCell ref="AA404956:AA404957"/>
    <mergeCell ref="AA405102:AA405103"/>
    <mergeCell ref="AA405248:AA405249"/>
    <mergeCell ref="AA405394:AA405395"/>
    <mergeCell ref="AA405540:AA405541"/>
    <mergeCell ref="AA405686:AA405687"/>
    <mergeCell ref="AA405832:AA405833"/>
    <mergeCell ref="AA405978:AA405979"/>
    <mergeCell ref="AA406124:AA406125"/>
    <mergeCell ref="AA406270:AA406271"/>
    <mergeCell ref="AA406416:AA406417"/>
    <mergeCell ref="AA406562:AA406563"/>
    <mergeCell ref="AA406708:AA406709"/>
    <mergeCell ref="AA406854:AA406855"/>
    <mergeCell ref="AA407000:AA407001"/>
    <mergeCell ref="AA407146:AA407147"/>
    <mergeCell ref="AA407292:AA407293"/>
    <mergeCell ref="AA407438:AA407439"/>
    <mergeCell ref="AA407584:AA407585"/>
    <mergeCell ref="AA407730:AA407731"/>
    <mergeCell ref="AA407876:AA407877"/>
    <mergeCell ref="AA408022:AA408023"/>
    <mergeCell ref="AA408168:AA408169"/>
    <mergeCell ref="AA408314:AA408315"/>
    <mergeCell ref="AA408460:AA408461"/>
    <mergeCell ref="AA408606:AA408607"/>
    <mergeCell ref="AA408752:AA408753"/>
    <mergeCell ref="AA408898:AA408899"/>
    <mergeCell ref="AA409044:AA409045"/>
    <mergeCell ref="AA409190:AA409191"/>
    <mergeCell ref="AA409336:AA409337"/>
    <mergeCell ref="AA409482:AA409483"/>
    <mergeCell ref="AA409628:AA409629"/>
    <mergeCell ref="AA409774:AA409775"/>
    <mergeCell ref="AA409920:AA409921"/>
    <mergeCell ref="AA410066:AA410067"/>
    <mergeCell ref="AA410212:AA410213"/>
    <mergeCell ref="AA410358:AA410359"/>
    <mergeCell ref="AA410504:AA410505"/>
    <mergeCell ref="AA410650:AA410651"/>
    <mergeCell ref="AA410796:AA410797"/>
    <mergeCell ref="AA410942:AA410943"/>
    <mergeCell ref="AA411088:AA411089"/>
    <mergeCell ref="AA411234:AA411235"/>
    <mergeCell ref="AA411380:AA411381"/>
    <mergeCell ref="AA411526:AA411527"/>
    <mergeCell ref="AA411672:AA411673"/>
    <mergeCell ref="AA411818:AA411819"/>
    <mergeCell ref="AA411964:AA411965"/>
    <mergeCell ref="AA412110:AA412111"/>
    <mergeCell ref="AA412256:AA412257"/>
    <mergeCell ref="AA412402:AA412403"/>
    <mergeCell ref="AA412548:AA412549"/>
    <mergeCell ref="AA412694:AA412695"/>
    <mergeCell ref="AA412840:AA412841"/>
    <mergeCell ref="AA412986:AA412987"/>
    <mergeCell ref="AA413132:AA413133"/>
    <mergeCell ref="AA413278:AA413279"/>
    <mergeCell ref="AA413424:AA413425"/>
    <mergeCell ref="AA413570:AA413571"/>
    <mergeCell ref="AA413716:AA413717"/>
    <mergeCell ref="AA413862:AA413863"/>
    <mergeCell ref="AA414008:AA414009"/>
    <mergeCell ref="AA414154:AA414155"/>
    <mergeCell ref="AA414300:AA414301"/>
    <mergeCell ref="AA414446:AA414447"/>
    <mergeCell ref="AA414592:AA414593"/>
    <mergeCell ref="AA414738:AA414739"/>
    <mergeCell ref="AA414884:AA414885"/>
    <mergeCell ref="AA415030:AA415031"/>
    <mergeCell ref="AA415176:AA415177"/>
    <mergeCell ref="AA415322:AA415323"/>
    <mergeCell ref="AA415468:AA415469"/>
    <mergeCell ref="AA415614:AA415615"/>
    <mergeCell ref="AA415760:AA415761"/>
    <mergeCell ref="AA415906:AA415907"/>
    <mergeCell ref="AA416052:AA416053"/>
    <mergeCell ref="AA416198:AA416199"/>
    <mergeCell ref="AA416344:AA416345"/>
    <mergeCell ref="AA416490:AA416491"/>
    <mergeCell ref="AA416636:AA416637"/>
    <mergeCell ref="AA416782:AA416783"/>
    <mergeCell ref="AA416928:AA416929"/>
    <mergeCell ref="AA417074:AA417075"/>
    <mergeCell ref="AA417220:AA417221"/>
    <mergeCell ref="AA417366:AA417367"/>
    <mergeCell ref="AA417512:AA417513"/>
    <mergeCell ref="AA417658:AA417659"/>
    <mergeCell ref="AA417804:AA417805"/>
    <mergeCell ref="AA417950:AA417951"/>
    <mergeCell ref="AA418096:AA418097"/>
    <mergeCell ref="AA418242:AA418243"/>
    <mergeCell ref="AA418388:AA418389"/>
    <mergeCell ref="AA418534:AA418535"/>
    <mergeCell ref="AA418680:AA418681"/>
    <mergeCell ref="AA418826:AA418827"/>
    <mergeCell ref="AA418972:AA418973"/>
    <mergeCell ref="AA419118:AA419119"/>
    <mergeCell ref="AA419264:AA419265"/>
    <mergeCell ref="AA419410:AA419411"/>
    <mergeCell ref="AA419556:AA419557"/>
    <mergeCell ref="AA419702:AA419703"/>
    <mergeCell ref="AA419848:AA419849"/>
    <mergeCell ref="AA419994:AA419995"/>
    <mergeCell ref="AA420140:AA420141"/>
    <mergeCell ref="AA420286:AA420287"/>
    <mergeCell ref="AA420432:AA420433"/>
    <mergeCell ref="AA420578:AA420579"/>
    <mergeCell ref="AA420724:AA420725"/>
    <mergeCell ref="AA420870:AA420871"/>
    <mergeCell ref="AA421016:AA421017"/>
    <mergeCell ref="AA421162:AA421163"/>
    <mergeCell ref="AA421308:AA421309"/>
    <mergeCell ref="AA421454:AA421455"/>
    <mergeCell ref="AA421600:AA421601"/>
    <mergeCell ref="AA421746:AA421747"/>
    <mergeCell ref="AA421892:AA421893"/>
    <mergeCell ref="AA422038:AA422039"/>
    <mergeCell ref="AA422184:AA422185"/>
    <mergeCell ref="AA422330:AA422331"/>
    <mergeCell ref="AA422476:AA422477"/>
    <mergeCell ref="AA422622:AA422623"/>
    <mergeCell ref="AA422768:AA422769"/>
    <mergeCell ref="AA422914:AA422915"/>
    <mergeCell ref="AA423060:AA423061"/>
    <mergeCell ref="AA423206:AA423207"/>
    <mergeCell ref="AA423352:AA423353"/>
    <mergeCell ref="AA423498:AA423499"/>
    <mergeCell ref="AA423644:AA423645"/>
    <mergeCell ref="AA423790:AA423791"/>
    <mergeCell ref="AA423936:AA423937"/>
    <mergeCell ref="AA424082:AA424083"/>
    <mergeCell ref="AA424228:AA424229"/>
    <mergeCell ref="AA424374:AA424375"/>
    <mergeCell ref="AA424520:AA424521"/>
    <mergeCell ref="AA424666:AA424667"/>
    <mergeCell ref="AA424812:AA424813"/>
    <mergeCell ref="AA424958:AA424959"/>
    <mergeCell ref="AA425104:AA425105"/>
    <mergeCell ref="AA425250:AA425251"/>
    <mergeCell ref="AA425396:AA425397"/>
    <mergeCell ref="AA425542:AA425543"/>
    <mergeCell ref="AA425688:AA425689"/>
    <mergeCell ref="AA425834:AA425835"/>
    <mergeCell ref="AA425980:AA425981"/>
    <mergeCell ref="AA426126:AA426127"/>
    <mergeCell ref="AA426272:AA426273"/>
    <mergeCell ref="AA426418:AA426419"/>
    <mergeCell ref="AA426564:AA426565"/>
    <mergeCell ref="AA426710:AA426711"/>
    <mergeCell ref="AA426856:AA426857"/>
    <mergeCell ref="AA427002:AA427003"/>
    <mergeCell ref="AA427148:AA427149"/>
    <mergeCell ref="AA427294:AA427295"/>
    <mergeCell ref="AA427440:AA427441"/>
    <mergeCell ref="AA427586:AA427587"/>
    <mergeCell ref="AA427732:AA427733"/>
    <mergeCell ref="AA427878:AA427879"/>
    <mergeCell ref="AA428024:AA428025"/>
    <mergeCell ref="AA428170:AA428171"/>
    <mergeCell ref="AA428316:AA428317"/>
    <mergeCell ref="AA428462:AA428463"/>
    <mergeCell ref="AA428608:AA428609"/>
    <mergeCell ref="AA428754:AA428755"/>
    <mergeCell ref="AA428900:AA428901"/>
    <mergeCell ref="AA429046:AA429047"/>
    <mergeCell ref="AA429192:AA429193"/>
    <mergeCell ref="AA429338:AA429339"/>
    <mergeCell ref="AA429484:AA429485"/>
    <mergeCell ref="AA429630:AA429631"/>
    <mergeCell ref="AA429776:AA429777"/>
    <mergeCell ref="AA429922:AA429923"/>
    <mergeCell ref="AA430068:AA430069"/>
    <mergeCell ref="AA430214:AA430215"/>
    <mergeCell ref="AA430360:AA430361"/>
    <mergeCell ref="AA430506:AA430507"/>
    <mergeCell ref="AA430652:AA430653"/>
    <mergeCell ref="AA430798:AA430799"/>
    <mergeCell ref="AA430944:AA430945"/>
    <mergeCell ref="AA431090:AA431091"/>
    <mergeCell ref="AA431236:AA431237"/>
    <mergeCell ref="AA431382:AA431383"/>
    <mergeCell ref="AA431528:AA431529"/>
    <mergeCell ref="AA431674:AA431675"/>
    <mergeCell ref="AA431820:AA431821"/>
    <mergeCell ref="AA431966:AA431967"/>
    <mergeCell ref="AA432112:AA432113"/>
    <mergeCell ref="AA432258:AA432259"/>
    <mergeCell ref="AA432404:AA432405"/>
    <mergeCell ref="AA432550:AA432551"/>
    <mergeCell ref="AA432696:AA432697"/>
    <mergeCell ref="AA432842:AA432843"/>
    <mergeCell ref="AA432988:AA432989"/>
    <mergeCell ref="AA433134:AA433135"/>
    <mergeCell ref="AA433280:AA433281"/>
    <mergeCell ref="AA433426:AA433427"/>
    <mergeCell ref="AA433572:AA433573"/>
    <mergeCell ref="AA433718:AA433719"/>
    <mergeCell ref="AA433864:AA433865"/>
    <mergeCell ref="AA434010:AA434011"/>
    <mergeCell ref="AA434156:AA434157"/>
    <mergeCell ref="AA434302:AA434303"/>
    <mergeCell ref="AA434448:AA434449"/>
    <mergeCell ref="AA434594:AA434595"/>
    <mergeCell ref="AA434740:AA434741"/>
    <mergeCell ref="AA434886:AA434887"/>
    <mergeCell ref="AA435032:AA435033"/>
    <mergeCell ref="AA435178:AA435179"/>
    <mergeCell ref="AA435324:AA435325"/>
    <mergeCell ref="AA435470:AA435471"/>
    <mergeCell ref="AA435616:AA435617"/>
    <mergeCell ref="AA435762:AA435763"/>
    <mergeCell ref="AA435908:AA435909"/>
    <mergeCell ref="AA436054:AA436055"/>
    <mergeCell ref="AA436200:AA436201"/>
    <mergeCell ref="AA436346:AA436347"/>
    <mergeCell ref="AA436492:AA436493"/>
    <mergeCell ref="AA436638:AA436639"/>
    <mergeCell ref="AA436784:AA436785"/>
    <mergeCell ref="AA436930:AA436931"/>
    <mergeCell ref="AA437076:AA437077"/>
    <mergeCell ref="AA437222:AA437223"/>
    <mergeCell ref="AA437368:AA437369"/>
    <mergeCell ref="AA437514:AA437515"/>
    <mergeCell ref="AA437660:AA437661"/>
    <mergeCell ref="AA437806:AA437807"/>
    <mergeCell ref="AA437952:AA437953"/>
    <mergeCell ref="AA438098:AA438099"/>
    <mergeCell ref="AA438244:AA438245"/>
    <mergeCell ref="AA438390:AA438391"/>
    <mergeCell ref="AA438536:AA438537"/>
    <mergeCell ref="AA438682:AA438683"/>
    <mergeCell ref="AA438828:AA438829"/>
    <mergeCell ref="AA438974:AA438975"/>
    <mergeCell ref="AA439120:AA439121"/>
    <mergeCell ref="AA439266:AA439267"/>
    <mergeCell ref="AA439412:AA439413"/>
    <mergeCell ref="AA439558:AA439559"/>
    <mergeCell ref="AA439704:AA439705"/>
    <mergeCell ref="AA439850:AA439851"/>
    <mergeCell ref="AA439996:AA439997"/>
    <mergeCell ref="AA440142:AA440143"/>
    <mergeCell ref="AA440288:AA440289"/>
    <mergeCell ref="AA440434:AA440435"/>
    <mergeCell ref="AA440580:AA440581"/>
    <mergeCell ref="AA440726:AA440727"/>
    <mergeCell ref="AA440872:AA440873"/>
    <mergeCell ref="AA441018:AA441019"/>
    <mergeCell ref="AA441164:AA441165"/>
    <mergeCell ref="AA441310:AA441311"/>
    <mergeCell ref="AA441456:AA441457"/>
    <mergeCell ref="AA441602:AA441603"/>
    <mergeCell ref="AA441748:AA441749"/>
    <mergeCell ref="AA441894:AA441895"/>
    <mergeCell ref="AA442040:AA442041"/>
    <mergeCell ref="AA442186:AA442187"/>
    <mergeCell ref="AA442332:AA442333"/>
    <mergeCell ref="AA442478:AA442479"/>
    <mergeCell ref="AA442624:AA442625"/>
    <mergeCell ref="AA442770:AA442771"/>
    <mergeCell ref="AA442916:AA442917"/>
    <mergeCell ref="AA443062:AA443063"/>
    <mergeCell ref="AA443208:AA443209"/>
    <mergeCell ref="AA443354:AA443355"/>
    <mergeCell ref="AA443500:AA443501"/>
    <mergeCell ref="AA443646:AA443647"/>
    <mergeCell ref="AA443792:AA443793"/>
    <mergeCell ref="AA443938:AA443939"/>
    <mergeCell ref="AA444084:AA444085"/>
    <mergeCell ref="AA444230:AA444231"/>
    <mergeCell ref="AA444376:AA444377"/>
    <mergeCell ref="AA444522:AA444523"/>
    <mergeCell ref="AA444668:AA444669"/>
    <mergeCell ref="AA444814:AA444815"/>
    <mergeCell ref="AA444960:AA444961"/>
    <mergeCell ref="AA445106:AA445107"/>
    <mergeCell ref="AA445252:AA445253"/>
    <mergeCell ref="AA445398:AA445399"/>
    <mergeCell ref="AA445544:AA445545"/>
    <mergeCell ref="AA445690:AA445691"/>
    <mergeCell ref="AA445836:AA445837"/>
    <mergeCell ref="AA445982:AA445983"/>
    <mergeCell ref="AA446128:AA446129"/>
    <mergeCell ref="AA446274:AA446275"/>
    <mergeCell ref="AA446420:AA446421"/>
    <mergeCell ref="AA446566:AA446567"/>
    <mergeCell ref="AA446712:AA446713"/>
    <mergeCell ref="AA446858:AA446859"/>
    <mergeCell ref="AA447004:AA447005"/>
    <mergeCell ref="AA447150:AA447151"/>
    <mergeCell ref="AA447296:AA447297"/>
    <mergeCell ref="AA447442:AA447443"/>
    <mergeCell ref="AA447588:AA447589"/>
    <mergeCell ref="AA447734:AA447735"/>
    <mergeCell ref="AA447880:AA447881"/>
    <mergeCell ref="AA448026:AA448027"/>
    <mergeCell ref="AA448172:AA448173"/>
    <mergeCell ref="AA448318:AA448319"/>
    <mergeCell ref="AA448464:AA448465"/>
    <mergeCell ref="AA448610:AA448611"/>
    <mergeCell ref="AA448756:AA448757"/>
    <mergeCell ref="AA448902:AA448903"/>
    <mergeCell ref="AA449048:AA449049"/>
    <mergeCell ref="AA449194:AA449195"/>
    <mergeCell ref="AA449340:AA449341"/>
    <mergeCell ref="AA449486:AA449487"/>
    <mergeCell ref="AA449632:AA449633"/>
    <mergeCell ref="AA449778:AA449779"/>
    <mergeCell ref="AA449924:AA449925"/>
    <mergeCell ref="AA450070:AA450071"/>
    <mergeCell ref="AA450216:AA450217"/>
    <mergeCell ref="AA450362:AA450363"/>
    <mergeCell ref="AA450508:AA450509"/>
    <mergeCell ref="AA450654:AA450655"/>
    <mergeCell ref="AA450800:AA450801"/>
    <mergeCell ref="AA450946:AA450947"/>
    <mergeCell ref="AA451092:AA451093"/>
    <mergeCell ref="AA451238:AA451239"/>
    <mergeCell ref="AA451384:AA451385"/>
    <mergeCell ref="AA451530:AA451531"/>
    <mergeCell ref="AA451676:AA451677"/>
    <mergeCell ref="AA451822:AA451823"/>
    <mergeCell ref="AA451968:AA451969"/>
    <mergeCell ref="AA452114:AA452115"/>
    <mergeCell ref="AA452260:AA452261"/>
    <mergeCell ref="AA452406:AA452407"/>
    <mergeCell ref="AA452552:AA452553"/>
    <mergeCell ref="AA452698:AA452699"/>
    <mergeCell ref="AA452844:AA452845"/>
    <mergeCell ref="AA452990:AA452991"/>
    <mergeCell ref="AA453136:AA453137"/>
    <mergeCell ref="AA453282:AA453283"/>
    <mergeCell ref="AA453428:AA453429"/>
    <mergeCell ref="AA453574:AA453575"/>
    <mergeCell ref="AA453720:AA453721"/>
    <mergeCell ref="AA453866:AA453867"/>
    <mergeCell ref="AA454012:AA454013"/>
    <mergeCell ref="AA454158:AA454159"/>
    <mergeCell ref="AA454304:AA454305"/>
    <mergeCell ref="AA454450:AA454451"/>
    <mergeCell ref="AA454596:AA454597"/>
    <mergeCell ref="AA454742:AA454743"/>
    <mergeCell ref="AA454888:AA454889"/>
    <mergeCell ref="AA455034:AA455035"/>
    <mergeCell ref="AA455180:AA455181"/>
    <mergeCell ref="AA455326:AA455327"/>
    <mergeCell ref="AA455472:AA455473"/>
    <mergeCell ref="AA455618:AA455619"/>
    <mergeCell ref="AA455764:AA455765"/>
    <mergeCell ref="AA455910:AA455911"/>
    <mergeCell ref="AA456056:AA456057"/>
    <mergeCell ref="AA456202:AA456203"/>
    <mergeCell ref="AA456348:AA456349"/>
    <mergeCell ref="AA456494:AA456495"/>
    <mergeCell ref="AA456640:AA456641"/>
    <mergeCell ref="AA456786:AA456787"/>
    <mergeCell ref="AA456932:AA456933"/>
    <mergeCell ref="AA457078:AA457079"/>
    <mergeCell ref="AA457224:AA457225"/>
    <mergeCell ref="AA457370:AA457371"/>
    <mergeCell ref="AA457516:AA457517"/>
    <mergeCell ref="AA457662:AA457663"/>
    <mergeCell ref="AA457808:AA457809"/>
    <mergeCell ref="AA457954:AA457955"/>
    <mergeCell ref="AA458100:AA458101"/>
    <mergeCell ref="AA458246:AA458247"/>
    <mergeCell ref="AA458392:AA458393"/>
    <mergeCell ref="AA458538:AA458539"/>
    <mergeCell ref="AA458684:AA458685"/>
    <mergeCell ref="AA458830:AA458831"/>
    <mergeCell ref="AA458976:AA458977"/>
    <mergeCell ref="AA459122:AA459123"/>
    <mergeCell ref="AA459268:AA459269"/>
    <mergeCell ref="AA459414:AA459415"/>
    <mergeCell ref="AA459560:AA459561"/>
    <mergeCell ref="AA459706:AA459707"/>
    <mergeCell ref="AA459852:AA459853"/>
    <mergeCell ref="AA459998:AA459999"/>
    <mergeCell ref="AA460144:AA460145"/>
    <mergeCell ref="AA460290:AA460291"/>
    <mergeCell ref="AA460436:AA460437"/>
    <mergeCell ref="AA460582:AA460583"/>
    <mergeCell ref="AA460728:AA460729"/>
    <mergeCell ref="AA460874:AA460875"/>
    <mergeCell ref="AA461020:AA461021"/>
    <mergeCell ref="AA461166:AA461167"/>
    <mergeCell ref="AA461312:AA461313"/>
    <mergeCell ref="AA461458:AA461459"/>
    <mergeCell ref="AA461604:AA461605"/>
    <mergeCell ref="AA461750:AA461751"/>
    <mergeCell ref="AA461896:AA461897"/>
    <mergeCell ref="AA462042:AA462043"/>
    <mergeCell ref="AA462188:AA462189"/>
    <mergeCell ref="AA462334:AA462335"/>
    <mergeCell ref="AA462480:AA462481"/>
    <mergeCell ref="AA462626:AA462627"/>
    <mergeCell ref="AA462772:AA462773"/>
    <mergeCell ref="AA462918:AA462919"/>
    <mergeCell ref="AA463064:AA463065"/>
    <mergeCell ref="AA463210:AA463211"/>
    <mergeCell ref="AA463356:AA463357"/>
    <mergeCell ref="AA463502:AA463503"/>
    <mergeCell ref="AA463648:AA463649"/>
    <mergeCell ref="AA463794:AA463795"/>
    <mergeCell ref="AA463940:AA463941"/>
    <mergeCell ref="AA464086:AA464087"/>
    <mergeCell ref="AA464232:AA464233"/>
    <mergeCell ref="AA464378:AA464379"/>
    <mergeCell ref="AA464524:AA464525"/>
    <mergeCell ref="AA464670:AA464671"/>
    <mergeCell ref="AA464816:AA464817"/>
    <mergeCell ref="AA464962:AA464963"/>
    <mergeCell ref="AA465108:AA465109"/>
    <mergeCell ref="AA465254:AA465255"/>
    <mergeCell ref="AA465400:AA465401"/>
    <mergeCell ref="AA465546:AA465547"/>
    <mergeCell ref="AA465692:AA465693"/>
    <mergeCell ref="AA465838:AA465839"/>
    <mergeCell ref="AA465984:AA465985"/>
    <mergeCell ref="AA466130:AA466131"/>
    <mergeCell ref="AA466276:AA466277"/>
    <mergeCell ref="AA466422:AA466423"/>
    <mergeCell ref="AA466568:AA466569"/>
    <mergeCell ref="AA466714:AA466715"/>
    <mergeCell ref="AA466860:AA466861"/>
    <mergeCell ref="AA467006:AA467007"/>
    <mergeCell ref="AA467152:AA467153"/>
    <mergeCell ref="AA467298:AA467299"/>
    <mergeCell ref="AA467444:AA467445"/>
    <mergeCell ref="AA467590:AA467591"/>
    <mergeCell ref="AA467736:AA467737"/>
    <mergeCell ref="AA467882:AA467883"/>
    <mergeCell ref="AA468028:AA468029"/>
    <mergeCell ref="AA468174:AA468175"/>
    <mergeCell ref="AA468320:AA468321"/>
    <mergeCell ref="AA468466:AA468467"/>
    <mergeCell ref="AA468612:AA468613"/>
    <mergeCell ref="AA468758:AA468759"/>
    <mergeCell ref="AA468904:AA468905"/>
    <mergeCell ref="AA469050:AA469051"/>
    <mergeCell ref="AA469196:AA469197"/>
    <mergeCell ref="AA469342:AA469343"/>
    <mergeCell ref="AA469488:AA469489"/>
    <mergeCell ref="AA469634:AA469635"/>
    <mergeCell ref="AA469780:AA469781"/>
    <mergeCell ref="AA469926:AA469927"/>
    <mergeCell ref="AA470072:AA470073"/>
    <mergeCell ref="AA470218:AA470219"/>
    <mergeCell ref="AA470364:AA470365"/>
    <mergeCell ref="AA470510:AA470511"/>
    <mergeCell ref="AA470656:AA470657"/>
    <mergeCell ref="AA470802:AA470803"/>
    <mergeCell ref="AA470948:AA470949"/>
    <mergeCell ref="AA471094:AA471095"/>
    <mergeCell ref="AA471240:AA471241"/>
    <mergeCell ref="AA471386:AA471387"/>
    <mergeCell ref="AA471532:AA471533"/>
    <mergeCell ref="AA471678:AA471679"/>
    <mergeCell ref="AA471824:AA471825"/>
    <mergeCell ref="AA471970:AA471971"/>
    <mergeCell ref="AA472116:AA472117"/>
    <mergeCell ref="AA472262:AA472263"/>
    <mergeCell ref="AA472408:AA472409"/>
    <mergeCell ref="AA472554:AA472555"/>
    <mergeCell ref="AA472700:AA472701"/>
    <mergeCell ref="AA472846:AA472847"/>
    <mergeCell ref="AA472992:AA472993"/>
    <mergeCell ref="AA473138:AA473139"/>
    <mergeCell ref="AA473284:AA473285"/>
    <mergeCell ref="AA473430:AA473431"/>
    <mergeCell ref="AA473576:AA473577"/>
    <mergeCell ref="AA473722:AA473723"/>
    <mergeCell ref="AA473868:AA473869"/>
    <mergeCell ref="AA474014:AA474015"/>
    <mergeCell ref="AA474160:AA474161"/>
    <mergeCell ref="AA474306:AA474307"/>
    <mergeCell ref="AA474452:AA474453"/>
    <mergeCell ref="AA474598:AA474599"/>
    <mergeCell ref="AA474744:AA474745"/>
    <mergeCell ref="AA474890:AA474891"/>
    <mergeCell ref="AA475036:AA475037"/>
    <mergeCell ref="AA475182:AA475183"/>
    <mergeCell ref="AA475328:AA475329"/>
    <mergeCell ref="AA475474:AA475475"/>
    <mergeCell ref="AA475620:AA475621"/>
    <mergeCell ref="AA475766:AA475767"/>
    <mergeCell ref="AA475912:AA475913"/>
    <mergeCell ref="AA476058:AA476059"/>
    <mergeCell ref="AA476204:AA476205"/>
    <mergeCell ref="AA476350:AA476351"/>
    <mergeCell ref="AA476496:AA476497"/>
    <mergeCell ref="AA476642:AA476643"/>
    <mergeCell ref="AA476788:AA476789"/>
    <mergeCell ref="AA476934:AA476935"/>
    <mergeCell ref="AA477080:AA477081"/>
    <mergeCell ref="AA477226:AA477227"/>
    <mergeCell ref="AA477372:AA477373"/>
    <mergeCell ref="AA477518:AA477519"/>
    <mergeCell ref="AA477664:AA477665"/>
    <mergeCell ref="AA477810:AA477811"/>
    <mergeCell ref="AA477956:AA477957"/>
    <mergeCell ref="AA478102:AA478103"/>
    <mergeCell ref="AA478248:AA478249"/>
    <mergeCell ref="AA478394:AA478395"/>
    <mergeCell ref="AA478540:AA478541"/>
    <mergeCell ref="AA478686:AA478687"/>
    <mergeCell ref="AA478832:AA478833"/>
    <mergeCell ref="AA478978:AA478979"/>
    <mergeCell ref="AA479124:AA479125"/>
    <mergeCell ref="AA479270:AA479271"/>
    <mergeCell ref="AA479416:AA479417"/>
    <mergeCell ref="AA479562:AA479563"/>
    <mergeCell ref="AA479708:AA479709"/>
    <mergeCell ref="AA479854:AA479855"/>
    <mergeCell ref="AA480000:AA480001"/>
    <mergeCell ref="AA480146:AA480147"/>
    <mergeCell ref="AA480292:AA480293"/>
    <mergeCell ref="AA480438:AA480439"/>
    <mergeCell ref="AA480584:AA480585"/>
    <mergeCell ref="AA480730:AA480731"/>
    <mergeCell ref="AA480876:AA480877"/>
    <mergeCell ref="AA481022:AA481023"/>
    <mergeCell ref="AA481168:AA481169"/>
    <mergeCell ref="AA481314:AA481315"/>
    <mergeCell ref="AA481460:AA481461"/>
    <mergeCell ref="AA481606:AA481607"/>
    <mergeCell ref="AA481752:AA481753"/>
    <mergeCell ref="AA481898:AA481899"/>
    <mergeCell ref="AA482044:AA482045"/>
    <mergeCell ref="AA482190:AA482191"/>
    <mergeCell ref="AA482336:AA482337"/>
    <mergeCell ref="AA482482:AA482483"/>
    <mergeCell ref="AA482628:AA482629"/>
    <mergeCell ref="AA482774:AA482775"/>
    <mergeCell ref="AA482920:AA482921"/>
    <mergeCell ref="AA483066:AA483067"/>
    <mergeCell ref="AA483212:AA483213"/>
    <mergeCell ref="AA483358:AA483359"/>
    <mergeCell ref="AA483504:AA483505"/>
    <mergeCell ref="AA483650:AA483651"/>
    <mergeCell ref="AA483796:AA483797"/>
    <mergeCell ref="AA483942:AA483943"/>
    <mergeCell ref="AA484088:AA484089"/>
    <mergeCell ref="AA484234:AA484235"/>
    <mergeCell ref="AA484380:AA484381"/>
    <mergeCell ref="AA484526:AA484527"/>
    <mergeCell ref="AA484672:AA484673"/>
    <mergeCell ref="AA484818:AA484819"/>
    <mergeCell ref="AA484964:AA484965"/>
    <mergeCell ref="AA485110:AA485111"/>
    <mergeCell ref="AA485256:AA485257"/>
    <mergeCell ref="AA485402:AA485403"/>
    <mergeCell ref="AA485548:AA485549"/>
    <mergeCell ref="AA485694:AA485695"/>
    <mergeCell ref="AA485840:AA485841"/>
    <mergeCell ref="AA485986:AA485987"/>
    <mergeCell ref="AA486132:AA486133"/>
    <mergeCell ref="AA486278:AA486279"/>
    <mergeCell ref="AA486424:AA486425"/>
    <mergeCell ref="AA486570:AA486571"/>
    <mergeCell ref="AA486716:AA486717"/>
    <mergeCell ref="AA486862:AA486863"/>
    <mergeCell ref="AA487008:AA487009"/>
    <mergeCell ref="AA487154:AA487155"/>
    <mergeCell ref="AA487300:AA487301"/>
    <mergeCell ref="AA487446:AA487447"/>
    <mergeCell ref="AA487592:AA487593"/>
    <mergeCell ref="AA487738:AA487739"/>
    <mergeCell ref="AA487884:AA487885"/>
    <mergeCell ref="AA488030:AA488031"/>
    <mergeCell ref="AA488176:AA488177"/>
    <mergeCell ref="AA488322:AA488323"/>
    <mergeCell ref="AA488468:AA488469"/>
    <mergeCell ref="AA488614:AA488615"/>
    <mergeCell ref="AA488760:AA488761"/>
    <mergeCell ref="AA488906:AA488907"/>
    <mergeCell ref="AA489052:AA489053"/>
    <mergeCell ref="AA489198:AA489199"/>
    <mergeCell ref="AA489344:AA489345"/>
    <mergeCell ref="AA489490:AA489491"/>
    <mergeCell ref="AA489636:AA489637"/>
    <mergeCell ref="AA489782:AA489783"/>
    <mergeCell ref="AA489928:AA489929"/>
    <mergeCell ref="AA490074:AA490075"/>
    <mergeCell ref="AA490220:AA490221"/>
    <mergeCell ref="AA490366:AA490367"/>
    <mergeCell ref="AA490512:AA490513"/>
    <mergeCell ref="AA490658:AA490659"/>
    <mergeCell ref="AA490804:AA490805"/>
    <mergeCell ref="AA490950:AA490951"/>
    <mergeCell ref="AA491096:AA491097"/>
    <mergeCell ref="AA491242:AA491243"/>
    <mergeCell ref="AA491388:AA491389"/>
    <mergeCell ref="AA491534:AA491535"/>
    <mergeCell ref="AA491680:AA491681"/>
    <mergeCell ref="AA491826:AA491827"/>
    <mergeCell ref="AA491972:AA491973"/>
    <mergeCell ref="AA492118:AA492119"/>
    <mergeCell ref="AA492264:AA492265"/>
    <mergeCell ref="AA492410:AA492411"/>
    <mergeCell ref="AA492556:AA492557"/>
    <mergeCell ref="AA492702:AA492703"/>
    <mergeCell ref="AA492848:AA492849"/>
    <mergeCell ref="AA492994:AA492995"/>
    <mergeCell ref="AA493140:AA493141"/>
    <mergeCell ref="AA493286:AA493287"/>
    <mergeCell ref="AA493432:AA493433"/>
    <mergeCell ref="AA493578:AA493579"/>
    <mergeCell ref="AA493724:AA493725"/>
    <mergeCell ref="AA493870:AA493871"/>
    <mergeCell ref="AA494016:AA494017"/>
    <mergeCell ref="AA494162:AA494163"/>
    <mergeCell ref="AA494308:AA494309"/>
    <mergeCell ref="AA494454:AA494455"/>
    <mergeCell ref="AA494600:AA494601"/>
    <mergeCell ref="AA494746:AA494747"/>
    <mergeCell ref="AA494892:AA494893"/>
    <mergeCell ref="AA495038:AA495039"/>
    <mergeCell ref="AA495184:AA495185"/>
    <mergeCell ref="AA495330:AA495331"/>
    <mergeCell ref="AA495476:AA495477"/>
    <mergeCell ref="AA495622:AA495623"/>
    <mergeCell ref="AA495768:AA495769"/>
    <mergeCell ref="AA495914:AA495915"/>
    <mergeCell ref="AA496060:AA496061"/>
    <mergeCell ref="AA496206:AA496207"/>
    <mergeCell ref="AA496352:AA496353"/>
    <mergeCell ref="AA496498:AA496499"/>
    <mergeCell ref="AA496644:AA496645"/>
    <mergeCell ref="AA496790:AA496791"/>
    <mergeCell ref="AA496936:AA496937"/>
    <mergeCell ref="AA497082:AA497083"/>
    <mergeCell ref="AA497228:AA497229"/>
    <mergeCell ref="AA497374:AA497375"/>
    <mergeCell ref="AA497520:AA497521"/>
    <mergeCell ref="AA497666:AA497667"/>
    <mergeCell ref="AA497812:AA497813"/>
    <mergeCell ref="AA497958:AA497959"/>
    <mergeCell ref="AA498104:AA498105"/>
    <mergeCell ref="AA498250:AA498251"/>
    <mergeCell ref="AA498396:AA498397"/>
    <mergeCell ref="AA498542:AA498543"/>
    <mergeCell ref="AA498688:AA498689"/>
    <mergeCell ref="AA498834:AA498835"/>
    <mergeCell ref="AA498980:AA498981"/>
    <mergeCell ref="AA499126:AA499127"/>
    <mergeCell ref="AA499272:AA499273"/>
    <mergeCell ref="AA499418:AA499419"/>
    <mergeCell ref="AA499564:AA499565"/>
    <mergeCell ref="AA499710:AA499711"/>
    <mergeCell ref="AA499856:AA499857"/>
    <mergeCell ref="AA500002:AA500003"/>
    <mergeCell ref="AA500148:AA500149"/>
    <mergeCell ref="AA500294:AA500295"/>
    <mergeCell ref="AA500440:AA500441"/>
    <mergeCell ref="AA500586:AA500587"/>
    <mergeCell ref="AA500732:AA500733"/>
    <mergeCell ref="AA500878:AA500879"/>
    <mergeCell ref="AA501024:AA501025"/>
    <mergeCell ref="AA501170:AA501171"/>
    <mergeCell ref="AA501316:AA501317"/>
    <mergeCell ref="AA501462:AA501463"/>
    <mergeCell ref="AA501608:AA501609"/>
    <mergeCell ref="AA501754:AA501755"/>
    <mergeCell ref="AA501900:AA501901"/>
    <mergeCell ref="AA502046:AA502047"/>
    <mergeCell ref="AA502192:AA502193"/>
    <mergeCell ref="AA502338:AA502339"/>
    <mergeCell ref="AA502484:AA502485"/>
    <mergeCell ref="AA502630:AA502631"/>
    <mergeCell ref="AA502776:AA502777"/>
    <mergeCell ref="AA502922:AA502923"/>
    <mergeCell ref="AA503068:AA503069"/>
    <mergeCell ref="AA503214:AA503215"/>
    <mergeCell ref="AA503360:AA503361"/>
    <mergeCell ref="AA503506:AA503507"/>
    <mergeCell ref="AA503652:AA503653"/>
    <mergeCell ref="AA503798:AA503799"/>
    <mergeCell ref="AA503944:AA503945"/>
    <mergeCell ref="AA504090:AA504091"/>
    <mergeCell ref="AA504236:AA504237"/>
    <mergeCell ref="AA504382:AA504383"/>
    <mergeCell ref="AA504528:AA504529"/>
    <mergeCell ref="AA504674:AA504675"/>
    <mergeCell ref="AA504820:AA504821"/>
    <mergeCell ref="AA504966:AA504967"/>
    <mergeCell ref="AA505112:AA505113"/>
    <mergeCell ref="AA505258:AA505259"/>
    <mergeCell ref="AA505404:AA505405"/>
    <mergeCell ref="AA505550:AA505551"/>
    <mergeCell ref="AA505696:AA505697"/>
    <mergeCell ref="AA505842:AA505843"/>
    <mergeCell ref="AA505988:AA505989"/>
    <mergeCell ref="AA506134:AA506135"/>
    <mergeCell ref="AA506280:AA506281"/>
    <mergeCell ref="AA506426:AA506427"/>
    <mergeCell ref="AA506572:AA506573"/>
    <mergeCell ref="AA506718:AA506719"/>
    <mergeCell ref="AA506864:AA506865"/>
    <mergeCell ref="AA507010:AA507011"/>
    <mergeCell ref="AA507156:AA507157"/>
    <mergeCell ref="AA507302:AA507303"/>
    <mergeCell ref="AA507448:AA507449"/>
    <mergeCell ref="AA507594:AA507595"/>
    <mergeCell ref="AA507740:AA507741"/>
    <mergeCell ref="AA507886:AA507887"/>
    <mergeCell ref="AA508032:AA508033"/>
    <mergeCell ref="AA508178:AA508179"/>
    <mergeCell ref="AA508324:AA508325"/>
    <mergeCell ref="AA508470:AA508471"/>
    <mergeCell ref="AA508616:AA508617"/>
    <mergeCell ref="AA508762:AA508763"/>
    <mergeCell ref="AA508908:AA508909"/>
    <mergeCell ref="AA509054:AA509055"/>
    <mergeCell ref="AA509200:AA509201"/>
    <mergeCell ref="AA509346:AA509347"/>
    <mergeCell ref="AA509492:AA509493"/>
    <mergeCell ref="AA509638:AA509639"/>
    <mergeCell ref="AA509784:AA509785"/>
    <mergeCell ref="AA509930:AA509931"/>
    <mergeCell ref="AA510076:AA510077"/>
    <mergeCell ref="AA510222:AA510223"/>
    <mergeCell ref="AA510368:AA510369"/>
    <mergeCell ref="AA510514:AA510515"/>
    <mergeCell ref="AA510660:AA510661"/>
    <mergeCell ref="AA510806:AA510807"/>
    <mergeCell ref="AA510952:AA510953"/>
    <mergeCell ref="AA511098:AA511099"/>
    <mergeCell ref="AA511244:AA511245"/>
    <mergeCell ref="AA511390:AA511391"/>
    <mergeCell ref="AA511536:AA511537"/>
    <mergeCell ref="AA511682:AA511683"/>
    <mergeCell ref="AA511828:AA511829"/>
    <mergeCell ref="AA511974:AA511975"/>
    <mergeCell ref="AA512120:AA512121"/>
    <mergeCell ref="AA512266:AA512267"/>
    <mergeCell ref="AA512412:AA512413"/>
    <mergeCell ref="AA512558:AA512559"/>
    <mergeCell ref="AA512704:AA512705"/>
    <mergeCell ref="AA512850:AA512851"/>
    <mergeCell ref="AA512996:AA512997"/>
    <mergeCell ref="AA513142:AA513143"/>
    <mergeCell ref="AA513288:AA513289"/>
    <mergeCell ref="AA513434:AA513435"/>
    <mergeCell ref="AA513580:AA513581"/>
    <mergeCell ref="AA513726:AA513727"/>
    <mergeCell ref="AA513872:AA513873"/>
    <mergeCell ref="AA514018:AA514019"/>
    <mergeCell ref="AA514164:AA514165"/>
    <mergeCell ref="AA514310:AA514311"/>
    <mergeCell ref="AA514456:AA514457"/>
    <mergeCell ref="AA514602:AA514603"/>
    <mergeCell ref="AA514748:AA514749"/>
    <mergeCell ref="AA514894:AA514895"/>
    <mergeCell ref="AA515040:AA515041"/>
    <mergeCell ref="AA515186:AA515187"/>
    <mergeCell ref="AA515332:AA515333"/>
    <mergeCell ref="AA515478:AA515479"/>
    <mergeCell ref="AA515624:AA515625"/>
    <mergeCell ref="AA515770:AA515771"/>
    <mergeCell ref="AA515916:AA515917"/>
    <mergeCell ref="AA516062:AA516063"/>
    <mergeCell ref="AA516208:AA516209"/>
    <mergeCell ref="AA516354:AA516355"/>
    <mergeCell ref="AA516500:AA516501"/>
    <mergeCell ref="AA516646:AA516647"/>
    <mergeCell ref="AA516792:AA516793"/>
    <mergeCell ref="AA516938:AA516939"/>
    <mergeCell ref="AA517084:AA517085"/>
    <mergeCell ref="AA517230:AA517231"/>
    <mergeCell ref="AA517376:AA517377"/>
    <mergeCell ref="AA517522:AA517523"/>
    <mergeCell ref="AA517668:AA517669"/>
    <mergeCell ref="AA517814:AA517815"/>
    <mergeCell ref="AA517960:AA517961"/>
    <mergeCell ref="AA518106:AA518107"/>
    <mergeCell ref="AA518252:AA518253"/>
    <mergeCell ref="AA518398:AA518399"/>
    <mergeCell ref="AA518544:AA518545"/>
    <mergeCell ref="AA518690:AA518691"/>
    <mergeCell ref="AA518836:AA518837"/>
    <mergeCell ref="AA518982:AA518983"/>
    <mergeCell ref="AA519128:AA519129"/>
    <mergeCell ref="AA519274:AA519275"/>
    <mergeCell ref="AA519420:AA519421"/>
    <mergeCell ref="AA519566:AA519567"/>
    <mergeCell ref="AA519712:AA519713"/>
    <mergeCell ref="AA519858:AA519859"/>
    <mergeCell ref="AA520004:AA520005"/>
    <mergeCell ref="AA520150:AA520151"/>
    <mergeCell ref="AA520296:AA520297"/>
    <mergeCell ref="AA520442:AA520443"/>
    <mergeCell ref="AA520588:AA520589"/>
    <mergeCell ref="AA520734:AA520735"/>
    <mergeCell ref="AA520880:AA520881"/>
    <mergeCell ref="AA521026:AA521027"/>
    <mergeCell ref="AA521172:AA521173"/>
    <mergeCell ref="AA521318:AA521319"/>
    <mergeCell ref="AA521464:AA521465"/>
    <mergeCell ref="AA521610:AA521611"/>
    <mergeCell ref="AA521756:AA521757"/>
    <mergeCell ref="AA521902:AA521903"/>
    <mergeCell ref="AA522048:AA522049"/>
    <mergeCell ref="AA522194:AA522195"/>
    <mergeCell ref="AA522340:AA522341"/>
    <mergeCell ref="AA522486:AA522487"/>
    <mergeCell ref="AA522632:AA522633"/>
    <mergeCell ref="AA522778:AA522779"/>
    <mergeCell ref="AA522924:AA522925"/>
    <mergeCell ref="AA523070:AA523071"/>
    <mergeCell ref="AA523216:AA523217"/>
    <mergeCell ref="AA523362:AA523363"/>
    <mergeCell ref="AA523508:AA523509"/>
    <mergeCell ref="AA523654:AA523655"/>
    <mergeCell ref="AA523800:AA523801"/>
    <mergeCell ref="AA523946:AA523947"/>
    <mergeCell ref="AA524092:AA524093"/>
    <mergeCell ref="AA524238:AA524239"/>
    <mergeCell ref="AA524384:AA524385"/>
    <mergeCell ref="AA524530:AA524531"/>
    <mergeCell ref="AA524676:AA524677"/>
    <mergeCell ref="AA524822:AA524823"/>
    <mergeCell ref="AA524968:AA524969"/>
    <mergeCell ref="AA525114:AA525115"/>
    <mergeCell ref="AA525260:AA525261"/>
    <mergeCell ref="AA525406:AA525407"/>
    <mergeCell ref="AA525552:AA525553"/>
    <mergeCell ref="AA525698:AA525699"/>
    <mergeCell ref="AA525844:AA525845"/>
    <mergeCell ref="AA525990:AA525991"/>
    <mergeCell ref="AA526136:AA526137"/>
    <mergeCell ref="AA526282:AA526283"/>
    <mergeCell ref="AA526428:AA526429"/>
    <mergeCell ref="AA526574:AA526575"/>
    <mergeCell ref="AA526720:AA526721"/>
    <mergeCell ref="AA526866:AA526867"/>
    <mergeCell ref="AA527012:AA527013"/>
    <mergeCell ref="AA527158:AA527159"/>
    <mergeCell ref="AA527304:AA527305"/>
    <mergeCell ref="AA527450:AA527451"/>
    <mergeCell ref="AA527596:AA527597"/>
    <mergeCell ref="AA527742:AA527743"/>
    <mergeCell ref="AA527888:AA527889"/>
    <mergeCell ref="AA528034:AA528035"/>
    <mergeCell ref="AA528180:AA528181"/>
    <mergeCell ref="AA528326:AA528327"/>
    <mergeCell ref="AA528472:AA528473"/>
    <mergeCell ref="AA528618:AA528619"/>
    <mergeCell ref="AA528764:AA528765"/>
    <mergeCell ref="AA528910:AA528911"/>
    <mergeCell ref="AA529056:AA529057"/>
    <mergeCell ref="AA529202:AA529203"/>
    <mergeCell ref="AA529348:AA529349"/>
    <mergeCell ref="AA529494:AA529495"/>
    <mergeCell ref="AA529640:AA529641"/>
    <mergeCell ref="AA529786:AA529787"/>
    <mergeCell ref="AA529932:AA529933"/>
    <mergeCell ref="AA530078:AA530079"/>
    <mergeCell ref="AA530224:AA530225"/>
    <mergeCell ref="AA530370:AA530371"/>
    <mergeCell ref="AA530516:AA530517"/>
    <mergeCell ref="AA530662:AA530663"/>
    <mergeCell ref="AA530808:AA530809"/>
    <mergeCell ref="AA530954:AA530955"/>
    <mergeCell ref="AA531100:AA531101"/>
    <mergeCell ref="AA531246:AA531247"/>
    <mergeCell ref="AA531392:AA531393"/>
    <mergeCell ref="AA531538:AA531539"/>
    <mergeCell ref="AA531684:AA531685"/>
    <mergeCell ref="AA531830:AA531831"/>
    <mergeCell ref="AA531976:AA531977"/>
    <mergeCell ref="AA532122:AA532123"/>
    <mergeCell ref="AA532268:AA532269"/>
    <mergeCell ref="AA532414:AA532415"/>
    <mergeCell ref="AA532560:AA532561"/>
    <mergeCell ref="AA532706:AA532707"/>
    <mergeCell ref="AA532852:AA532853"/>
    <mergeCell ref="AA532998:AA532999"/>
    <mergeCell ref="AA533144:AA533145"/>
    <mergeCell ref="AA533290:AA533291"/>
    <mergeCell ref="AA533436:AA533437"/>
    <mergeCell ref="AA533582:AA533583"/>
    <mergeCell ref="AA533728:AA533729"/>
    <mergeCell ref="AA533874:AA533875"/>
    <mergeCell ref="AA534020:AA534021"/>
    <mergeCell ref="AA534166:AA534167"/>
    <mergeCell ref="AA534312:AA534313"/>
    <mergeCell ref="AA534458:AA534459"/>
    <mergeCell ref="AA534604:AA534605"/>
    <mergeCell ref="AA534750:AA534751"/>
    <mergeCell ref="AA534896:AA534897"/>
    <mergeCell ref="AA535042:AA535043"/>
    <mergeCell ref="AA535188:AA535189"/>
    <mergeCell ref="AA535334:AA535335"/>
    <mergeCell ref="AA535480:AA535481"/>
    <mergeCell ref="AA535626:AA535627"/>
    <mergeCell ref="AA535772:AA535773"/>
    <mergeCell ref="AA535918:AA535919"/>
    <mergeCell ref="AA536064:AA536065"/>
    <mergeCell ref="AA536210:AA536211"/>
    <mergeCell ref="AA536356:AA536357"/>
    <mergeCell ref="AA536502:AA536503"/>
    <mergeCell ref="AA536648:AA536649"/>
    <mergeCell ref="AA536794:AA536795"/>
    <mergeCell ref="AA536940:AA536941"/>
    <mergeCell ref="AA537086:AA537087"/>
    <mergeCell ref="AA537232:AA537233"/>
    <mergeCell ref="AA537378:AA537379"/>
    <mergeCell ref="AA537524:AA537525"/>
    <mergeCell ref="AA537670:AA537671"/>
    <mergeCell ref="AA537816:AA537817"/>
    <mergeCell ref="AA537962:AA537963"/>
    <mergeCell ref="AA538108:AA538109"/>
    <mergeCell ref="AA538254:AA538255"/>
    <mergeCell ref="AA538400:AA538401"/>
    <mergeCell ref="AA538546:AA538547"/>
    <mergeCell ref="AA538692:AA538693"/>
    <mergeCell ref="AA538838:AA538839"/>
    <mergeCell ref="AA538984:AA538985"/>
    <mergeCell ref="AA539130:AA539131"/>
    <mergeCell ref="AA539276:AA539277"/>
    <mergeCell ref="AA539422:AA539423"/>
    <mergeCell ref="AA539568:AA539569"/>
    <mergeCell ref="AA539714:AA539715"/>
    <mergeCell ref="AA539860:AA539861"/>
    <mergeCell ref="AA540006:AA540007"/>
    <mergeCell ref="AA540152:AA540153"/>
    <mergeCell ref="AA540298:AA540299"/>
    <mergeCell ref="AA540444:AA540445"/>
    <mergeCell ref="AA540590:AA540591"/>
    <mergeCell ref="AA540736:AA540737"/>
    <mergeCell ref="AA540882:AA540883"/>
    <mergeCell ref="AA541028:AA541029"/>
    <mergeCell ref="AA541174:AA541175"/>
    <mergeCell ref="AA541320:AA541321"/>
    <mergeCell ref="AA541466:AA541467"/>
    <mergeCell ref="AA541612:AA541613"/>
    <mergeCell ref="AA541758:AA541759"/>
    <mergeCell ref="AA541904:AA541905"/>
    <mergeCell ref="AA542050:AA542051"/>
    <mergeCell ref="AA542196:AA542197"/>
    <mergeCell ref="AA542342:AA542343"/>
    <mergeCell ref="AA542488:AA542489"/>
    <mergeCell ref="AA542634:AA542635"/>
    <mergeCell ref="AA542780:AA542781"/>
    <mergeCell ref="AA542926:AA542927"/>
    <mergeCell ref="AA543072:AA543073"/>
    <mergeCell ref="AA543218:AA543219"/>
    <mergeCell ref="AA543364:AA543365"/>
    <mergeCell ref="AA543510:AA543511"/>
    <mergeCell ref="AA543656:AA543657"/>
    <mergeCell ref="AA543802:AA543803"/>
    <mergeCell ref="AA543948:AA543949"/>
    <mergeCell ref="AA544094:AA544095"/>
    <mergeCell ref="AA544240:AA544241"/>
    <mergeCell ref="AA544386:AA544387"/>
    <mergeCell ref="AA544532:AA544533"/>
    <mergeCell ref="AA544678:AA544679"/>
    <mergeCell ref="AA544824:AA544825"/>
    <mergeCell ref="AA544970:AA544971"/>
    <mergeCell ref="AA545116:AA545117"/>
    <mergeCell ref="AA545262:AA545263"/>
    <mergeCell ref="AA545408:AA545409"/>
    <mergeCell ref="AA545554:AA545555"/>
    <mergeCell ref="AA545700:AA545701"/>
    <mergeCell ref="AA545846:AA545847"/>
    <mergeCell ref="AA545992:AA545993"/>
    <mergeCell ref="AA546138:AA546139"/>
    <mergeCell ref="AA546284:AA546285"/>
    <mergeCell ref="AA546430:AA546431"/>
    <mergeCell ref="AA546576:AA546577"/>
    <mergeCell ref="AA546722:AA546723"/>
    <mergeCell ref="AA546868:AA546869"/>
    <mergeCell ref="AA547014:AA547015"/>
    <mergeCell ref="AA547160:AA547161"/>
    <mergeCell ref="AA547306:AA547307"/>
    <mergeCell ref="AA547452:AA547453"/>
    <mergeCell ref="AA547598:AA547599"/>
    <mergeCell ref="AA547744:AA547745"/>
    <mergeCell ref="AA547890:AA547891"/>
    <mergeCell ref="AA548036:AA548037"/>
    <mergeCell ref="AA548182:AA548183"/>
    <mergeCell ref="AA548328:AA548329"/>
    <mergeCell ref="AA548474:AA548475"/>
    <mergeCell ref="AA548620:AA548621"/>
    <mergeCell ref="AA548766:AA548767"/>
    <mergeCell ref="AA548912:AA548913"/>
    <mergeCell ref="AA549058:AA549059"/>
    <mergeCell ref="AA549204:AA549205"/>
    <mergeCell ref="AA549350:AA549351"/>
    <mergeCell ref="AA549496:AA549497"/>
    <mergeCell ref="AA549642:AA549643"/>
    <mergeCell ref="AA549788:AA549789"/>
    <mergeCell ref="AA549934:AA549935"/>
    <mergeCell ref="AA550080:AA550081"/>
    <mergeCell ref="AA550226:AA550227"/>
    <mergeCell ref="AA550372:AA550373"/>
    <mergeCell ref="AA550518:AA550519"/>
    <mergeCell ref="AA550664:AA550665"/>
    <mergeCell ref="AA550810:AA550811"/>
    <mergeCell ref="AA550956:AA550957"/>
    <mergeCell ref="AA551102:AA551103"/>
    <mergeCell ref="AA551248:AA551249"/>
    <mergeCell ref="AA551394:AA551395"/>
    <mergeCell ref="AA551540:AA551541"/>
    <mergeCell ref="AA551686:AA551687"/>
    <mergeCell ref="AA551832:AA551833"/>
    <mergeCell ref="AA551978:AA551979"/>
    <mergeCell ref="AA552124:AA552125"/>
    <mergeCell ref="AA552270:AA552271"/>
    <mergeCell ref="AA552416:AA552417"/>
    <mergeCell ref="AA552562:AA552563"/>
    <mergeCell ref="AA552708:AA552709"/>
    <mergeCell ref="AA552854:AA552855"/>
    <mergeCell ref="AA553000:AA553001"/>
    <mergeCell ref="AA553146:AA553147"/>
    <mergeCell ref="AA553292:AA553293"/>
    <mergeCell ref="AA553438:AA553439"/>
    <mergeCell ref="AA553584:AA553585"/>
    <mergeCell ref="AA553730:AA553731"/>
    <mergeCell ref="AA553876:AA553877"/>
    <mergeCell ref="AA554022:AA554023"/>
    <mergeCell ref="AA554168:AA554169"/>
    <mergeCell ref="AA554314:AA554315"/>
    <mergeCell ref="AA554460:AA554461"/>
    <mergeCell ref="AA554606:AA554607"/>
    <mergeCell ref="AA554752:AA554753"/>
    <mergeCell ref="AA554898:AA554899"/>
    <mergeCell ref="AA555044:AA555045"/>
    <mergeCell ref="AA555190:AA555191"/>
    <mergeCell ref="AA555336:AA555337"/>
    <mergeCell ref="AA555482:AA555483"/>
    <mergeCell ref="AA555628:AA555629"/>
    <mergeCell ref="AA555774:AA555775"/>
    <mergeCell ref="AA555920:AA555921"/>
    <mergeCell ref="AA556066:AA556067"/>
    <mergeCell ref="AA556212:AA556213"/>
    <mergeCell ref="AA556358:AA556359"/>
    <mergeCell ref="AA556504:AA556505"/>
    <mergeCell ref="AA556650:AA556651"/>
    <mergeCell ref="AA556796:AA556797"/>
    <mergeCell ref="AA556942:AA556943"/>
    <mergeCell ref="AA557088:AA557089"/>
    <mergeCell ref="AA557234:AA557235"/>
    <mergeCell ref="AA557380:AA557381"/>
    <mergeCell ref="AA557526:AA557527"/>
    <mergeCell ref="AA557672:AA557673"/>
    <mergeCell ref="AA557818:AA557819"/>
    <mergeCell ref="AA557964:AA557965"/>
    <mergeCell ref="AA558110:AA558111"/>
    <mergeCell ref="AA558256:AA558257"/>
    <mergeCell ref="AA558402:AA558403"/>
    <mergeCell ref="AA558548:AA558549"/>
    <mergeCell ref="AA558694:AA558695"/>
    <mergeCell ref="AA558840:AA558841"/>
    <mergeCell ref="AA558986:AA558987"/>
    <mergeCell ref="AA559132:AA559133"/>
    <mergeCell ref="AA559278:AA559279"/>
    <mergeCell ref="AA559424:AA559425"/>
    <mergeCell ref="AA559570:AA559571"/>
    <mergeCell ref="AA559716:AA559717"/>
    <mergeCell ref="AA559862:AA559863"/>
    <mergeCell ref="AA560008:AA560009"/>
    <mergeCell ref="AA560154:AA560155"/>
    <mergeCell ref="AA560300:AA560301"/>
    <mergeCell ref="AA560446:AA560447"/>
    <mergeCell ref="AA560592:AA560593"/>
    <mergeCell ref="AA560738:AA560739"/>
    <mergeCell ref="AA560884:AA560885"/>
    <mergeCell ref="AA561030:AA561031"/>
    <mergeCell ref="AA561176:AA561177"/>
    <mergeCell ref="AA561322:AA561323"/>
    <mergeCell ref="AA561468:AA561469"/>
    <mergeCell ref="AA561614:AA561615"/>
    <mergeCell ref="AA561760:AA561761"/>
    <mergeCell ref="AA561906:AA561907"/>
    <mergeCell ref="AA562052:AA562053"/>
    <mergeCell ref="AA562198:AA562199"/>
    <mergeCell ref="AA562344:AA562345"/>
    <mergeCell ref="AA562490:AA562491"/>
    <mergeCell ref="AA562636:AA562637"/>
    <mergeCell ref="AA562782:AA562783"/>
    <mergeCell ref="AA562928:AA562929"/>
    <mergeCell ref="AA563074:AA563075"/>
    <mergeCell ref="AA563220:AA563221"/>
    <mergeCell ref="AA563366:AA563367"/>
    <mergeCell ref="AA563512:AA563513"/>
    <mergeCell ref="AA563658:AA563659"/>
    <mergeCell ref="AA563804:AA563805"/>
    <mergeCell ref="AA563950:AA563951"/>
    <mergeCell ref="AA564096:AA564097"/>
    <mergeCell ref="AA564242:AA564243"/>
    <mergeCell ref="AA564388:AA564389"/>
    <mergeCell ref="AA564534:AA564535"/>
    <mergeCell ref="AA564680:AA564681"/>
    <mergeCell ref="AA564826:AA564827"/>
    <mergeCell ref="AA564972:AA564973"/>
    <mergeCell ref="AA565118:AA565119"/>
    <mergeCell ref="AA565264:AA565265"/>
    <mergeCell ref="AA565410:AA565411"/>
    <mergeCell ref="AA565556:AA565557"/>
    <mergeCell ref="AA565702:AA565703"/>
    <mergeCell ref="AA565848:AA565849"/>
    <mergeCell ref="AA565994:AA565995"/>
    <mergeCell ref="AA566140:AA566141"/>
    <mergeCell ref="AA566286:AA566287"/>
    <mergeCell ref="AA566432:AA566433"/>
    <mergeCell ref="AA566578:AA566579"/>
    <mergeCell ref="AA566724:AA566725"/>
    <mergeCell ref="AA566870:AA566871"/>
    <mergeCell ref="AA567016:AA567017"/>
    <mergeCell ref="AA567162:AA567163"/>
    <mergeCell ref="AA567308:AA567309"/>
    <mergeCell ref="AA567454:AA567455"/>
    <mergeCell ref="AA567600:AA567601"/>
    <mergeCell ref="AA567746:AA567747"/>
    <mergeCell ref="AA567892:AA567893"/>
    <mergeCell ref="AA568038:AA568039"/>
    <mergeCell ref="AA568184:AA568185"/>
    <mergeCell ref="AA568330:AA568331"/>
    <mergeCell ref="AA568476:AA568477"/>
    <mergeCell ref="AA568622:AA568623"/>
    <mergeCell ref="AA568768:AA568769"/>
    <mergeCell ref="AA568914:AA568915"/>
    <mergeCell ref="AA569060:AA569061"/>
    <mergeCell ref="AA569206:AA569207"/>
    <mergeCell ref="AA569352:AA569353"/>
    <mergeCell ref="AA569498:AA569499"/>
    <mergeCell ref="AA569644:AA569645"/>
    <mergeCell ref="AA569790:AA569791"/>
    <mergeCell ref="AA569936:AA569937"/>
    <mergeCell ref="AA570082:AA570083"/>
    <mergeCell ref="AA570228:AA570229"/>
    <mergeCell ref="AA570374:AA570375"/>
    <mergeCell ref="AA570520:AA570521"/>
    <mergeCell ref="AA570666:AA570667"/>
    <mergeCell ref="AA570812:AA570813"/>
    <mergeCell ref="AA570958:AA570959"/>
    <mergeCell ref="AA571104:AA571105"/>
    <mergeCell ref="AA571250:AA571251"/>
    <mergeCell ref="AA571396:AA571397"/>
    <mergeCell ref="AA571542:AA571543"/>
    <mergeCell ref="AA571688:AA571689"/>
    <mergeCell ref="AA571834:AA571835"/>
    <mergeCell ref="AA571980:AA571981"/>
    <mergeCell ref="AA572126:AA572127"/>
    <mergeCell ref="AA572272:AA572273"/>
    <mergeCell ref="AA572418:AA572419"/>
    <mergeCell ref="AA572564:AA572565"/>
    <mergeCell ref="AA572710:AA572711"/>
    <mergeCell ref="AA572856:AA572857"/>
    <mergeCell ref="AA573002:AA573003"/>
    <mergeCell ref="AA573148:AA573149"/>
    <mergeCell ref="AA573294:AA573295"/>
    <mergeCell ref="AA573440:AA573441"/>
    <mergeCell ref="AA573586:AA573587"/>
    <mergeCell ref="AA573732:AA573733"/>
    <mergeCell ref="AA573878:AA573879"/>
    <mergeCell ref="AA574024:AA574025"/>
    <mergeCell ref="AA574170:AA574171"/>
    <mergeCell ref="AA574316:AA574317"/>
    <mergeCell ref="AA574462:AA574463"/>
    <mergeCell ref="AA574608:AA574609"/>
    <mergeCell ref="AA574754:AA574755"/>
    <mergeCell ref="AA574900:AA574901"/>
    <mergeCell ref="AA575046:AA575047"/>
    <mergeCell ref="AA575192:AA575193"/>
    <mergeCell ref="AA575338:AA575339"/>
    <mergeCell ref="AA575484:AA575485"/>
    <mergeCell ref="AA575630:AA575631"/>
    <mergeCell ref="AA575776:AA575777"/>
    <mergeCell ref="AA575922:AA575923"/>
    <mergeCell ref="AA576068:AA576069"/>
    <mergeCell ref="AA576214:AA576215"/>
    <mergeCell ref="AA576360:AA576361"/>
    <mergeCell ref="AA576506:AA576507"/>
    <mergeCell ref="AA576652:AA576653"/>
    <mergeCell ref="AA576798:AA576799"/>
    <mergeCell ref="AA576944:AA576945"/>
    <mergeCell ref="AA577090:AA577091"/>
    <mergeCell ref="AA577236:AA577237"/>
    <mergeCell ref="AA577382:AA577383"/>
    <mergeCell ref="AA577528:AA577529"/>
    <mergeCell ref="AA577674:AA577675"/>
    <mergeCell ref="AA577820:AA577821"/>
    <mergeCell ref="AA577966:AA577967"/>
    <mergeCell ref="AA578112:AA578113"/>
    <mergeCell ref="AA578258:AA578259"/>
    <mergeCell ref="AA578404:AA578405"/>
    <mergeCell ref="AA578550:AA578551"/>
    <mergeCell ref="AA578696:AA578697"/>
    <mergeCell ref="AA578842:AA578843"/>
    <mergeCell ref="AA578988:AA578989"/>
    <mergeCell ref="AA579134:AA579135"/>
    <mergeCell ref="AA579280:AA579281"/>
    <mergeCell ref="AA579426:AA579427"/>
    <mergeCell ref="AA579572:AA579573"/>
    <mergeCell ref="AA579718:AA579719"/>
    <mergeCell ref="AA579864:AA579865"/>
    <mergeCell ref="AA580010:AA580011"/>
    <mergeCell ref="AA580156:AA580157"/>
    <mergeCell ref="AA580302:AA580303"/>
    <mergeCell ref="AA580448:AA580449"/>
    <mergeCell ref="AA580594:AA580595"/>
    <mergeCell ref="AA580740:AA580741"/>
    <mergeCell ref="AA580886:AA580887"/>
    <mergeCell ref="AA581032:AA581033"/>
    <mergeCell ref="AA581178:AA581179"/>
    <mergeCell ref="AA581324:AA581325"/>
    <mergeCell ref="AA581470:AA581471"/>
    <mergeCell ref="AA581616:AA581617"/>
    <mergeCell ref="AA581762:AA581763"/>
    <mergeCell ref="AA581908:AA581909"/>
    <mergeCell ref="AA582054:AA582055"/>
    <mergeCell ref="AA582200:AA582201"/>
    <mergeCell ref="AA582346:AA582347"/>
    <mergeCell ref="AA582492:AA582493"/>
    <mergeCell ref="AA582638:AA582639"/>
    <mergeCell ref="AA582784:AA582785"/>
    <mergeCell ref="AA582930:AA582931"/>
    <mergeCell ref="AA583076:AA583077"/>
    <mergeCell ref="AA583222:AA583223"/>
    <mergeCell ref="AA583368:AA583369"/>
    <mergeCell ref="AA583514:AA583515"/>
    <mergeCell ref="AA583660:AA583661"/>
    <mergeCell ref="AA583806:AA583807"/>
    <mergeCell ref="AA583952:AA583953"/>
    <mergeCell ref="AA584098:AA584099"/>
    <mergeCell ref="AA584244:AA584245"/>
    <mergeCell ref="AA584390:AA584391"/>
    <mergeCell ref="AA584536:AA584537"/>
    <mergeCell ref="AA584682:AA584683"/>
    <mergeCell ref="AA584828:AA584829"/>
    <mergeCell ref="AA584974:AA584975"/>
    <mergeCell ref="AA585120:AA585121"/>
    <mergeCell ref="AA585266:AA585267"/>
    <mergeCell ref="AA585412:AA585413"/>
    <mergeCell ref="AA585558:AA585559"/>
    <mergeCell ref="AA585704:AA585705"/>
    <mergeCell ref="AA585850:AA585851"/>
    <mergeCell ref="AA585996:AA585997"/>
    <mergeCell ref="AA586142:AA586143"/>
    <mergeCell ref="AA586288:AA586289"/>
    <mergeCell ref="AA586434:AA586435"/>
    <mergeCell ref="AA586580:AA586581"/>
    <mergeCell ref="AA586726:AA586727"/>
    <mergeCell ref="AA586872:AA586873"/>
    <mergeCell ref="AA587018:AA587019"/>
    <mergeCell ref="AA587164:AA587165"/>
    <mergeCell ref="AA587310:AA587311"/>
    <mergeCell ref="AA587456:AA587457"/>
    <mergeCell ref="AA587602:AA587603"/>
    <mergeCell ref="AA587748:AA587749"/>
    <mergeCell ref="AA587894:AA587895"/>
    <mergeCell ref="AA588040:AA588041"/>
    <mergeCell ref="AA588186:AA588187"/>
    <mergeCell ref="AA588332:AA588333"/>
    <mergeCell ref="AA588478:AA588479"/>
    <mergeCell ref="AA588624:AA588625"/>
    <mergeCell ref="AA588770:AA588771"/>
    <mergeCell ref="AA588916:AA588917"/>
    <mergeCell ref="AA589062:AA589063"/>
    <mergeCell ref="AA589208:AA589209"/>
    <mergeCell ref="AA589354:AA589355"/>
    <mergeCell ref="AA589500:AA589501"/>
    <mergeCell ref="AA589646:AA589647"/>
    <mergeCell ref="AA589792:AA589793"/>
    <mergeCell ref="AA589938:AA589939"/>
    <mergeCell ref="AA590084:AA590085"/>
    <mergeCell ref="AA590230:AA590231"/>
    <mergeCell ref="AA590376:AA590377"/>
    <mergeCell ref="AA590522:AA590523"/>
    <mergeCell ref="AA590668:AA590669"/>
    <mergeCell ref="AA590814:AA590815"/>
    <mergeCell ref="AA590960:AA590961"/>
    <mergeCell ref="AA591106:AA591107"/>
    <mergeCell ref="AA591252:AA591253"/>
    <mergeCell ref="AA591398:AA591399"/>
    <mergeCell ref="AA591544:AA591545"/>
    <mergeCell ref="AA591690:AA591691"/>
    <mergeCell ref="AA591836:AA591837"/>
    <mergeCell ref="AA591982:AA591983"/>
    <mergeCell ref="AA592128:AA592129"/>
    <mergeCell ref="AA592274:AA592275"/>
    <mergeCell ref="AA592420:AA592421"/>
    <mergeCell ref="AA592566:AA592567"/>
    <mergeCell ref="AA592712:AA592713"/>
    <mergeCell ref="AA592858:AA592859"/>
    <mergeCell ref="AA593004:AA593005"/>
    <mergeCell ref="AA593150:AA593151"/>
    <mergeCell ref="AA593296:AA593297"/>
    <mergeCell ref="AA593442:AA593443"/>
    <mergeCell ref="AA593588:AA593589"/>
    <mergeCell ref="AA593734:AA593735"/>
    <mergeCell ref="AA593880:AA593881"/>
    <mergeCell ref="AA594026:AA594027"/>
    <mergeCell ref="AA594172:AA594173"/>
    <mergeCell ref="AA594318:AA594319"/>
    <mergeCell ref="AA594464:AA594465"/>
    <mergeCell ref="AA594610:AA594611"/>
    <mergeCell ref="AA594756:AA594757"/>
    <mergeCell ref="AA594902:AA594903"/>
    <mergeCell ref="AA595048:AA595049"/>
    <mergeCell ref="AA595194:AA595195"/>
    <mergeCell ref="AA595340:AA595341"/>
    <mergeCell ref="AA595486:AA595487"/>
    <mergeCell ref="AA595632:AA595633"/>
    <mergeCell ref="AA595778:AA595779"/>
    <mergeCell ref="AA595924:AA595925"/>
    <mergeCell ref="AA596070:AA596071"/>
    <mergeCell ref="AA596216:AA596217"/>
    <mergeCell ref="AA596362:AA596363"/>
    <mergeCell ref="AA596508:AA596509"/>
    <mergeCell ref="AA596654:AA596655"/>
    <mergeCell ref="AA596800:AA596801"/>
    <mergeCell ref="AA596946:AA596947"/>
    <mergeCell ref="AA597092:AA597093"/>
    <mergeCell ref="AA597238:AA597239"/>
    <mergeCell ref="AA597384:AA597385"/>
    <mergeCell ref="AA597530:AA597531"/>
    <mergeCell ref="AA597676:AA597677"/>
    <mergeCell ref="AA597822:AA597823"/>
    <mergeCell ref="AA597968:AA597969"/>
    <mergeCell ref="AA598114:AA598115"/>
    <mergeCell ref="AA598260:AA598261"/>
    <mergeCell ref="AA598406:AA598407"/>
    <mergeCell ref="AA598552:AA598553"/>
    <mergeCell ref="AA598698:AA598699"/>
    <mergeCell ref="AA598844:AA598845"/>
    <mergeCell ref="AA598990:AA598991"/>
    <mergeCell ref="AA599136:AA599137"/>
    <mergeCell ref="AA599282:AA599283"/>
    <mergeCell ref="AA599428:AA599429"/>
    <mergeCell ref="AA599574:AA599575"/>
    <mergeCell ref="AA599720:AA599721"/>
    <mergeCell ref="AA599866:AA599867"/>
    <mergeCell ref="AA600012:AA600013"/>
    <mergeCell ref="AA600158:AA600159"/>
    <mergeCell ref="AA600304:AA600305"/>
    <mergeCell ref="AA600450:AA600451"/>
    <mergeCell ref="AA600596:AA600597"/>
    <mergeCell ref="AA600742:AA600743"/>
    <mergeCell ref="AA600888:AA600889"/>
    <mergeCell ref="AA601034:AA601035"/>
    <mergeCell ref="AA601180:AA601181"/>
    <mergeCell ref="AA601326:AA601327"/>
    <mergeCell ref="AA601472:AA601473"/>
    <mergeCell ref="AA601618:AA601619"/>
    <mergeCell ref="AA601764:AA601765"/>
    <mergeCell ref="AA601910:AA601911"/>
    <mergeCell ref="AA602056:AA602057"/>
    <mergeCell ref="AA602202:AA602203"/>
    <mergeCell ref="AA602348:AA602349"/>
    <mergeCell ref="AA602494:AA602495"/>
    <mergeCell ref="AA602640:AA602641"/>
    <mergeCell ref="AA602786:AA602787"/>
    <mergeCell ref="AA602932:AA602933"/>
    <mergeCell ref="AA603078:AA603079"/>
    <mergeCell ref="AA603224:AA603225"/>
    <mergeCell ref="AA603370:AA603371"/>
    <mergeCell ref="AA603516:AA603517"/>
    <mergeCell ref="AA603662:AA603663"/>
    <mergeCell ref="AA603808:AA603809"/>
    <mergeCell ref="AA603954:AA603955"/>
    <mergeCell ref="AA604100:AA604101"/>
    <mergeCell ref="AA604246:AA604247"/>
    <mergeCell ref="AA604392:AA604393"/>
    <mergeCell ref="AA604538:AA604539"/>
    <mergeCell ref="AA604684:AA604685"/>
    <mergeCell ref="AA604830:AA604831"/>
    <mergeCell ref="AA604976:AA604977"/>
    <mergeCell ref="AA605122:AA605123"/>
    <mergeCell ref="AA605268:AA605269"/>
    <mergeCell ref="AA605414:AA605415"/>
    <mergeCell ref="AA605560:AA605561"/>
    <mergeCell ref="AA605706:AA605707"/>
    <mergeCell ref="AA605852:AA605853"/>
    <mergeCell ref="AA605998:AA605999"/>
    <mergeCell ref="AA606144:AA606145"/>
    <mergeCell ref="AA606290:AA606291"/>
    <mergeCell ref="AA606436:AA606437"/>
    <mergeCell ref="AA606582:AA606583"/>
    <mergeCell ref="AA606728:AA606729"/>
    <mergeCell ref="AA606874:AA606875"/>
    <mergeCell ref="AA607020:AA607021"/>
    <mergeCell ref="AA607166:AA607167"/>
    <mergeCell ref="AA607312:AA607313"/>
    <mergeCell ref="AA607458:AA607459"/>
    <mergeCell ref="AA607604:AA607605"/>
    <mergeCell ref="AA607750:AA607751"/>
    <mergeCell ref="AA607896:AA607897"/>
    <mergeCell ref="AA608042:AA608043"/>
    <mergeCell ref="AA608188:AA608189"/>
    <mergeCell ref="AA608334:AA608335"/>
    <mergeCell ref="AA608480:AA608481"/>
    <mergeCell ref="AA608626:AA608627"/>
    <mergeCell ref="AA608772:AA608773"/>
    <mergeCell ref="AA608918:AA608919"/>
    <mergeCell ref="AA609064:AA609065"/>
    <mergeCell ref="AA609210:AA609211"/>
    <mergeCell ref="AA609356:AA609357"/>
    <mergeCell ref="AA609502:AA609503"/>
    <mergeCell ref="AA609648:AA609649"/>
    <mergeCell ref="AA609794:AA609795"/>
    <mergeCell ref="AA609940:AA609941"/>
    <mergeCell ref="AA610086:AA610087"/>
    <mergeCell ref="AA610232:AA610233"/>
    <mergeCell ref="AA610378:AA610379"/>
    <mergeCell ref="AA610524:AA610525"/>
    <mergeCell ref="AA610670:AA610671"/>
    <mergeCell ref="AA610816:AA610817"/>
    <mergeCell ref="AA610962:AA610963"/>
    <mergeCell ref="AA611108:AA611109"/>
    <mergeCell ref="AA611254:AA611255"/>
    <mergeCell ref="AA611400:AA611401"/>
    <mergeCell ref="AA611546:AA611547"/>
    <mergeCell ref="AA611692:AA611693"/>
    <mergeCell ref="AA611838:AA611839"/>
    <mergeCell ref="AA611984:AA611985"/>
    <mergeCell ref="AA612130:AA612131"/>
    <mergeCell ref="AA612276:AA612277"/>
    <mergeCell ref="AA612422:AA612423"/>
    <mergeCell ref="AA612568:AA612569"/>
    <mergeCell ref="AA612714:AA612715"/>
    <mergeCell ref="AA612860:AA612861"/>
    <mergeCell ref="AA613006:AA613007"/>
    <mergeCell ref="AA613152:AA613153"/>
    <mergeCell ref="AA613298:AA613299"/>
    <mergeCell ref="AA613444:AA613445"/>
    <mergeCell ref="AA613590:AA613591"/>
    <mergeCell ref="AA613736:AA613737"/>
    <mergeCell ref="AA613882:AA613883"/>
    <mergeCell ref="AA614028:AA614029"/>
    <mergeCell ref="AA614174:AA614175"/>
    <mergeCell ref="AA614320:AA614321"/>
    <mergeCell ref="AA614466:AA614467"/>
    <mergeCell ref="AA614612:AA614613"/>
    <mergeCell ref="AA614758:AA614759"/>
    <mergeCell ref="AA614904:AA614905"/>
    <mergeCell ref="AA615050:AA615051"/>
    <mergeCell ref="AA615196:AA615197"/>
    <mergeCell ref="AA615342:AA615343"/>
    <mergeCell ref="AA615488:AA615489"/>
    <mergeCell ref="AA615634:AA615635"/>
    <mergeCell ref="AA615780:AA615781"/>
    <mergeCell ref="AA615926:AA615927"/>
    <mergeCell ref="AA616072:AA616073"/>
    <mergeCell ref="AA616218:AA616219"/>
    <mergeCell ref="AA616364:AA616365"/>
    <mergeCell ref="AA616510:AA616511"/>
    <mergeCell ref="AA616656:AA616657"/>
    <mergeCell ref="AA616802:AA616803"/>
    <mergeCell ref="AA616948:AA616949"/>
    <mergeCell ref="AA617094:AA617095"/>
    <mergeCell ref="AA617240:AA617241"/>
    <mergeCell ref="AA617386:AA617387"/>
    <mergeCell ref="AA617532:AA617533"/>
    <mergeCell ref="AA617678:AA617679"/>
    <mergeCell ref="AA617824:AA617825"/>
    <mergeCell ref="AA617970:AA617971"/>
    <mergeCell ref="AA618116:AA618117"/>
    <mergeCell ref="AA618262:AA618263"/>
    <mergeCell ref="AA618408:AA618409"/>
    <mergeCell ref="AA618554:AA618555"/>
    <mergeCell ref="AA618700:AA618701"/>
    <mergeCell ref="AA618846:AA618847"/>
    <mergeCell ref="AA618992:AA618993"/>
    <mergeCell ref="AA619138:AA619139"/>
    <mergeCell ref="AA619284:AA619285"/>
    <mergeCell ref="AA619430:AA619431"/>
    <mergeCell ref="AA619576:AA619577"/>
    <mergeCell ref="AA619722:AA619723"/>
    <mergeCell ref="AA619868:AA619869"/>
    <mergeCell ref="AA620014:AA620015"/>
    <mergeCell ref="AA620160:AA620161"/>
    <mergeCell ref="AA620306:AA620307"/>
    <mergeCell ref="AA620452:AA620453"/>
    <mergeCell ref="AA620598:AA620599"/>
    <mergeCell ref="AA620744:AA620745"/>
    <mergeCell ref="AA620890:AA620891"/>
    <mergeCell ref="AA621036:AA621037"/>
    <mergeCell ref="AA621182:AA621183"/>
    <mergeCell ref="AA621328:AA621329"/>
    <mergeCell ref="AA621474:AA621475"/>
    <mergeCell ref="AA621620:AA621621"/>
    <mergeCell ref="AA621766:AA621767"/>
    <mergeCell ref="AA621912:AA621913"/>
    <mergeCell ref="AA622058:AA622059"/>
    <mergeCell ref="AA622204:AA622205"/>
    <mergeCell ref="AA622350:AA622351"/>
    <mergeCell ref="AA622496:AA622497"/>
    <mergeCell ref="AA622642:AA622643"/>
    <mergeCell ref="AA622788:AA622789"/>
    <mergeCell ref="AA622934:AA622935"/>
    <mergeCell ref="AA623080:AA623081"/>
    <mergeCell ref="AA623226:AA623227"/>
    <mergeCell ref="AA623372:AA623373"/>
    <mergeCell ref="AA623518:AA623519"/>
    <mergeCell ref="AA623664:AA623665"/>
    <mergeCell ref="AA623810:AA623811"/>
    <mergeCell ref="AA623956:AA623957"/>
    <mergeCell ref="AA624102:AA624103"/>
    <mergeCell ref="AA624248:AA624249"/>
    <mergeCell ref="AA624394:AA624395"/>
    <mergeCell ref="AA624540:AA624541"/>
    <mergeCell ref="AA624686:AA624687"/>
    <mergeCell ref="AA624832:AA624833"/>
    <mergeCell ref="AA624978:AA624979"/>
    <mergeCell ref="AA625124:AA625125"/>
    <mergeCell ref="AA625270:AA625271"/>
    <mergeCell ref="AA625416:AA625417"/>
    <mergeCell ref="AA625562:AA625563"/>
    <mergeCell ref="AA625708:AA625709"/>
    <mergeCell ref="AA625854:AA625855"/>
    <mergeCell ref="AA626000:AA626001"/>
    <mergeCell ref="AA626146:AA626147"/>
    <mergeCell ref="AA626292:AA626293"/>
    <mergeCell ref="AA626438:AA626439"/>
    <mergeCell ref="AA626584:AA626585"/>
    <mergeCell ref="AA626730:AA626731"/>
    <mergeCell ref="AA626876:AA626877"/>
    <mergeCell ref="AA627022:AA627023"/>
    <mergeCell ref="AA627168:AA627169"/>
    <mergeCell ref="AA627314:AA627315"/>
    <mergeCell ref="AA627460:AA627461"/>
    <mergeCell ref="AA627606:AA627607"/>
    <mergeCell ref="AA627752:AA627753"/>
    <mergeCell ref="AA627898:AA627899"/>
    <mergeCell ref="AA628044:AA628045"/>
    <mergeCell ref="AA628190:AA628191"/>
    <mergeCell ref="AA628336:AA628337"/>
    <mergeCell ref="AA628482:AA628483"/>
    <mergeCell ref="AA628628:AA628629"/>
    <mergeCell ref="AA628774:AA628775"/>
    <mergeCell ref="AA628920:AA628921"/>
    <mergeCell ref="AA629066:AA629067"/>
    <mergeCell ref="AA629212:AA629213"/>
    <mergeCell ref="AA629358:AA629359"/>
    <mergeCell ref="AA629504:AA629505"/>
    <mergeCell ref="AA629650:AA629651"/>
    <mergeCell ref="AA629796:AA629797"/>
    <mergeCell ref="AA629942:AA629943"/>
    <mergeCell ref="AA630088:AA630089"/>
    <mergeCell ref="AA630234:AA630235"/>
    <mergeCell ref="AA630380:AA630381"/>
    <mergeCell ref="AA630526:AA630527"/>
    <mergeCell ref="AA630672:AA630673"/>
    <mergeCell ref="AA630818:AA630819"/>
    <mergeCell ref="AA630964:AA630965"/>
    <mergeCell ref="AA631110:AA631111"/>
    <mergeCell ref="AA631256:AA631257"/>
    <mergeCell ref="AA631402:AA631403"/>
    <mergeCell ref="AA631548:AA631549"/>
    <mergeCell ref="AA631694:AA631695"/>
    <mergeCell ref="AA631840:AA631841"/>
    <mergeCell ref="AA631986:AA631987"/>
    <mergeCell ref="AA632132:AA632133"/>
    <mergeCell ref="AA632278:AA632279"/>
    <mergeCell ref="AA632424:AA632425"/>
    <mergeCell ref="AA632570:AA632571"/>
    <mergeCell ref="AA632716:AA632717"/>
    <mergeCell ref="AA632862:AA632863"/>
    <mergeCell ref="AA633008:AA633009"/>
    <mergeCell ref="AA633154:AA633155"/>
    <mergeCell ref="AA633300:AA633301"/>
    <mergeCell ref="AA633446:AA633447"/>
    <mergeCell ref="AA633592:AA633593"/>
    <mergeCell ref="AA633738:AA633739"/>
    <mergeCell ref="AA633884:AA633885"/>
    <mergeCell ref="AA634030:AA634031"/>
    <mergeCell ref="AA634176:AA634177"/>
    <mergeCell ref="AA634322:AA634323"/>
    <mergeCell ref="AA634468:AA634469"/>
    <mergeCell ref="AA634614:AA634615"/>
    <mergeCell ref="AA634760:AA634761"/>
    <mergeCell ref="AA634906:AA634907"/>
    <mergeCell ref="AA635052:AA635053"/>
    <mergeCell ref="AA635198:AA635199"/>
    <mergeCell ref="AA635344:AA635345"/>
    <mergeCell ref="AA635490:AA635491"/>
    <mergeCell ref="AA635636:AA635637"/>
    <mergeCell ref="AA635782:AA635783"/>
    <mergeCell ref="AA635928:AA635929"/>
    <mergeCell ref="AA636074:AA636075"/>
    <mergeCell ref="AA636220:AA636221"/>
    <mergeCell ref="AA636366:AA636367"/>
    <mergeCell ref="AA636512:AA636513"/>
    <mergeCell ref="AA636658:AA636659"/>
    <mergeCell ref="AA636804:AA636805"/>
    <mergeCell ref="AA636950:AA636951"/>
    <mergeCell ref="AA637096:AA637097"/>
    <mergeCell ref="AA637242:AA637243"/>
    <mergeCell ref="AA637388:AA637389"/>
    <mergeCell ref="AA637534:AA637535"/>
    <mergeCell ref="AA637680:AA637681"/>
    <mergeCell ref="AA637826:AA637827"/>
    <mergeCell ref="AA637972:AA637973"/>
    <mergeCell ref="AA638118:AA638119"/>
    <mergeCell ref="AA638264:AA638265"/>
    <mergeCell ref="AA638410:AA638411"/>
    <mergeCell ref="AA638556:AA638557"/>
    <mergeCell ref="AA638702:AA638703"/>
    <mergeCell ref="AA638848:AA638849"/>
    <mergeCell ref="AA638994:AA638995"/>
    <mergeCell ref="AA639140:AA639141"/>
    <mergeCell ref="AA639286:AA639287"/>
    <mergeCell ref="AA639432:AA639433"/>
    <mergeCell ref="AA639578:AA639579"/>
    <mergeCell ref="AA639724:AA639725"/>
    <mergeCell ref="AA639870:AA639871"/>
    <mergeCell ref="AA640016:AA640017"/>
    <mergeCell ref="AA640162:AA640163"/>
    <mergeCell ref="AA640308:AA640309"/>
    <mergeCell ref="AA640454:AA640455"/>
    <mergeCell ref="AA640600:AA640601"/>
    <mergeCell ref="AA640746:AA640747"/>
    <mergeCell ref="AA640892:AA640893"/>
    <mergeCell ref="AA641038:AA641039"/>
    <mergeCell ref="AA641184:AA641185"/>
    <mergeCell ref="AA641330:AA641331"/>
    <mergeCell ref="AA641476:AA641477"/>
    <mergeCell ref="AA641622:AA641623"/>
    <mergeCell ref="AA641768:AA641769"/>
    <mergeCell ref="AA641914:AA641915"/>
    <mergeCell ref="AA642060:AA642061"/>
    <mergeCell ref="AA642206:AA642207"/>
    <mergeCell ref="AA642352:AA642353"/>
    <mergeCell ref="AA642498:AA642499"/>
    <mergeCell ref="AA642644:AA642645"/>
    <mergeCell ref="AA642790:AA642791"/>
    <mergeCell ref="AA642936:AA642937"/>
    <mergeCell ref="AA643082:AA643083"/>
    <mergeCell ref="AA643228:AA643229"/>
    <mergeCell ref="AA643374:AA643375"/>
    <mergeCell ref="AA643520:AA643521"/>
    <mergeCell ref="AA643666:AA643667"/>
    <mergeCell ref="AA643812:AA643813"/>
    <mergeCell ref="AA643958:AA643959"/>
    <mergeCell ref="AA644104:AA644105"/>
    <mergeCell ref="AA644250:AA644251"/>
    <mergeCell ref="AA644396:AA644397"/>
    <mergeCell ref="AA644542:AA644543"/>
    <mergeCell ref="AA644688:AA644689"/>
    <mergeCell ref="AA644834:AA644835"/>
    <mergeCell ref="AA644980:AA644981"/>
    <mergeCell ref="AA645126:AA645127"/>
    <mergeCell ref="AA645272:AA645273"/>
    <mergeCell ref="AA645418:AA645419"/>
    <mergeCell ref="AA645564:AA645565"/>
    <mergeCell ref="AA645710:AA645711"/>
    <mergeCell ref="AA645856:AA645857"/>
    <mergeCell ref="AA646002:AA646003"/>
    <mergeCell ref="AA646148:AA646149"/>
    <mergeCell ref="AA646294:AA646295"/>
    <mergeCell ref="AA646440:AA646441"/>
    <mergeCell ref="AA646586:AA646587"/>
    <mergeCell ref="AA646732:AA646733"/>
    <mergeCell ref="AA646878:AA646879"/>
    <mergeCell ref="AA647024:AA647025"/>
    <mergeCell ref="AA647170:AA647171"/>
    <mergeCell ref="AA647316:AA647317"/>
    <mergeCell ref="AA647462:AA647463"/>
    <mergeCell ref="AA647608:AA647609"/>
    <mergeCell ref="AA647754:AA647755"/>
    <mergeCell ref="AA647900:AA647901"/>
    <mergeCell ref="AA648046:AA648047"/>
    <mergeCell ref="AA648192:AA648193"/>
    <mergeCell ref="AA648338:AA648339"/>
    <mergeCell ref="AA648484:AA648485"/>
    <mergeCell ref="AA648630:AA648631"/>
    <mergeCell ref="AA648776:AA648777"/>
    <mergeCell ref="AA648922:AA648923"/>
    <mergeCell ref="AA649068:AA649069"/>
    <mergeCell ref="AA649214:AA649215"/>
    <mergeCell ref="AA649360:AA649361"/>
    <mergeCell ref="AA649506:AA649507"/>
    <mergeCell ref="AA649652:AA649653"/>
    <mergeCell ref="AA649798:AA649799"/>
    <mergeCell ref="AA649944:AA649945"/>
    <mergeCell ref="AA650090:AA650091"/>
    <mergeCell ref="AA650236:AA650237"/>
    <mergeCell ref="AA650382:AA650383"/>
    <mergeCell ref="AA650528:AA650529"/>
    <mergeCell ref="AA650674:AA650675"/>
    <mergeCell ref="AA650820:AA650821"/>
    <mergeCell ref="AA650966:AA650967"/>
    <mergeCell ref="AA651112:AA651113"/>
    <mergeCell ref="AA651258:AA651259"/>
    <mergeCell ref="AA651404:AA651405"/>
    <mergeCell ref="AA651550:AA651551"/>
    <mergeCell ref="AA651696:AA651697"/>
    <mergeCell ref="AA651842:AA651843"/>
    <mergeCell ref="AA651988:AA651989"/>
    <mergeCell ref="AA652134:AA652135"/>
    <mergeCell ref="AA652280:AA652281"/>
    <mergeCell ref="AA652426:AA652427"/>
    <mergeCell ref="AA652572:AA652573"/>
    <mergeCell ref="AA652718:AA652719"/>
    <mergeCell ref="AA652864:AA652865"/>
    <mergeCell ref="AA653010:AA653011"/>
    <mergeCell ref="AA653156:AA653157"/>
    <mergeCell ref="AA653302:AA653303"/>
    <mergeCell ref="AA653448:AA653449"/>
    <mergeCell ref="AA653594:AA653595"/>
    <mergeCell ref="AA653740:AA653741"/>
    <mergeCell ref="AA653886:AA653887"/>
    <mergeCell ref="AA654032:AA654033"/>
    <mergeCell ref="AA654178:AA654179"/>
    <mergeCell ref="AA654324:AA654325"/>
    <mergeCell ref="AA654470:AA654471"/>
    <mergeCell ref="AA654616:AA654617"/>
    <mergeCell ref="AA654762:AA654763"/>
    <mergeCell ref="AA654908:AA654909"/>
    <mergeCell ref="AA655054:AA655055"/>
    <mergeCell ref="AA655200:AA655201"/>
    <mergeCell ref="AA655346:AA655347"/>
    <mergeCell ref="AA655492:AA655493"/>
    <mergeCell ref="AA655638:AA655639"/>
    <mergeCell ref="AA655784:AA655785"/>
    <mergeCell ref="AA655930:AA655931"/>
    <mergeCell ref="AA656076:AA656077"/>
    <mergeCell ref="AA656222:AA656223"/>
    <mergeCell ref="AA656368:AA656369"/>
    <mergeCell ref="AA656514:AA656515"/>
    <mergeCell ref="AA656660:AA656661"/>
    <mergeCell ref="AA656806:AA656807"/>
    <mergeCell ref="AA656952:AA656953"/>
    <mergeCell ref="AA657098:AA657099"/>
    <mergeCell ref="AA657244:AA657245"/>
    <mergeCell ref="AA657390:AA657391"/>
    <mergeCell ref="AA657536:AA657537"/>
    <mergeCell ref="AA657682:AA657683"/>
    <mergeCell ref="AA657828:AA657829"/>
    <mergeCell ref="AA657974:AA657975"/>
    <mergeCell ref="AA658120:AA658121"/>
    <mergeCell ref="AA658266:AA658267"/>
    <mergeCell ref="AA658412:AA658413"/>
    <mergeCell ref="AA658558:AA658559"/>
    <mergeCell ref="AA658704:AA658705"/>
    <mergeCell ref="AA658850:AA658851"/>
    <mergeCell ref="AA658996:AA658997"/>
    <mergeCell ref="AA659142:AA659143"/>
    <mergeCell ref="AA659288:AA659289"/>
    <mergeCell ref="AA659434:AA659435"/>
    <mergeCell ref="AA659580:AA659581"/>
    <mergeCell ref="AA659726:AA659727"/>
    <mergeCell ref="AA659872:AA659873"/>
    <mergeCell ref="AA660018:AA660019"/>
    <mergeCell ref="AA660164:AA660165"/>
    <mergeCell ref="AA660310:AA660311"/>
    <mergeCell ref="AA660456:AA660457"/>
    <mergeCell ref="AA660602:AA660603"/>
    <mergeCell ref="AA660748:AA660749"/>
    <mergeCell ref="AA660894:AA660895"/>
    <mergeCell ref="AA661040:AA661041"/>
    <mergeCell ref="AA661186:AA661187"/>
    <mergeCell ref="AA661332:AA661333"/>
    <mergeCell ref="AA661478:AA661479"/>
    <mergeCell ref="AA661624:AA661625"/>
    <mergeCell ref="AA661770:AA661771"/>
    <mergeCell ref="AA661916:AA661917"/>
    <mergeCell ref="AA662062:AA662063"/>
    <mergeCell ref="AA662208:AA662209"/>
    <mergeCell ref="AA662354:AA662355"/>
    <mergeCell ref="AA662500:AA662501"/>
    <mergeCell ref="AA662646:AA662647"/>
    <mergeCell ref="AA662792:AA662793"/>
    <mergeCell ref="AA662938:AA662939"/>
    <mergeCell ref="AA663084:AA663085"/>
    <mergeCell ref="AA663230:AA663231"/>
    <mergeCell ref="AA663376:AA663377"/>
    <mergeCell ref="AA663522:AA663523"/>
    <mergeCell ref="AA663668:AA663669"/>
    <mergeCell ref="AA663814:AA663815"/>
    <mergeCell ref="AA663960:AA663961"/>
    <mergeCell ref="AA664106:AA664107"/>
    <mergeCell ref="AA664252:AA664253"/>
    <mergeCell ref="AA664398:AA664399"/>
    <mergeCell ref="AA664544:AA664545"/>
    <mergeCell ref="AA664690:AA664691"/>
    <mergeCell ref="AA664836:AA664837"/>
    <mergeCell ref="AA664982:AA664983"/>
    <mergeCell ref="AA665128:AA665129"/>
    <mergeCell ref="AA665274:AA665275"/>
    <mergeCell ref="AA665420:AA665421"/>
    <mergeCell ref="AA665566:AA665567"/>
    <mergeCell ref="AA665712:AA665713"/>
    <mergeCell ref="AA665858:AA665859"/>
    <mergeCell ref="AA666004:AA666005"/>
    <mergeCell ref="AA666150:AA666151"/>
    <mergeCell ref="AA666296:AA666297"/>
    <mergeCell ref="AA666442:AA666443"/>
    <mergeCell ref="AA666588:AA666589"/>
    <mergeCell ref="AA666734:AA666735"/>
    <mergeCell ref="AA666880:AA666881"/>
    <mergeCell ref="AA667026:AA667027"/>
    <mergeCell ref="AA667172:AA667173"/>
    <mergeCell ref="AA667318:AA667319"/>
    <mergeCell ref="AA667464:AA667465"/>
    <mergeCell ref="AA667610:AA667611"/>
    <mergeCell ref="AA667756:AA667757"/>
    <mergeCell ref="AA667902:AA667903"/>
    <mergeCell ref="AA668048:AA668049"/>
    <mergeCell ref="AA668194:AA668195"/>
    <mergeCell ref="AA668340:AA668341"/>
    <mergeCell ref="AA668486:AA668487"/>
    <mergeCell ref="AA668632:AA668633"/>
    <mergeCell ref="AA668778:AA668779"/>
    <mergeCell ref="AA668924:AA668925"/>
    <mergeCell ref="AA669070:AA669071"/>
    <mergeCell ref="AA669216:AA669217"/>
    <mergeCell ref="AA669362:AA669363"/>
    <mergeCell ref="AA669508:AA669509"/>
    <mergeCell ref="AA669654:AA669655"/>
    <mergeCell ref="AA669800:AA669801"/>
    <mergeCell ref="AA669946:AA669947"/>
    <mergeCell ref="AA670092:AA670093"/>
    <mergeCell ref="AA670238:AA670239"/>
    <mergeCell ref="AA670384:AA670385"/>
    <mergeCell ref="AA670530:AA670531"/>
    <mergeCell ref="AA670676:AA670677"/>
    <mergeCell ref="AA670822:AA670823"/>
    <mergeCell ref="AA670968:AA670969"/>
    <mergeCell ref="AA671114:AA671115"/>
    <mergeCell ref="AA671260:AA671261"/>
    <mergeCell ref="AA671406:AA671407"/>
    <mergeCell ref="AA671552:AA671553"/>
    <mergeCell ref="AA671698:AA671699"/>
    <mergeCell ref="AA671844:AA671845"/>
    <mergeCell ref="AA671990:AA671991"/>
    <mergeCell ref="AA672136:AA672137"/>
    <mergeCell ref="AA672282:AA672283"/>
    <mergeCell ref="AA672428:AA672429"/>
    <mergeCell ref="AA672574:AA672575"/>
    <mergeCell ref="AA672720:AA672721"/>
    <mergeCell ref="AA672866:AA672867"/>
    <mergeCell ref="AA673012:AA673013"/>
    <mergeCell ref="AA673158:AA673159"/>
    <mergeCell ref="AA673304:AA673305"/>
    <mergeCell ref="AA673450:AA673451"/>
    <mergeCell ref="AA673596:AA673597"/>
    <mergeCell ref="AA673742:AA673743"/>
    <mergeCell ref="AA673888:AA673889"/>
    <mergeCell ref="AA674034:AA674035"/>
    <mergeCell ref="AA674180:AA674181"/>
    <mergeCell ref="AA674326:AA674327"/>
    <mergeCell ref="AA674472:AA674473"/>
    <mergeCell ref="AA674618:AA674619"/>
    <mergeCell ref="AA674764:AA674765"/>
    <mergeCell ref="AA674910:AA674911"/>
    <mergeCell ref="AA675056:AA675057"/>
    <mergeCell ref="AA675202:AA675203"/>
    <mergeCell ref="AA675348:AA675349"/>
    <mergeCell ref="AA675494:AA675495"/>
    <mergeCell ref="AA675640:AA675641"/>
    <mergeCell ref="AA675786:AA675787"/>
    <mergeCell ref="AA675932:AA675933"/>
    <mergeCell ref="AA676078:AA676079"/>
    <mergeCell ref="AA676224:AA676225"/>
    <mergeCell ref="AA676370:AA676371"/>
    <mergeCell ref="AA676516:AA676517"/>
    <mergeCell ref="AA676662:AA676663"/>
    <mergeCell ref="AA676808:AA676809"/>
    <mergeCell ref="AA676954:AA676955"/>
    <mergeCell ref="AA677100:AA677101"/>
    <mergeCell ref="AA677246:AA677247"/>
    <mergeCell ref="AA677392:AA677393"/>
    <mergeCell ref="AA677538:AA677539"/>
    <mergeCell ref="AA677684:AA677685"/>
    <mergeCell ref="AA677830:AA677831"/>
    <mergeCell ref="AA677976:AA677977"/>
    <mergeCell ref="AA678122:AA678123"/>
    <mergeCell ref="AA678268:AA678269"/>
    <mergeCell ref="AA678414:AA678415"/>
    <mergeCell ref="AA678560:AA678561"/>
    <mergeCell ref="AA678706:AA678707"/>
    <mergeCell ref="AA678852:AA678853"/>
    <mergeCell ref="AA678998:AA678999"/>
    <mergeCell ref="AA679144:AA679145"/>
    <mergeCell ref="AA679290:AA679291"/>
    <mergeCell ref="AA679436:AA679437"/>
    <mergeCell ref="AA679582:AA679583"/>
    <mergeCell ref="AA679728:AA679729"/>
    <mergeCell ref="AA679874:AA679875"/>
    <mergeCell ref="AA680020:AA680021"/>
    <mergeCell ref="AA680166:AA680167"/>
    <mergeCell ref="AA680312:AA680313"/>
    <mergeCell ref="AA680458:AA680459"/>
    <mergeCell ref="AA680604:AA680605"/>
    <mergeCell ref="AA680750:AA680751"/>
    <mergeCell ref="AA680896:AA680897"/>
    <mergeCell ref="AA681042:AA681043"/>
    <mergeCell ref="AA681188:AA681189"/>
    <mergeCell ref="AA681334:AA681335"/>
    <mergeCell ref="AA681480:AA681481"/>
    <mergeCell ref="AA681626:AA681627"/>
    <mergeCell ref="AA681772:AA681773"/>
    <mergeCell ref="AA681918:AA681919"/>
    <mergeCell ref="AA682064:AA682065"/>
    <mergeCell ref="AA682210:AA682211"/>
    <mergeCell ref="AA682356:AA682357"/>
    <mergeCell ref="AA682502:AA682503"/>
    <mergeCell ref="AA682648:AA682649"/>
    <mergeCell ref="AA682794:AA682795"/>
    <mergeCell ref="AA682940:AA682941"/>
    <mergeCell ref="AA683086:AA683087"/>
    <mergeCell ref="AA683232:AA683233"/>
    <mergeCell ref="AA683378:AA683379"/>
    <mergeCell ref="AA683524:AA683525"/>
    <mergeCell ref="AA683670:AA683671"/>
    <mergeCell ref="AA683816:AA683817"/>
    <mergeCell ref="AA683962:AA683963"/>
    <mergeCell ref="AA684108:AA684109"/>
    <mergeCell ref="AA684254:AA684255"/>
    <mergeCell ref="AA684400:AA684401"/>
    <mergeCell ref="AA684546:AA684547"/>
    <mergeCell ref="AA684692:AA684693"/>
    <mergeCell ref="AA684838:AA684839"/>
    <mergeCell ref="AA684984:AA684985"/>
    <mergeCell ref="AA685130:AA685131"/>
    <mergeCell ref="AA685276:AA685277"/>
    <mergeCell ref="AA685422:AA685423"/>
    <mergeCell ref="AA685568:AA685569"/>
    <mergeCell ref="AA685714:AA685715"/>
    <mergeCell ref="AA685860:AA685861"/>
    <mergeCell ref="AA686006:AA686007"/>
    <mergeCell ref="AA686152:AA686153"/>
    <mergeCell ref="AA686298:AA686299"/>
    <mergeCell ref="AA686444:AA686445"/>
    <mergeCell ref="AA686590:AA686591"/>
    <mergeCell ref="AA686736:AA686737"/>
    <mergeCell ref="AA686882:AA686883"/>
    <mergeCell ref="AA687028:AA687029"/>
    <mergeCell ref="AA687174:AA687175"/>
    <mergeCell ref="AA687320:AA687321"/>
    <mergeCell ref="AA687466:AA687467"/>
    <mergeCell ref="AA687612:AA687613"/>
    <mergeCell ref="AA687758:AA687759"/>
    <mergeCell ref="AA687904:AA687905"/>
    <mergeCell ref="AA688050:AA688051"/>
    <mergeCell ref="AA688196:AA688197"/>
    <mergeCell ref="AA688342:AA688343"/>
    <mergeCell ref="AA688488:AA688489"/>
    <mergeCell ref="AA688634:AA688635"/>
    <mergeCell ref="AA688780:AA688781"/>
    <mergeCell ref="AA688926:AA688927"/>
    <mergeCell ref="AA689072:AA689073"/>
    <mergeCell ref="AA689218:AA689219"/>
    <mergeCell ref="AA689364:AA689365"/>
    <mergeCell ref="AA689510:AA689511"/>
    <mergeCell ref="AA689656:AA689657"/>
    <mergeCell ref="AA689802:AA689803"/>
    <mergeCell ref="AA689948:AA689949"/>
    <mergeCell ref="AA690094:AA690095"/>
    <mergeCell ref="AA690240:AA690241"/>
    <mergeCell ref="AA690386:AA690387"/>
    <mergeCell ref="AA690532:AA690533"/>
    <mergeCell ref="AA690678:AA690679"/>
    <mergeCell ref="AA690824:AA690825"/>
    <mergeCell ref="AA690970:AA690971"/>
    <mergeCell ref="AA691116:AA691117"/>
    <mergeCell ref="AA691262:AA691263"/>
    <mergeCell ref="AA691408:AA691409"/>
    <mergeCell ref="AA691554:AA691555"/>
    <mergeCell ref="AA691700:AA691701"/>
    <mergeCell ref="AA691846:AA691847"/>
    <mergeCell ref="AA691992:AA691993"/>
    <mergeCell ref="AA692138:AA692139"/>
    <mergeCell ref="AA692284:AA692285"/>
    <mergeCell ref="AA692430:AA692431"/>
    <mergeCell ref="AA692576:AA692577"/>
    <mergeCell ref="AA692722:AA692723"/>
    <mergeCell ref="AA692868:AA692869"/>
    <mergeCell ref="AA693014:AA693015"/>
    <mergeCell ref="AA693160:AA693161"/>
    <mergeCell ref="AA693306:AA693307"/>
    <mergeCell ref="AA693452:AA693453"/>
    <mergeCell ref="AA693598:AA693599"/>
    <mergeCell ref="AA693744:AA693745"/>
    <mergeCell ref="AA693890:AA693891"/>
    <mergeCell ref="AA694036:AA694037"/>
    <mergeCell ref="AA694182:AA694183"/>
    <mergeCell ref="AA694328:AA694329"/>
    <mergeCell ref="AA694474:AA694475"/>
    <mergeCell ref="AA694620:AA694621"/>
    <mergeCell ref="AA694766:AA694767"/>
    <mergeCell ref="AA694912:AA694913"/>
    <mergeCell ref="AA695058:AA695059"/>
    <mergeCell ref="AA695204:AA695205"/>
    <mergeCell ref="AA695350:AA695351"/>
    <mergeCell ref="AA695496:AA695497"/>
    <mergeCell ref="AA695642:AA695643"/>
    <mergeCell ref="AA695788:AA695789"/>
    <mergeCell ref="AA695934:AA695935"/>
    <mergeCell ref="AA696080:AA696081"/>
    <mergeCell ref="AA696226:AA696227"/>
    <mergeCell ref="AA696372:AA696373"/>
    <mergeCell ref="AA696518:AA696519"/>
    <mergeCell ref="AA696664:AA696665"/>
    <mergeCell ref="AA696810:AA696811"/>
    <mergeCell ref="AA696956:AA696957"/>
    <mergeCell ref="AA697102:AA697103"/>
    <mergeCell ref="AA697248:AA697249"/>
    <mergeCell ref="AA697394:AA697395"/>
    <mergeCell ref="AA697540:AA697541"/>
    <mergeCell ref="AA697686:AA697687"/>
    <mergeCell ref="AA697832:AA697833"/>
    <mergeCell ref="AA697978:AA697979"/>
    <mergeCell ref="AA698124:AA698125"/>
    <mergeCell ref="AA698270:AA698271"/>
    <mergeCell ref="AA698416:AA698417"/>
    <mergeCell ref="AA698562:AA698563"/>
    <mergeCell ref="AA698708:AA698709"/>
    <mergeCell ref="AA698854:AA698855"/>
    <mergeCell ref="AA699000:AA699001"/>
    <mergeCell ref="AA699146:AA699147"/>
    <mergeCell ref="AA699292:AA699293"/>
    <mergeCell ref="AA699438:AA699439"/>
    <mergeCell ref="AA699584:AA699585"/>
    <mergeCell ref="AA699730:AA699731"/>
    <mergeCell ref="AA699876:AA699877"/>
    <mergeCell ref="AA700022:AA700023"/>
    <mergeCell ref="AA700168:AA700169"/>
    <mergeCell ref="AA700314:AA700315"/>
    <mergeCell ref="AA700460:AA700461"/>
    <mergeCell ref="AA700606:AA700607"/>
    <mergeCell ref="AA700752:AA700753"/>
    <mergeCell ref="AA700898:AA700899"/>
    <mergeCell ref="AA701044:AA701045"/>
    <mergeCell ref="AA701190:AA701191"/>
    <mergeCell ref="AA701336:AA701337"/>
    <mergeCell ref="AA701482:AA701483"/>
    <mergeCell ref="AA701628:AA701629"/>
    <mergeCell ref="AA701774:AA701775"/>
    <mergeCell ref="AA701920:AA701921"/>
    <mergeCell ref="AA702066:AA702067"/>
    <mergeCell ref="AA702212:AA702213"/>
    <mergeCell ref="AA702358:AA702359"/>
    <mergeCell ref="AA702504:AA702505"/>
    <mergeCell ref="AA702650:AA702651"/>
    <mergeCell ref="AA702796:AA702797"/>
    <mergeCell ref="AA702942:AA702943"/>
    <mergeCell ref="AA703088:AA703089"/>
    <mergeCell ref="AA703234:AA703235"/>
    <mergeCell ref="AA703380:AA703381"/>
    <mergeCell ref="AA703526:AA703527"/>
    <mergeCell ref="AA703672:AA703673"/>
    <mergeCell ref="AA703818:AA703819"/>
    <mergeCell ref="AA703964:AA703965"/>
    <mergeCell ref="AA704110:AA704111"/>
    <mergeCell ref="AA704256:AA704257"/>
    <mergeCell ref="AA704402:AA704403"/>
    <mergeCell ref="AA704548:AA704549"/>
    <mergeCell ref="AA704694:AA704695"/>
    <mergeCell ref="AA704840:AA704841"/>
    <mergeCell ref="AA704986:AA704987"/>
    <mergeCell ref="AA705132:AA705133"/>
    <mergeCell ref="AA705278:AA705279"/>
    <mergeCell ref="AA705424:AA705425"/>
    <mergeCell ref="AA705570:AA705571"/>
    <mergeCell ref="AA705716:AA705717"/>
    <mergeCell ref="AA705862:AA705863"/>
    <mergeCell ref="AA706008:AA706009"/>
    <mergeCell ref="AA706154:AA706155"/>
    <mergeCell ref="AA706300:AA706301"/>
    <mergeCell ref="AA706446:AA706447"/>
    <mergeCell ref="AA706592:AA706593"/>
    <mergeCell ref="AA706738:AA706739"/>
    <mergeCell ref="AA706884:AA706885"/>
    <mergeCell ref="AA707030:AA707031"/>
    <mergeCell ref="AA707176:AA707177"/>
    <mergeCell ref="AA707322:AA707323"/>
    <mergeCell ref="AA707468:AA707469"/>
    <mergeCell ref="AA707614:AA707615"/>
    <mergeCell ref="AA707760:AA707761"/>
    <mergeCell ref="AA707906:AA707907"/>
    <mergeCell ref="AA708052:AA708053"/>
    <mergeCell ref="AA708198:AA708199"/>
    <mergeCell ref="AA708344:AA708345"/>
    <mergeCell ref="AA708490:AA708491"/>
    <mergeCell ref="AA708636:AA708637"/>
    <mergeCell ref="AA708782:AA708783"/>
    <mergeCell ref="AA708928:AA708929"/>
    <mergeCell ref="AA709074:AA709075"/>
    <mergeCell ref="AA709220:AA709221"/>
    <mergeCell ref="AA709366:AA709367"/>
    <mergeCell ref="AA709512:AA709513"/>
    <mergeCell ref="AA709658:AA709659"/>
    <mergeCell ref="AA709804:AA709805"/>
    <mergeCell ref="AA709950:AA709951"/>
    <mergeCell ref="AA710096:AA710097"/>
    <mergeCell ref="AA710242:AA710243"/>
    <mergeCell ref="AA710388:AA710389"/>
    <mergeCell ref="AA710534:AA710535"/>
    <mergeCell ref="AA710680:AA710681"/>
    <mergeCell ref="AA710826:AA710827"/>
    <mergeCell ref="AA710972:AA710973"/>
    <mergeCell ref="AA711118:AA711119"/>
    <mergeCell ref="AA711264:AA711265"/>
    <mergeCell ref="AA711410:AA711411"/>
    <mergeCell ref="AA711556:AA711557"/>
    <mergeCell ref="AA711702:AA711703"/>
    <mergeCell ref="AA711848:AA711849"/>
    <mergeCell ref="AA711994:AA711995"/>
    <mergeCell ref="AA712140:AA712141"/>
    <mergeCell ref="AA712286:AA712287"/>
    <mergeCell ref="AA712432:AA712433"/>
    <mergeCell ref="AA712578:AA712579"/>
    <mergeCell ref="AA712724:AA712725"/>
    <mergeCell ref="AA712870:AA712871"/>
    <mergeCell ref="AA713016:AA713017"/>
    <mergeCell ref="AA713162:AA713163"/>
    <mergeCell ref="AA713308:AA713309"/>
    <mergeCell ref="AA713454:AA713455"/>
    <mergeCell ref="AA713600:AA713601"/>
    <mergeCell ref="AA713746:AA713747"/>
    <mergeCell ref="AA713892:AA713893"/>
    <mergeCell ref="AA714038:AA714039"/>
    <mergeCell ref="AA714184:AA714185"/>
    <mergeCell ref="AA714330:AA714331"/>
    <mergeCell ref="AA714476:AA714477"/>
    <mergeCell ref="AA714622:AA714623"/>
    <mergeCell ref="AA714768:AA714769"/>
    <mergeCell ref="AA714914:AA714915"/>
    <mergeCell ref="AA715060:AA715061"/>
    <mergeCell ref="AA715206:AA715207"/>
    <mergeCell ref="AA715352:AA715353"/>
    <mergeCell ref="AA715498:AA715499"/>
    <mergeCell ref="AA715644:AA715645"/>
    <mergeCell ref="AA715790:AA715791"/>
    <mergeCell ref="AA715936:AA715937"/>
    <mergeCell ref="AA716082:AA716083"/>
    <mergeCell ref="AA716228:AA716229"/>
    <mergeCell ref="AA716374:AA716375"/>
    <mergeCell ref="AA716520:AA716521"/>
    <mergeCell ref="AA716666:AA716667"/>
    <mergeCell ref="AA716812:AA716813"/>
    <mergeCell ref="AA716958:AA716959"/>
    <mergeCell ref="AA717104:AA717105"/>
    <mergeCell ref="AA717250:AA717251"/>
    <mergeCell ref="AA717396:AA717397"/>
    <mergeCell ref="AA717542:AA717543"/>
    <mergeCell ref="AA717688:AA717689"/>
    <mergeCell ref="AA717834:AA717835"/>
    <mergeCell ref="AA717980:AA717981"/>
    <mergeCell ref="AA718126:AA718127"/>
    <mergeCell ref="AA718272:AA718273"/>
    <mergeCell ref="AA718418:AA718419"/>
    <mergeCell ref="AA718564:AA718565"/>
    <mergeCell ref="AA718710:AA718711"/>
    <mergeCell ref="AA718856:AA718857"/>
    <mergeCell ref="AA719002:AA719003"/>
    <mergeCell ref="AA719148:AA719149"/>
    <mergeCell ref="AA719294:AA719295"/>
    <mergeCell ref="AA719440:AA719441"/>
    <mergeCell ref="AA719586:AA719587"/>
    <mergeCell ref="AA719732:AA719733"/>
    <mergeCell ref="AA719878:AA719879"/>
    <mergeCell ref="AA720024:AA720025"/>
    <mergeCell ref="AA720170:AA720171"/>
    <mergeCell ref="AA720316:AA720317"/>
    <mergeCell ref="AA720462:AA720463"/>
    <mergeCell ref="AA720608:AA720609"/>
    <mergeCell ref="AA720754:AA720755"/>
    <mergeCell ref="AA720900:AA720901"/>
    <mergeCell ref="AA721046:AA721047"/>
    <mergeCell ref="AA721192:AA721193"/>
    <mergeCell ref="AA721338:AA721339"/>
    <mergeCell ref="AA721484:AA721485"/>
    <mergeCell ref="AA721630:AA721631"/>
    <mergeCell ref="AA721776:AA721777"/>
    <mergeCell ref="AA721922:AA721923"/>
    <mergeCell ref="AA722068:AA722069"/>
    <mergeCell ref="AA722214:AA722215"/>
    <mergeCell ref="AA722360:AA722361"/>
    <mergeCell ref="AA722506:AA722507"/>
    <mergeCell ref="AA722652:AA722653"/>
    <mergeCell ref="AA722798:AA722799"/>
    <mergeCell ref="AA722944:AA722945"/>
    <mergeCell ref="AA723090:AA723091"/>
    <mergeCell ref="AA723236:AA723237"/>
    <mergeCell ref="AA723382:AA723383"/>
    <mergeCell ref="AA723528:AA723529"/>
    <mergeCell ref="AA723674:AA723675"/>
    <mergeCell ref="AA723820:AA723821"/>
    <mergeCell ref="AA723966:AA723967"/>
    <mergeCell ref="AA724112:AA724113"/>
    <mergeCell ref="AA724258:AA724259"/>
    <mergeCell ref="AA724404:AA724405"/>
    <mergeCell ref="AA724550:AA724551"/>
    <mergeCell ref="AA724696:AA724697"/>
    <mergeCell ref="AA724842:AA724843"/>
    <mergeCell ref="AA724988:AA724989"/>
    <mergeCell ref="AA725134:AA725135"/>
    <mergeCell ref="AA725280:AA725281"/>
    <mergeCell ref="AA725426:AA725427"/>
    <mergeCell ref="AA725572:AA725573"/>
    <mergeCell ref="AA725718:AA725719"/>
    <mergeCell ref="AA725864:AA725865"/>
    <mergeCell ref="AA726010:AA726011"/>
    <mergeCell ref="AA726156:AA726157"/>
    <mergeCell ref="AA726302:AA726303"/>
    <mergeCell ref="AA726448:AA726449"/>
    <mergeCell ref="AA726594:AA726595"/>
    <mergeCell ref="AA726740:AA726741"/>
    <mergeCell ref="AA726886:AA726887"/>
    <mergeCell ref="AA727032:AA727033"/>
    <mergeCell ref="AA727178:AA727179"/>
    <mergeCell ref="AA727324:AA727325"/>
    <mergeCell ref="AA727470:AA727471"/>
    <mergeCell ref="AA727616:AA727617"/>
    <mergeCell ref="AA727762:AA727763"/>
    <mergeCell ref="AA727908:AA727909"/>
    <mergeCell ref="AA728054:AA728055"/>
    <mergeCell ref="AA728200:AA728201"/>
    <mergeCell ref="AA728346:AA728347"/>
    <mergeCell ref="AA728492:AA728493"/>
    <mergeCell ref="AA728638:AA728639"/>
    <mergeCell ref="AA728784:AA728785"/>
    <mergeCell ref="AA728930:AA728931"/>
    <mergeCell ref="AA729076:AA729077"/>
    <mergeCell ref="AA729222:AA729223"/>
    <mergeCell ref="AA729368:AA729369"/>
    <mergeCell ref="AA729514:AA729515"/>
    <mergeCell ref="AA729660:AA729661"/>
    <mergeCell ref="AA729806:AA729807"/>
    <mergeCell ref="AA729952:AA729953"/>
    <mergeCell ref="AA730098:AA730099"/>
    <mergeCell ref="AA730244:AA730245"/>
    <mergeCell ref="AA730390:AA730391"/>
    <mergeCell ref="AA730536:AA730537"/>
    <mergeCell ref="AA730682:AA730683"/>
    <mergeCell ref="AA730828:AA730829"/>
    <mergeCell ref="AA730974:AA730975"/>
    <mergeCell ref="AA731120:AA731121"/>
    <mergeCell ref="AA731266:AA731267"/>
    <mergeCell ref="AA731412:AA731413"/>
    <mergeCell ref="AA731558:AA731559"/>
    <mergeCell ref="AA731704:AA731705"/>
    <mergeCell ref="AA731850:AA731851"/>
    <mergeCell ref="AA731996:AA731997"/>
    <mergeCell ref="AA732142:AA732143"/>
    <mergeCell ref="AA732288:AA732289"/>
    <mergeCell ref="AA732434:AA732435"/>
    <mergeCell ref="AA732580:AA732581"/>
    <mergeCell ref="AA732726:AA732727"/>
    <mergeCell ref="AA732872:AA732873"/>
    <mergeCell ref="AA733018:AA733019"/>
    <mergeCell ref="AA733164:AA733165"/>
    <mergeCell ref="AA733310:AA733311"/>
    <mergeCell ref="AA733456:AA733457"/>
    <mergeCell ref="AA733602:AA733603"/>
    <mergeCell ref="AA733748:AA733749"/>
    <mergeCell ref="AA733894:AA733895"/>
    <mergeCell ref="AA734040:AA734041"/>
    <mergeCell ref="AA734186:AA734187"/>
    <mergeCell ref="AA734332:AA734333"/>
    <mergeCell ref="AA734478:AA734479"/>
    <mergeCell ref="AA734624:AA734625"/>
    <mergeCell ref="AA734770:AA734771"/>
    <mergeCell ref="AA734916:AA734917"/>
    <mergeCell ref="AA735062:AA735063"/>
    <mergeCell ref="AA735208:AA735209"/>
    <mergeCell ref="AA735354:AA735355"/>
    <mergeCell ref="AA735500:AA735501"/>
    <mergeCell ref="AA735646:AA735647"/>
    <mergeCell ref="AA735792:AA735793"/>
    <mergeCell ref="AA735938:AA735939"/>
    <mergeCell ref="AA736084:AA736085"/>
    <mergeCell ref="AA736230:AA736231"/>
    <mergeCell ref="AA736376:AA736377"/>
    <mergeCell ref="AA736522:AA736523"/>
    <mergeCell ref="AA736668:AA736669"/>
    <mergeCell ref="AA736814:AA736815"/>
    <mergeCell ref="AA736960:AA736961"/>
    <mergeCell ref="AA737106:AA737107"/>
    <mergeCell ref="AA737252:AA737253"/>
    <mergeCell ref="AA737398:AA737399"/>
    <mergeCell ref="AA737544:AA737545"/>
    <mergeCell ref="AA737690:AA737691"/>
    <mergeCell ref="AA737836:AA737837"/>
    <mergeCell ref="AA737982:AA737983"/>
    <mergeCell ref="AA738128:AA738129"/>
    <mergeCell ref="AA738274:AA738275"/>
    <mergeCell ref="AA738420:AA738421"/>
    <mergeCell ref="AA738566:AA738567"/>
    <mergeCell ref="AA738712:AA738713"/>
    <mergeCell ref="AA738858:AA738859"/>
    <mergeCell ref="AA739004:AA739005"/>
    <mergeCell ref="AA739150:AA739151"/>
    <mergeCell ref="AA739296:AA739297"/>
    <mergeCell ref="AA739442:AA739443"/>
    <mergeCell ref="AA739588:AA739589"/>
    <mergeCell ref="AA739734:AA739735"/>
    <mergeCell ref="AA739880:AA739881"/>
    <mergeCell ref="AA740026:AA740027"/>
    <mergeCell ref="AA740172:AA740173"/>
    <mergeCell ref="AA740318:AA740319"/>
    <mergeCell ref="AA740464:AA740465"/>
    <mergeCell ref="AA740610:AA740611"/>
    <mergeCell ref="AA740756:AA740757"/>
    <mergeCell ref="AA740902:AA740903"/>
    <mergeCell ref="AA741048:AA741049"/>
    <mergeCell ref="AA741194:AA741195"/>
    <mergeCell ref="AA741340:AA741341"/>
    <mergeCell ref="AA741486:AA741487"/>
    <mergeCell ref="AA741632:AA741633"/>
    <mergeCell ref="AA741778:AA741779"/>
    <mergeCell ref="AA741924:AA741925"/>
    <mergeCell ref="AA742070:AA742071"/>
    <mergeCell ref="AA742216:AA742217"/>
    <mergeCell ref="AA742362:AA742363"/>
    <mergeCell ref="AA742508:AA742509"/>
    <mergeCell ref="AA742654:AA742655"/>
    <mergeCell ref="AA742800:AA742801"/>
    <mergeCell ref="AA742946:AA742947"/>
    <mergeCell ref="AA743092:AA743093"/>
    <mergeCell ref="AA743238:AA743239"/>
    <mergeCell ref="AA743384:AA743385"/>
    <mergeCell ref="AA743530:AA743531"/>
    <mergeCell ref="AA743676:AA743677"/>
    <mergeCell ref="AA743822:AA743823"/>
    <mergeCell ref="AA743968:AA743969"/>
    <mergeCell ref="AA744114:AA744115"/>
    <mergeCell ref="AA744260:AA744261"/>
    <mergeCell ref="AA744406:AA744407"/>
    <mergeCell ref="AA744552:AA744553"/>
    <mergeCell ref="AA744698:AA744699"/>
    <mergeCell ref="AA744844:AA744845"/>
    <mergeCell ref="AA744990:AA744991"/>
    <mergeCell ref="AA745136:AA745137"/>
    <mergeCell ref="AA745282:AA745283"/>
    <mergeCell ref="AA745428:AA745429"/>
    <mergeCell ref="AA745574:AA745575"/>
    <mergeCell ref="AA745720:AA745721"/>
    <mergeCell ref="AA745866:AA745867"/>
    <mergeCell ref="AA746012:AA746013"/>
    <mergeCell ref="AA746158:AA746159"/>
    <mergeCell ref="AA746304:AA746305"/>
    <mergeCell ref="AA746450:AA746451"/>
    <mergeCell ref="AA746596:AA746597"/>
    <mergeCell ref="AA746742:AA746743"/>
    <mergeCell ref="AA746888:AA746889"/>
    <mergeCell ref="AA747034:AA747035"/>
    <mergeCell ref="AA747180:AA747181"/>
    <mergeCell ref="AA747326:AA747327"/>
    <mergeCell ref="AA747472:AA747473"/>
    <mergeCell ref="AA747618:AA747619"/>
    <mergeCell ref="AA747764:AA747765"/>
    <mergeCell ref="AA747910:AA747911"/>
    <mergeCell ref="AA748056:AA748057"/>
    <mergeCell ref="AA748202:AA748203"/>
    <mergeCell ref="AA748348:AA748349"/>
    <mergeCell ref="AA748494:AA748495"/>
    <mergeCell ref="AA748640:AA748641"/>
    <mergeCell ref="AA748786:AA748787"/>
    <mergeCell ref="AA748932:AA748933"/>
    <mergeCell ref="AA749078:AA749079"/>
    <mergeCell ref="AA749224:AA749225"/>
    <mergeCell ref="AA749370:AA749371"/>
    <mergeCell ref="AA749516:AA749517"/>
    <mergeCell ref="AA749662:AA749663"/>
    <mergeCell ref="AA749808:AA749809"/>
    <mergeCell ref="AA749954:AA749955"/>
    <mergeCell ref="AA750100:AA750101"/>
    <mergeCell ref="AA750246:AA750247"/>
    <mergeCell ref="AA750392:AA750393"/>
    <mergeCell ref="AA750538:AA750539"/>
    <mergeCell ref="AA750684:AA750685"/>
    <mergeCell ref="AA750830:AA750831"/>
    <mergeCell ref="AA750976:AA750977"/>
    <mergeCell ref="AA751122:AA751123"/>
    <mergeCell ref="AA751268:AA751269"/>
    <mergeCell ref="AA751414:AA751415"/>
    <mergeCell ref="AA751560:AA751561"/>
    <mergeCell ref="AA751706:AA751707"/>
    <mergeCell ref="AA751852:AA751853"/>
    <mergeCell ref="AA751998:AA751999"/>
    <mergeCell ref="AA752144:AA752145"/>
    <mergeCell ref="AA752290:AA752291"/>
    <mergeCell ref="AA752436:AA752437"/>
    <mergeCell ref="AA752582:AA752583"/>
    <mergeCell ref="AA752728:AA752729"/>
    <mergeCell ref="AA752874:AA752875"/>
    <mergeCell ref="AA753020:AA753021"/>
    <mergeCell ref="AA753166:AA753167"/>
    <mergeCell ref="AA753312:AA753313"/>
    <mergeCell ref="AA753458:AA753459"/>
    <mergeCell ref="AA753604:AA753605"/>
    <mergeCell ref="AA753750:AA753751"/>
    <mergeCell ref="AA753896:AA753897"/>
    <mergeCell ref="AA754042:AA754043"/>
    <mergeCell ref="AA754188:AA754189"/>
    <mergeCell ref="AA754334:AA754335"/>
    <mergeCell ref="AA754480:AA754481"/>
    <mergeCell ref="AA754626:AA754627"/>
    <mergeCell ref="AA754772:AA754773"/>
    <mergeCell ref="AA754918:AA754919"/>
    <mergeCell ref="AA755064:AA755065"/>
    <mergeCell ref="AA755210:AA755211"/>
    <mergeCell ref="AA755356:AA755357"/>
    <mergeCell ref="AA755502:AA755503"/>
    <mergeCell ref="AA755648:AA755649"/>
    <mergeCell ref="AA755794:AA755795"/>
    <mergeCell ref="AA755940:AA755941"/>
    <mergeCell ref="AA756086:AA756087"/>
    <mergeCell ref="AA756232:AA756233"/>
    <mergeCell ref="AA756378:AA756379"/>
    <mergeCell ref="AA756524:AA756525"/>
    <mergeCell ref="AA756670:AA756671"/>
    <mergeCell ref="AA756816:AA756817"/>
    <mergeCell ref="AA756962:AA756963"/>
    <mergeCell ref="AA757108:AA757109"/>
    <mergeCell ref="AA757254:AA757255"/>
    <mergeCell ref="AA757400:AA757401"/>
    <mergeCell ref="AA757546:AA757547"/>
    <mergeCell ref="AA757692:AA757693"/>
    <mergeCell ref="AA757838:AA757839"/>
    <mergeCell ref="AA757984:AA757985"/>
    <mergeCell ref="AA758130:AA758131"/>
    <mergeCell ref="AA758276:AA758277"/>
    <mergeCell ref="AA758422:AA758423"/>
    <mergeCell ref="AA758568:AA758569"/>
    <mergeCell ref="AA758714:AA758715"/>
    <mergeCell ref="AA758860:AA758861"/>
    <mergeCell ref="AA759006:AA759007"/>
    <mergeCell ref="AA759152:AA759153"/>
    <mergeCell ref="AA759298:AA759299"/>
    <mergeCell ref="AA759444:AA759445"/>
    <mergeCell ref="AA759590:AA759591"/>
    <mergeCell ref="AA759736:AA759737"/>
    <mergeCell ref="AA759882:AA759883"/>
    <mergeCell ref="AA760028:AA760029"/>
    <mergeCell ref="AA760174:AA760175"/>
    <mergeCell ref="AA760320:AA760321"/>
    <mergeCell ref="AA760466:AA760467"/>
    <mergeCell ref="AA760612:AA760613"/>
    <mergeCell ref="AA760758:AA760759"/>
    <mergeCell ref="AA760904:AA760905"/>
    <mergeCell ref="AA761050:AA761051"/>
    <mergeCell ref="AA761196:AA761197"/>
    <mergeCell ref="AA761342:AA761343"/>
    <mergeCell ref="AA761488:AA761489"/>
    <mergeCell ref="AA761634:AA761635"/>
    <mergeCell ref="AA761780:AA761781"/>
    <mergeCell ref="AA761926:AA761927"/>
    <mergeCell ref="AA762072:AA762073"/>
    <mergeCell ref="AA762218:AA762219"/>
    <mergeCell ref="AA762364:AA762365"/>
    <mergeCell ref="AA762510:AA762511"/>
    <mergeCell ref="AA762656:AA762657"/>
    <mergeCell ref="AA762802:AA762803"/>
    <mergeCell ref="AA762948:AA762949"/>
    <mergeCell ref="AA763094:AA763095"/>
    <mergeCell ref="AA763240:AA763241"/>
    <mergeCell ref="AA763386:AA763387"/>
    <mergeCell ref="AA763532:AA763533"/>
    <mergeCell ref="AA763678:AA763679"/>
    <mergeCell ref="AA763824:AA763825"/>
    <mergeCell ref="AA763970:AA763971"/>
    <mergeCell ref="AA764116:AA764117"/>
    <mergeCell ref="AA764262:AA764263"/>
    <mergeCell ref="AA764408:AA764409"/>
    <mergeCell ref="AA764554:AA764555"/>
    <mergeCell ref="AA764700:AA764701"/>
    <mergeCell ref="AA764846:AA764847"/>
    <mergeCell ref="AA764992:AA764993"/>
    <mergeCell ref="AA765138:AA765139"/>
    <mergeCell ref="AA765284:AA765285"/>
    <mergeCell ref="AA765430:AA765431"/>
    <mergeCell ref="AA765576:AA765577"/>
    <mergeCell ref="AA765722:AA765723"/>
    <mergeCell ref="AA765868:AA765869"/>
    <mergeCell ref="AA766014:AA766015"/>
    <mergeCell ref="AA766160:AA766161"/>
    <mergeCell ref="AA766306:AA766307"/>
    <mergeCell ref="AA766452:AA766453"/>
    <mergeCell ref="AA766598:AA766599"/>
    <mergeCell ref="AA766744:AA766745"/>
    <mergeCell ref="AA766890:AA766891"/>
    <mergeCell ref="AA767036:AA767037"/>
    <mergeCell ref="AA767182:AA767183"/>
    <mergeCell ref="AA767328:AA767329"/>
    <mergeCell ref="AA767474:AA767475"/>
    <mergeCell ref="AA767620:AA767621"/>
    <mergeCell ref="AA767766:AA767767"/>
    <mergeCell ref="AA767912:AA767913"/>
    <mergeCell ref="AA768058:AA768059"/>
    <mergeCell ref="AA768204:AA768205"/>
    <mergeCell ref="AA768350:AA768351"/>
    <mergeCell ref="AA768496:AA768497"/>
    <mergeCell ref="AA768642:AA768643"/>
    <mergeCell ref="AA768788:AA768789"/>
    <mergeCell ref="AA768934:AA768935"/>
    <mergeCell ref="AA769080:AA769081"/>
    <mergeCell ref="AA769226:AA769227"/>
    <mergeCell ref="AA769372:AA769373"/>
    <mergeCell ref="AA769518:AA769519"/>
    <mergeCell ref="AA769664:AA769665"/>
    <mergeCell ref="AA769810:AA769811"/>
    <mergeCell ref="AA769956:AA769957"/>
    <mergeCell ref="AA770102:AA770103"/>
    <mergeCell ref="AA770248:AA770249"/>
    <mergeCell ref="AA770394:AA770395"/>
    <mergeCell ref="AA770540:AA770541"/>
    <mergeCell ref="AA770686:AA770687"/>
    <mergeCell ref="AA770832:AA770833"/>
    <mergeCell ref="AA770978:AA770979"/>
    <mergeCell ref="AA771124:AA771125"/>
    <mergeCell ref="AA771270:AA771271"/>
    <mergeCell ref="AA771416:AA771417"/>
    <mergeCell ref="AA771562:AA771563"/>
    <mergeCell ref="AA771708:AA771709"/>
    <mergeCell ref="AA771854:AA771855"/>
    <mergeCell ref="AA772000:AA772001"/>
    <mergeCell ref="AA772146:AA772147"/>
    <mergeCell ref="AA772292:AA772293"/>
    <mergeCell ref="AA772438:AA772439"/>
    <mergeCell ref="AA772584:AA772585"/>
    <mergeCell ref="AA772730:AA772731"/>
    <mergeCell ref="AA772876:AA772877"/>
    <mergeCell ref="AA773022:AA773023"/>
    <mergeCell ref="AA773168:AA773169"/>
    <mergeCell ref="AA773314:AA773315"/>
    <mergeCell ref="AA773460:AA773461"/>
    <mergeCell ref="AA773606:AA773607"/>
    <mergeCell ref="AA773752:AA773753"/>
    <mergeCell ref="AA773898:AA773899"/>
    <mergeCell ref="AA774044:AA774045"/>
    <mergeCell ref="AA774190:AA774191"/>
    <mergeCell ref="AA774336:AA774337"/>
    <mergeCell ref="AA774482:AA774483"/>
    <mergeCell ref="AA774628:AA774629"/>
    <mergeCell ref="AA774774:AA774775"/>
    <mergeCell ref="AA774920:AA774921"/>
    <mergeCell ref="AA775066:AA775067"/>
    <mergeCell ref="AA775212:AA775213"/>
    <mergeCell ref="AA775358:AA775359"/>
    <mergeCell ref="AA775504:AA775505"/>
    <mergeCell ref="AA775650:AA775651"/>
    <mergeCell ref="AA775796:AA775797"/>
    <mergeCell ref="AA775942:AA775943"/>
    <mergeCell ref="AA776088:AA776089"/>
    <mergeCell ref="AA776234:AA776235"/>
    <mergeCell ref="AA776380:AA776381"/>
    <mergeCell ref="AA776526:AA776527"/>
    <mergeCell ref="AA776672:AA776673"/>
    <mergeCell ref="AA776818:AA776819"/>
    <mergeCell ref="AA776964:AA776965"/>
    <mergeCell ref="AA777110:AA777111"/>
    <mergeCell ref="AA777256:AA777257"/>
    <mergeCell ref="AA777402:AA777403"/>
    <mergeCell ref="AA777548:AA777549"/>
    <mergeCell ref="AA777694:AA777695"/>
    <mergeCell ref="AA777840:AA777841"/>
    <mergeCell ref="AA777986:AA777987"/>
    <mergeCell ref="AA778132:AA778133"/>
    <mergeCell ref="AA778278:AA778279"/>
    <mergeCell ref="AA778424:AA778425"/>
    <mergeCell ref="AA778570:AA778571"/>
    <mergeCell ref="AA778716:AA778717"/>
    <mergeCell ref="AA778862:AA778863"/>
    <mergeCell ref="AA779008:AA779009"/>
    <mergeCell ref="AA779154:AA779155"/>
    <mergeCell ref="AA779300:AA779301"/>
    <mergeCell ref="AA779446:AA779447"/>
    <mergeCell ref="AA779592:AA779593"/>
    <mergeCell ref="AA779738:AA779739"/>
    <mergeCell ref="AA779884:AA779885"/>
    <mergeCell ref="AA780030:AA780031"/>
    <mergeCell ref="AA780176:AA780177"/>
    <mergeCell ref="AA780322:AA780323"/>
    <mergeCell ref="AA780468:AA780469"/>
    <mergeCell ref="AA780614:AA780615"/>
    <mergeCell ref="AA780760:AA780761"/>
    <mergeCell ref="AA780906:AA780907"/>
    <mergeCell ref="AA781052:AA781053"/>
    <mergeCell ref="AA781198:AA781199"/>
    <mergeCell ref="AA781344:AA781345"/>
    <mergeCell ref="AA781490:AA781491"/>
    <mergeCell ref="AA781636:AA781637"/>
    <mergeCell ref="AA781782:AA781783"/>
    <mergeCell ref="AA781928:AA781929"/>
    <mergeCell ref="AA782074:AA782075"/>
    <mergeCell ref="AA782220:AA782221"/>
    <mergeCell ref="AA782366:AA782367"/>
    <mergeCell ref="AA782512:AA782513"/>
    <mergeCell ref="AA782658:AA782659"/>
    <mergeCell ref="AA782804:AA782805"/>
    <mergeCell ref="AA782950:AA782951"/>
    <mergeCell ref="AA783096:AA783097"/>
    <mergeCell ref="AA783242:AA783243"/>
    <mergeCell ref="AA783388:AA783389"/>
    <mergeCell ref="AA783534:AA783535"/>
    <mergeCell ref="AA783680:AA783681"/>
    <mergeCell ref="AA783826:AA783827"/>
    <mergeCell ref="AA783972:AA783973"/>
    <mergeCell ref="AA784118:AA784119"/>
    <mergeCell ref="AA784264:AA784265"/>
    <mergeCell ref="AA784410:AA784411"/>
    <mergeCell ref="AA784556:AA784557"/>
    <mergeCell ref="AA784702:AA784703"/>
    <mergeCell ref="AA784848:AA784849"/>
    <mergeCell ref="AA784994:AA784995"/>
    <mergeCell ref="AA785140:AA785141"/>
    <mergeCell ref="AA785286:AA785287"/>
    <mergeCell ref="AA785432:AA785433"/>
    <mergeCell ref="AA785578:AA785579"/>
    <mergeCell ref="AA785724:AA785725"/>
    <mergeCell ref="AA785870:AA785871"/>
    <mergeCell ref="AA786016:AA786017"/>
    <mergeCell ref="AA786162:AA786163"/>
    <mergeCell ref="AA786308:AA786309"/>
    <mergeCell ref="AA786454:AA786455"/>
    <mergeCell ref="AA786600:AA786601"/>
    <mergeCell ref="AA786746:AA786747"/>
    <mergeCell ref="AA786892:AA786893"/>
    <mergeCell ref="AA787038:AA787039"/>
    <mergeCell ref="AA787184:AA787185"/>
    <mergeCell ref="AA787330:AA787331"/>
    <mergeCell ref="AA787476:AA787477"/>
    <mergeCell ref="AA787622:AA787623"/>
    <mergeCell ref="AA787768:AA787769"/>
    <mergeCell ref="AA787914:AA787915"/>
    <mergeCell ref="AA788060:AA788061"/>
    <mergeCell ref="AA788206:AA788207"/>
    <mergeCell ref="AA788352:AA788353"/>
    <mergeCell ref="AA788498:AA788499"/>
    <mergeCell ref="AA788644:AA788645"/>
    <mergeCell ref="AA788790:AA788791"/>
    <mergeCell ref="AA788936:AA788937"/>
    <mergeCell ref="AA789082:AA789083"/>
    <mergeCell ref="AA789228:AA789229"/>
    <mergeCell ref="AA789374:AA789375"/>
    <mergeCell ref="AA789520:AA789521"/>
    <mergeCell ref="AA789666:AA789667"/>
    <mergeCell ref="AA789812:AA789813"/>
    <mergeCell ref="AA789958:AA789959"/>
    <mergeCell ref="AA790104:AA790105"/>
    <mergeCell ref="AA790250:AA790251"/>
    <mergeCell ref="AA790396:AA790397"/>
    <mergeCell ref="AA790542:AA790543"/>
    <mergeCell ref="AA790688:AA790689"/>
    <mergeCell ref="AA790834:AA790835"/>
    <mergeCell ref="AA790980:AA790981"/>
    <mergeCell ref="AA791126:AA791127"/>
    <mergeCell ref="AA791272:AA791273"/>
    <mergeCell ref="AA791418:AA791419"/>
    <mergeCell ref="AA791564:AA791565"/>
    <mergeCell ref="AA791710:AA791711"/>
    <mergeCell ref="AA791856:AA791857"/>
    <mergeCell ref="AA792002:AA792003"/>
    <mergeCell ref="AA792148:AA792149"/>
    <mergeCell ref="AA792294:AA792295"/>
    <mergeCell ref="AA792440:AA792441"/>
    <mergeCell ref="AA792586:AA792587"/>
    <mergeCell ref="AA792732:AA792733"/>
    <mergeCell ref="AA792878:AA792879"/>
    <mergeCell ref="AA793024:AA793025"/>
    <mergeCell ref="AA793170:AA793171"/>
    <mergeCell ref="AA793316:AA793317"/>
    <mergeCell ref="AA793462:AA793463"/>
    <mergeCell ref="AA793608:AA793609"/>
    <mergeCell ref="AA793754:AA793755"/>
    <mergeCell ref="AA793900:AA793901"/>
    <mergeCell ref="AA794046:AA794047"/>
    <mergeCell ref="AA794192:AA794193"/>
    <mergeCell ref="AA794338:AA794339"/>
    <mergeCell ref="AA794484:AA794485"/>
    <mergeCell ref="AA794630:AA794631"/>
    <mergeCell ref="AA794776:AA794777"/>
    <mergeCell ref="AA794922:AA794923"/>
    <mergeCell ref="AA795068:AA795069"/>
    <mergeCell ref="AA795214:AA795215"/>
    <mergeCell ref="AA795360:AA795361"/>
    <mergeCell ref="AA795506:AA795507"/>
    <mergeCell ref="AA795652:AA795653"/>
    <mergeCell ref="AA795798:AA795799"/>
    <mergeCell ref="AA795944:AA795945"/>
    <mergeCell ref="AA796090:AA796091"/>
    <mergeCell ref="AA796236:AA796237"/>
    <mergeCell ref="AA796382:AA796383"/>
    <mergeCell ref="AA796528:AA796529"/>
    <mergeCell ref="AA796674:AA796675"/>
    <mergeCell ref="AA796820:AA796821"/>
    <mergeCell ref="AA796966:AA796967"/>
    <mergeCell ref="AA797112:AA797113"/>
    <mergeCell ref="AA797258:AA797259"/>
    <mergeCell ref="AA797404:AA797405"/>
    <mergeCell ref="AA797550:AA797551"/>
    <mergeCell ref="AA797696:AA797697"/>
    <mergeCell ref="AA797842:AA797843"/>
    <mergeCell ref="AA797988:AA797989"/>
    <mergeCell ref="AA798134:AA798135"/>
    <mergeCell ref="AA798280:AA798281"/>
    <mergeCell ref="AA798426:AA798427"/>
    <mergeCell ref="AA798572:AA798573"/>
    <mergeCell ref="AA798718:AA798719"/>
    <mergeCell ref="AA798864:AA798865"/>
    <mergeCell ref="AA799010:AA799011"/>
    <mergeCell ref="AA799156:AA799157"/>
    <mergeCell ref="AA799302:AA799303"/>
    <mergeCell ref="AA799448:AA799449"/>
    <mergeCell ref="AA799594:AA799595"/>
    <mergeCell ref="AA799740:AA799741"/>
    <mergeCell ref="AA799886:AA799887"/>
    <mergeCell ref="AA800032:AA800033"/>
    <mergeCell ref="AA800178:AA800179"/>
    <mergeCell ref="AA800324:AA800325"/>
    <mergeCell ref="AA800470:AA800471"/>
    <mergeCell ref="AA800616:AA800617"/>
    <mergeCell ref="AA800762:AA800763"/>
    <mergeCell ref="AA800908:AA800909"/>
    <mergeCell ref="AA801054:AA801055"/>
    <mergeCell ref="AA801200:AA801201"/>
    <mergeCell ref="AA801346:AA801347"/>
    <mergeCell ref="AA801492:AA801493"/>
    <mergeCell ref="AA801638:AA801639"/>
    <mergeCell ref="AA801784:AA801785"/>
    <mergeCell ref="AA801930:AA801931"/>
    <mergeCell ref="AA802076:AA802077"/>
    <mergeCell ref="AA802222:AA802223"/>
    <mergeCell ref="AA802368:AA802369"/>
    <mergeCell ref="AA802514:AA802515"/>
    <mergeCell ref="AA802660:AA802661"/>
    <mergeCell ref="AA802806:AA802807"/>
    <mergeCell ref="AA802952:AA802953"/>
    <mergeCell ref="AA803098:AA803099"/>
    <mergeCell ref="AA803244:AA803245"/>
    <mergeCell ref="AA803390:AA803391"/>
    <mergeCell ref="AA803536:AA803537"/>
    <mergeCell ref="AA803682:AA803683"/>
    <mergeCell ref="AA803828:AA803829"/>
    <mergeCell ref="AA803974:AA803975"/>
    <mergeCell ref="AA804120:AA804121"/>
    <mergeCell ref="AA804266:AA804267"/>
    <mergeCell ref="AA804412:AA804413"/>
    <mergeCell ref="AA804558:AA804559"/>
    <mergeCell ref="AA804704:AA804705"/>
    <mergeCell ref="AA804850:AA804851"/>
    <mergeCell ref="AA804996:AA804997"/>
    <mergeCell ref="AA805142:AA805143"/>
    <mergeCell ref="AA805288:AA805289"/>
    <mergeCell ref="AA805434:AA805435"/>
    <mergeCell ref="AA805580:AA805581"/>
    <mergeCell ref="AA805726:AA805727"/>
    <mergeCell ref="AA805872:AA805873"/>
    <mergeCell ref="AA806018:AA806019"/>
    <mergeCell ref="AA806164:AA806165"/>
    <mergeCell ref="AA806310:AA806311"/>
    <mergeCell ref="AA806456:AA806457"/>
    <mergeCell ref="AA806602:AA806603"/>
    <mergeCell ref="AA806748:AA806749"/>
    <mergeCell ref="AA806894:AA806895"/>
    <mergeCell ref="AA807040:AA807041"/>
    <mergeCell ref="AA807186:AA807187"/>
    <mergeCell ref="AA807332:AA807333"/>
    <mergeCell ref="AA807478:AA807479"/>
    <mergeCell ref="AA807624:AA807625"/>
    <mergeCell ref="AA807770:AA807771"/>
    <mergeCell ref="AA807916:AA807917"/>
    <mergeCell ref="AA808062:AA808063"/>
    <mergeCell ref="AA808208:AA808209"/>
    <mergeCell ref="AA808354:AA808355"/>
    <mergeCell ref="AA808500:AA808501"/>
    <mergeCell ref="AA808646:AA808647"/>
    <mergeCell ref="AA808792:AA808793"/>
    <mergeCell ref="AA808938:AA808939"/>
    <mergeCell ref="AA809084:AA809085"/>
    <mergeCell ref="AA809230:AA809231"/>
    <mergeCell ref="AA809376:AA809377"/>
    <mergeCell ref="AA809522:AA809523"/>
    <mergeCell ref="AA809668:AA809669"/>
    <mergeCell ref="AA809814:AA809815"/>
    <mergeCell ref="AA809960:AA809961"/>
    <mergeCell ref="AA810106:AA810107"/>
    <mergeCell ref="AA810252:AA810253"/>
    <mergeCell ref="AA810398:AA810399"/>
    <mergeCell ref="AA810544:AA810545"/>
    <mergeCell ref="AA810690:AA810691"/>
    <mergeCell ref="AA810836:AA810837"/>
    <mergeCell ref="AA810982:AA810983"/>
    <mergeCell ref="AA811128:AA811129"/>
    <mergeCell ref="AA811274:AA811275"/>
    <mergeCell ref="AA811420:AA811421"/>
    <mergeCell ref="AA811566:AA811567"/>
    <mergeCell ref="AA811712:AA811713"/>
    <mergeCell ref="AA811858:AA811859"/>
    <mergeCell ref="AA812004:AA812005"/>
    <mergeCell ref="AA812150:AA812151"/>
    <mergeCell ref="AA812296:AA812297"/>
    <mergeCell ref="AA812442:AA812443"/>
    <mergeCell ref="AA812588:AA812589"/>
    <mergeCell ref="AA812734:AA812735"/>
    <mergeCell ref="AA812880:AA812881"/>
    <mergeCell ref="AA813026:AA813027"/>
    <mergeCell ref="AA813172:AA813173"/>
    <mergeCell ref="AA813318:AA813319"/>
    <mergeCell ref="AA813464:AA813465"/>
    <mergeCell ref="AA813610:AA813611"/>
    <mergeCell ref="AA813756:AA813757"/>
    <mergeCell ref="AA813902:AA813903"/>
    <mergeCell ref="AA814048:AA814049"/>
    <mergeCell ref="AA814194:AA814195"/>
    <mergeCell ref="AA814340:AA814341"/>
    <mergeCell ref="AA814486:AA814487"/>
    <mergeCell ref="AA814632:AA814633"/>
    <mergeCell ref="AA814778:AA814779"/>
    <mergeCell ref="AA814924:AA814925"/>
    <mergeCell ref="AA815070:AA815071"/>
    <mergeCell ref="AA815216:AA815217"/>
    <mergeCell ref="AA815362:AA815363"/>
    <mergeCell ref="AA815508:AA815509"/>
    <mergeCell ref="AA815654:AA815655"/>
    <mergeCell ref="AA815800:AA815801"/>
    <mergeCell ref="AA815946:AA815947"/>
    <mergeCell ref="AA816092:AA816093"/>
    <mergeCell ref="AA816238:AA816239"/>
    <mergeCell ref="AA816384:AA816385"/>
    <mergeCell ref="AA816530:AA816531"/>
    <mergeCell ref="AA816676:AA816677"/>
    <mergeCell ref="AA816822:AA816823"/>
    <mergeCell ref="AA816968:AA816969"/>
    <mergeCell ref="AA817114:AA817115"/>
    <mergeCell ref="AA817260:AA817261"/>
    <mergeCell ref="AA817406:AA817407"/>
    <mergeCell ref="AA817552:AA817553"/>
    <mergeCell ref="AA817698:AA817699"/>
    <mergeCell ref="AA817844:AA817845"/>
    <mergeCell ref="AA817990:AA817991"/>
    <mergeCell ref="AA818136:AA818137"/>
    <mergeCell ref="AA818282:AA818283"/>
    <mergeCell ref="AA818428:AA818429"/>
    <mergeCell ref="AA818574:AA818575"/>
    <mergeCell ref="AA818720:AA818721"/>
    <mergeCell ref="AA818866:AA818867"/>
    <mergeCell ref="AA819012:AA819013"/>
    <mergeCell ref="AA819158:AA819159"/>
    <mergeCell ref="AA819304:AA819305"/>
    <mergeCell ref="AA819450:AA819451"/>
    <mergeCell ref="AA819596:AA819597"/>
    <mergeCell ref="AA819742:AA819743"/>
    <mergeCell ref="AA819888:AA819889"/>
    <mergeCell ref="AA820034:AA820035"/>
    <mergeCell ref="AA820180:AA820181"/>
    <mergeCell ref="AA820326:AA820327"/>
    <mergeCell ref="AA820472:AA820473"/>
    <mergeCell ref="AA820618:AA820619"/>
    <mergeCell ref="AA820764:AA820765"/>
    <mergeCell ref="AA820910:AA820911"/>
    <mergeCell ref="AA821056:AA821057"/>
    <mergeCell ref="AA821202:AA821203"/>
    <mergeCell ref="AA821348:AA821349"/>
    <mergeCell ref="AA821494:AA821495"/>
    <mergeCell ref="AA821640:AA821641"/>
    <mergeCell ref="AA821786:AA821787"/>
    <mergeCell ref="AA821932:AA821933"/>
    <mergeCell ref="AA822078:AA822079"/>
    <mergeCell ref="AA822224:AA822225"/>
    <mergeCell ref="AA822370:AA822371"/>
    <mergeCell ref="AA822516:AA822517"/>
    <mergeCell ref="AA822662:AA822663"/>
    <mergeCell ref="AA822808:AA822809"/>
    <mergeCell ref="AA822954:AA822955"/>
    <mergeCell ref="AA823100:AA823101"/>
    <mergeCell ref="AA823246:AA823247"/>
    <mergeCell ref="AA823392:AA823393"/>
    <mergeCell ref="AA823538:AA823539"/>
    <mergeCell ref="AA823684:AA823685"/>
    <mergeCell ref="AA823830:AA823831"/>
    <mergeCell ref="AA823976:AA823977"/>
    <mergeCell ref="AA824122:AA824123"/>
    <mergeCell ref="AA824268:AA824269"/>
    <mergeCell ref="AA824414:AA824415"/>
    <mergeCell ref="AA824560:AA824561"/>
    <mergeCell ref="AA824706:AA824707"/>
    <mergeCell ref="AA824852:AA824853"/>
    <mergeCell ref="AA824998:AA824999"/>
    <mergeCell ref="AA825144:AA825145"/>
    <mergeCell ref="AA825290:AA825291"/>
    <mergeCell ref="AA825436:AA825437"/>
    <mergeCell ref="AA825582:AA825583"/>
    <mergeCell ref="AA825728:AA825729"/>
    <mergeCell ref="AA825874:AA825875"/>
    <mergeCell ref="AA826020:AA826021"/>
    <mergeCell ref="AA826166:AA826167"/>
    <mergeCell ref="AA826312:AA826313"/>
    <mergeCell ref="AA826458:AA826459"/>
    <mergeCell ref="AA826604:AA826605"/>
    <mergeCell ref="AA826750:AA826751"/>
    <mergeCell ref="AA826896:AA826897"/>
    <mergeCell ref="AA827042:AA827043"/>
    <mergeCell ref="AA827188:AA827189"/>
    <mergeCell ref="AA827334:AA827335"/>
    <mergeCell ref="AA827480:AA827481"/>
    <mergeCell ref="AA827626:AA827627"/>
    <mergeCell ref="AA827772:AA827773"/>
    <mergeCell ref="AA827918:AA827919"/>
    <mergeCell ref="AA828064:AA828065"/>
    <mergeCell ref="AA828210:AA828211"/>
    <mergeCell ref="AA828356:AA828357"/>
    <mergeCell ref="AA828502:AA828503"/>
    <mergeCell ref="AA828648:AA828649"/>
    <mergeCell ref="AA828794:AA828795"/>
    <mergeCell ref="AA828940:AA828941"/>
    <mergeCell ref="AA829086:AA829087"/>
    <mergeCell ref="AA829232:AA829233"/>
    <mergeCell ref="AA829378:AA829379"/>
    <mergeCell ref="AA829524:AA829525"/>
    <mergeCell ref="AA829670:AA829671"/>
    <mergeCell ref="AA829816:AA829817"/>
    <mergeCell ref="AA829962:AA829963"/>
    <mergeCell ref="AA830108:AA830109"/>
    <mergeCell ref="AA830254:AA830255"/>
    <mergeCell ref="AA830400:AA830401"/>
    <mergeCell ref="AA830546:AA830547"/>
    <mergeCell ref="AA830692:AA830693"/>
    <mergeCell ref="AA830838:AA830839"/>
    <mergeCell ref="AA830984:AA830985"/>
    <mergeCell ref="AA831130:AA831131"/>
    <mergeCell ref="AA831276:AA831277"/>
    <mergeCell ref="AA831422:AA831423"/>
    <mergeCell ref="AA831568:AA831569"/>
    <mergeCell ref="AA831714:AA831715"/>
    <mergeCell ref="AA831860:AA831861"/>
    <mergeCell ref="AA832006:AA832007"/>
    <mergeCell ref="AA832152:AA832153"/>
    <mergeCell ref="AA832298:AA832299"/>
    <mergeCell ref="AA832444:AA832445"/>
    <mergeCell ref="AA832590:AA832591"/>
    <mergeCell ref="AA832736:AA832737"/>
    <mergeCell ref="AA832882:AA832883"/>
    <mergeCell ref="AA833028:AA833029"/>
    <mergeCell ref="AA833174:AA833175"/>
    <mergeCell ref="AA833320:AA833321"/>
    <mergeCell ref="AA833466:AA833467"/>
    <mergeCell ref="AA833612:AA833613"/>
    <mergeCell ref="AA833758:AA833759"/>
    <mergeCell ref="AA833904:AA833905"/>
    <mergeCell ref="AA834050:AA834051"/>
    <mergeCell ref="AA834196:AA834197"/>
    <mergeCell ref="AA834342:AA834343"/>
    <mergeCell ref="AA834488:AA834489"/>
    <mergeCell ref="AA834634:AA834635"/>
    <mergeCell ref="AA834780:AA834781"/>
    <mergeCell ref="AA834926:AA834927"/>
    <mergeCell ref="AA835072:AA835073"/>
    <mergeCell ref="AA835218:AA835219"/>
    <mergeCell ref="AA835364:AA835365"/>
    <mergeCell ref="AA835510:AA835511"/>
    <mergeCell ref="AA835656:AA835657"/>
    <mergeCell ref="AA835802:AA835803"/>
    <mergeCell ref="AA835948:AA835949"/>
    <mergeCell ref="AA836094:AA836095"/>
    <mergeCell ref="AA836240:AA836241"/>
    <mergeCell ref="AA836386:AA836387"/>
    <mergeCell ref="AA836532:AA836533"/>
    <mergeCell ref="AA836678:AA836679"/>
    <mergeCell ref="AA836824:AA836825"/>
    <mergeCell ref="AA836970:AA836971"/>
    <mergeCell ref="AA837116:AA837117"/>
    <mergeCell ref="AA837262:AA837263"/>
    <mergeCell ref="AA837408:AA837409"/>
    <mergeCell ref="AA837554:AA837555"/>
    <mergeCell ref="AA837700:AA837701"/>
    <mergeCell ref="AA837846:AA837847"/>
    <mergeCell ref="AA837992:AA837993"/>
    <mergeCell ref="AA838138:AA838139"/>
    <mergeCell ref="AA838284:AA838285"/>
    <mergeCell ref="AA838430:AA838431"/>
    <mergeCell ref="AA838576:AA838577"/>
    <mergeCell ref="AA838722:AA838723"/>
    <mergeCell ref="AA838868:AA838869"/>
    <mergeCell ref="AA839014:AA839015"/>
    <mergeCell ref="AA839160:AA839161"/>
    <mergeCell ref="AA839306:AA839307"/>
    <mergeCell ref="AA839452:AA839453"/>
    <mergeCell ref="AA839598:AA839599"/>
    <mergeCell ref="AA839744:AA839745"/>
    <mergeCell ref="AA839890:AA839891"/>
    <mergeCell ref="AA840036:AA840037"/>
    <mergeCell ref="AA840182:AA840183"/>
    <mergeCell ref="AA840328:AA840329"/>
    <mergeCell ref="AA840474:AA840475"/>
    <mergeCell ref="AA840620:AA840621"/>
    <mergeCell ref="AA840766:AA840767"/>
    <mergeCell ref="AA840912:AA840913"/>
    <mergeCell ref="AA841058:AA841059"/>
    <mergeCell ref="AA841204:AA841205"/>
    <mergeCell ref="AA841350:AA841351"/>
    <mergeCell ref="AA841496:AA841497"/>
    <mergeCell ref="AA841642:AA841643"/>
    <mergeCell ref="AA841788:AA841789"/>
    <mergeCell ref="AA841934:AA841935"/>
    <mergeCell ref="AA842080:AA842081"/>
    <mergeCell ref="AA842226:AA842227"/>
    <mergeCell ref="AA842372:AA842373"/>
    <mergeCell ref="AA842518:AA842519"/>
    <mergeCell ref="AA842664:AA842665"/>
    <mergeCell ref="AA842810:AA842811"/>
    <mergeCell ref="AA842956:AA842957"/>
    <mergeCell ref="AA843102:AA843103"/>
    <mergeCell ref="AA843248:AA843249"/>
    <mergeCell ref="AA843394:AA843395"/>
    <mergeCell ref="AA843540:AA843541"/>
    <mergeCell ref="AA843686:AA843687"/>
    <mergeCell ref="AA843832:AA843833"/>
    <mergeCell ref="AA843978:AA843979"/>
    <mergeCell ref="AA844124:AA844125"/>
    <mergeCell ref="AA844270:AA844271"/>
    <mergeCell ref="AA844416:AA844417"/>
    <mergeCell ref="AA844562:AA844563"/>
    <mergeCell ref="AA844708:AA844709"/>
    <mergeCell ref="AA844854:AA844855"/>
    <mergeCell ref="AA845000:AA845001"/>
    <mergeCell ref="AA845146:AA845147"/>
    <mergeCell ref="AA845292:AA845293"/>
    <mergeCell ref="AA845438:AA845439"/>
    <mergeCell ref="AA845584:AA845585"/>
    <mergeCell ref="AA845730:AA845731"/>
    <mergeCell ref="AA845876:AA845877"/>
    <mergeCell ref="AA846022:AA846023"/>
    <mergeCell ref="AA846168:AA846169"/>
    <mergeCell ref="AA846314:AA846315"/>
    <mergeCell ref="AA846460:AA846461"/>
    <mergeCell ref="AA846606:AA846607"/>
    <mergeCell ref="AA846752:AA846753"/>
    <mergeCell ref="AA846898:AA846899"/>
    <mergeCell ref="AA847044:AA847045"/>
    <mergeCell ref="AA847190:AA847191"/>
    <mergeCell ref="AA847336:AA847337"/>
    <mergeCell ref="AA847482:AA847483"/>
    <mergeCell ref="AA847628:AA847629"/>
    <mergeCell ref="AA847774:AA847775"/>
    <mergeCell ref="AA847920:AA847921"/>
    <mergeCell ref="AA848066:AA848067"/>
    <mergeCell ref="AA848212:AA848213"/>
    <mergeCell ref="AA848358:AA848359"/>
    <mergeCell ref="AA848504:AA848505"/>
    <mergeCell ref="AA848650:AA848651"/>
    <mergeCell ref="AA848796:AA848797"/>
    <mergeCell ref="AA848942:AA848943"/>
    <mergeCell ref="AA849088:AA849089"/>
    <mergeCell ref="AA849234:AA849235"/>
    <mergeCell ref="AA849380:AA849381"/>
    <mergeCell ref="AA849526:AA849527"/>
    <mergeCell ref="AA849672:AA849673"/>
    <mergeCell ref="AA849818:AA849819"/>
    <mergeCell ref="AA849964:AA849965"/>
    <mergeCell ref="AA850110:AA850111"/>
    <mergeCell ref="AA850256:AA850257"/>
    <mergeCell ref="AA850402:AA850403"/>
    <mergeCell ref="AA850548:AA850549"/>
    <mergeCell ref="AA850694:AA850695"/>
    <mergeCell ref="AA850840:AA850841"/>
    <mergeCell ref="AA850986:AA850987"/>
    <mergeCell ref="AA851132:AA851133"/>
    <mergeCell ref="AA851278:AA851279"/>
    <mergeCell ref="AA851424:AA851425"/>
    <mergeCell ref="AA851570:AA851571"/>
    <mergeCell ref="AA851716:AA851717"/>
    <mergeCell ref="AA851862:AA851863"/>
    <mergeCell ref="AA852008:AA852009"/>
    <mergeCell ref="AA852154:AA852155"/>
    <mergeCell ref="AA852300:AA852301"/>
    <mergeCell ref="AA852446:AA852447"/>
    <mergeCell ref="AA852592:AA852593"/>
    <mergeCell ref="AA852738:AA852739"/>
    <mergeCell ref="AA852884:AA852885"/>
    <mergeCell ref="AA853030:AA853031"/>
    <mergeCell ref="AA853176:AA853177"/>
    <mergeCell ref="AA853322:AA853323"/>
    <mergeCell ref="AA853468:AA853469"/>
    <mergeCell ref="AA853614:AA853615"/>
    <mergeCell ref="AA853760:AA853761"/>
    <mergeCell ref="AA853906:AA853907"/>
    <mergeCell ref="AA854052:AA854053"/>
    <mergeCell ref="AA854198:AA854199"/>
    <mergeCell ref="AA854344:AA854345"/>
    <mergeCell ref="AA854490:AA854491"/>
    <mergeCell ref="AA854636:AA854637"/>
    <mergeCell ref="AA854782:AA854783"/>
    <mergeCell ref="AA854928:AA854929"/>
    <mergeCell ref="AA855074:AA855075"/>
    <mergeCell ref="AA855220:AA855221"/>
    <mergeCell ref="AA855366:AA855367"/>
    <mergeCell ref="AA855512:AA855513"/>
    <mergeCell ref="AA855658:AA855659"/>
    <mergeCell ref="AA855804:AA855805"/>
    <mergeCell ref="AA855950:AA855951"/>
    <mergeCell ref="AA856096:AA856097"/>
    <mergeCell ref="AA856242:AA856243"/>
    <mergeCell ref="AA856388:AA856389"/>
    <mergeCell ref="AA856534:AA856535"/>
    <mergeCell ref="AA856680:AA856681"/>
    <mergeCell ref="AA856826:AA856827"/>
    <mergeCell ref="AA856972:AA856973"/>
    <mergeCell ref="AA857118:AA857119"/>
    <mergeCell ref="AA857264:AA857265"/>
    <mergeCell ref="AA857410:AA857411"/>
    <mergeCell ref="AA857556:AA857557"/>
    <mergeCell ref="AA857702:AA857703"/>
    <mergeCell ref="AA857848:AA857849"/>
    <mergeCell ref="AA857994:AA857995"/>
    <mergeCell ref="AA858140:AA858141"/>
    <mergeCell ref="AA858286:AA858287"/>
    <mergeCell ref="AA858432:AA858433"/>
    <mergeCell ref="AA858578:AA858579"/>
    <mergeCell ref="AA858724:AA858725"/>
    <mergeCell ref="AA858870:AA858871"/>
    <mergeCell ref="AA859016:AA859017"/>
    <mergeCell ref="AA859162:AA859163"/>
    <mergeCell ref="AA859308:AA859309"/>
    <mergeCell ref="AA859454:AA859455"/>
    <mergeCell ref="AA859600:AA859601"/>
    <mergeCell ref="AA859746:AA859747"/>
    <mergeCell ref="AA859892:AA859893"/>
    <mergeCell ref="AA860038:AA860039"/>
    <mergeCell ref="AA860184:AA860185"/>
    <mergeCell ref="AA860330:AA860331"/>
    <mergeCell ref="AA860476:AA860477"/>
    <mergeCell ref="AA860622:AA860623"/>
    <mergeCell ref="AA860768:AA860769"/>
    <mergeCell ref="AA860914:AA860915"/>
    <mergeCell ref="AA861060:AA861061"/>
    <mergeCell ref="AA861206:AA861207"/>
    <mergeCell ref="AA861352:AA861353"/>
    <mergeCell ref="AA861498:AA861499"/>
    <mergeCell ref="AA861644:AA861645"/>
    <mergeCell ref="AA861790:AA861791"/>
    <mergeCell ref="AA861936:AA861937"/>
    <mergeCell ref="AA862082:AA862083"/>
    <mergeCell ref="AA862228:AA862229"/>
    <mergeCell ref="AA862374:AA862375"/>
    <mergeCell ref="AA862520:AA862521"/>
    <mergeCell ref="AA862666:AA862667"/>
    <mergeCell ref="AA862812:AA862813"/>
    <mergeCell ref="AA862958:AA862959"/>
    <mergeCell ref="AA863104:AA863105"/>
    <mergeCell ref="AA863250:AA863251"/>
    <mergeCell ref="AA863396:AA863397"/>
    <mergeCell ref="AA863542:AA863543"/>
    <mergeCell ref="AA863688:AA863689"/>
    <mergeCell ref="AA863834:AA863835"/>
    <mergeCell ref="AA863980:AA863981"/>
    <mergeCell ref="AA864126:AA864127"/>
    <mergeCell ref="AA864272:AA864273"/>
    <mergeCell ref="AA864418:AA864419"/>
    <mergeCell ref="AA864564:AA864565"/>
    <mergeCell ref="AA864710:AA864711"/>
    <mergeCell ref="AA864856:AA864857"/>
    <mergeCell ref="AA865002:AA865003"/>
    <mergeCell ref="AA865148:AA865149"/>
    <mergeCell ref="AA865294:AA865295"/>
    <mergeCell ref="AA865440:AA865441"/>
    <mergeCell ref="AA865586:AA865587"/>
    <mergeCell ref="AA865732:AA865733"/>
    <mergeCell ref="AA865878:AA865879"/>
    <mergeCell ref="AA866024:AA866025"/>
    <mergeCell ref="AA866170:AA866171"/>
    <mergeCell ref="AA866316:AA866317"/>
    <mergeCell ref="AA866462:AA866463"/>
    <mergeCell ref="AA866608:AA866609"/>
    <mergeCell ref="AA866754:AA866755"/>
    <mergeCell ref="AA866900:AA866901"/>
    <mergeCell ref="AA867046:AA867047"/>
    <mergeCell ref="AA867192:AA867193"/>
    <mergeCell ref="AA867338:AA867339"/>
    <mergeCell ref="AA867484:AA867485"/>
    <mergeCell ref="AA867630:AA867631"/>
    <mergeCell ref="AA867776:AA867777"/>
    <mergeCell ref="AA867922:AA867923"/>
    <mergeCell ref="AA868068:AA868069"/>
    <mergeCell ref="AA868214:AA868215"/>
    <mergeCell ref="AA868360:AA868361"/>
    <mergeCell ref="AA868506:AA868507"/>
    <mergeCell ref="AA868652:AA868653"/>
    <mergeCell ref="AA868798:AA868799"/>
    <mergeCell ref="AA868944:AA868945"/>
    <mergeCell ref="AA869090:AA869091"/>
    <mergeCell ref="AA869236:AA869237"/>
    <mergeCell ref="AA869382:AA869383"/>
    <mergeCell ref="AA869528:AA869529"/>
    <mergeCell ref="AA869674:AA869675"/>
    <mergeCell ref="AA869820:AA869821"/>
    <mergeCell ref="AA869966:AA869967"/>
    <mergeCell ref="AA870112:AA870113"/>
    <mergeCell ref="AA870258:AA870259"/>
    <mergeCell ref="AA870404:AA870405"/>
    <mergeCell ref="AA870550:AA870551"/>
    <mergeCell ref="AA870696:AA870697"/>
    <mergeCell ref="AA870842:AA870843"/>
    <mergeCell ref="AA870988:AA870989"/>
    <mergeCell ref="AA871134:AA871135"/>
    <mergeCell ref="AA871280:AA871281"/>
    <mergeCell ref="AA871426:AA871427"/>
    <mergeCell ref="AA871572:AA871573"/>
    <mergeCell ref="AA871718:AA871719"/>
    <mergeCell ref="AA871864:AA871865"/>
    <mergeCell ref="AA872010:AA872011"/>
    <mergeCell ref="AA872156:AA872157"/>
    <mergeCell ref="AA872302:AA872303"/>
    <mergeCell ref="AA872448:AA872449"/>
    <mergeCell ref="AA872594:AA872595"/>
    <mergeCell ref="AA872740:AA872741"/>
    <mergeCell ref="AA872886:AA872887"/>
    <mergeCell ref="AA873032:AA873033"/>
    <mergeCell ref="AA873178:AA873179"/>
    <mergeCell ref="AA873324:AA873325"/>
    <mergeCell ref="AA873470:AA873471"/>
    <mergeCell ref="AA873616:AA873617"/>
    <mergeCell ref="AA873762:AA873763"/>
    <mergeCell ref="AA873908:AA873909"/>
    <mergeCell ref="AA874054:AA874055"/>
    <mergeCell ref="AA874200:AA874201"/>
    <mergeCell ref="AA874346:AA874347"/>
    <mergeCell ref="AA874492:AA874493"/>
    <mergeCell ref="AA874638:AA874639"/>
    <mergeCell ref="AA874784:AA874785"/>
    <mergeCell ref="AA874930:AA874931"/>
    <mergeCell ref="AA875076:AA875077"/>
    <mergeCell ref="AA875222:AA875223"/>
    <mergeCell ref="AA875368:AA875369"/>
    <mergeCell ref="AA875514:AA875515"/>
    <mergeCell ref="AA875660:AA875661"/>
    <mergeCell ref="AA875806:AA875807"/>
    <mergeCell ref="AA875952:AA875953"/>
    <mergeCell ref="AA876098:AA876099"/>
    <mergeCell ref="AA876244:AA876245"/>
    <mergeCell ref="AA876390:AA876391"/>
    <mergeCell ref="AA876536:AA876537"/>
    <mergeCell ref="AA876682:AA876683"/>
    <mergeCell ref="AA876828:AA876829"/>
    <mergeCell ref="AA876974:AA876975"/>
    <mergeCell ref="AA877120:AA877121"/>
    <mergeCell ref="AA877266:AA877267"/>
    <mergeCell ref="AA877412:AA877413"/>
    <mergeCell ref="AA877558:AA877559"/>
    <mergeCell ref="AA877704:AA877705"/>
    <mergeCell ref="AA877850:AA877851"/>
    <mergeCell ref="AA877996:AA877997"/>
    <mergeCell ref="AA878142:AA878143"/>
    <mergeCell ref="AA878288:AA878289"/>
    <mergeCell ref="AA878434:AA878435"/>
    <mergeCell ref="AA878580:AA878581"/>
    <mergeCell ref="AA878726:AA878727"/>
    <mergeCell ref="AA878872:AA878873"/>
    <mergeCell ref="AA879018:AA879019"/>
    <mergeCell ref="AA879164:AA879165"/>
    <mergeCell ref="AA879310:AA879311"/>
    <mergeCell ref="AA879456:AA879457"/>
    <mergeCell ref="AA879602:AA879603"/>
    <mergeCell ref="AA879748:AA879749"/>
    <mergeCell ref="AA879894:AA879895"/>
    <mergeCell ref="AA880040:AA880041"/>
    <mergeCell ref="AA880186:AA880187"/>
    <mergeCell ref="AA880332:AA880333"/>
    <mergeCell ref="AA880478:AA880479"/>
    <mergeCell ref="AA880624:AA880625"/>
    <mergeCell ref="AA880770:AA880771"/>
    <mergeCell ref="AA880916:AA880917"/>
    <mergeCell ref="AA881062:AA881063"/>
    <mergeCell ref="AA881208:AA881209"/>
    <mergeCell ref="AA881354:AA881355"/>
    <mergeCell ref="AA881500:AA881501"/>
    <mergeCell ref="AA881646:AA881647"/>
    <mergeCell ref="AA881792:AA881793"/>
    <mergeCell ref="AA881938:AA881939"/>
    <mergeCell ref="AA882084:AA882085"/>
    <mergeCell ref="AA882230:AA882231"/>
    <mergeCell ref="AA882376:AA882377"/>
    <mergeCell ref="AA882522:AA882523"/>
    <mergeCell ref="AA882668:AA882669"/>
    <mergeCell ref="AA882814:AA882815"/>
    <mergeCell ref="AA882960:AA882961"/>
    <mergeCell ref="AA883106:AA883107"/>
    <mergeCell ref="AA883252:AA883253"/>
    <mergeCell ref="AA883398:AA883399"/>
    <mergeCell ref="AA883544:AA883545"/>
    <mergeCell ref="AA883690:AA883691"/>
    <mergeCell ref="AA883836:AA883837"/>
    <mergeCell ref="AA883982:AA883983"/>
    <mergeCell ref="AA884128:AA884129"/>
    <mergeCell ref="AA884274:AA884275"/>
    <mergeCell ref="AA884420:AA884421"/>
    <mergeCell ref="AA884566:AA884567"/>
    <mergeCell ref="AA884712:AA884713"/>
    <mergeCell ref="AA884858:AA884859"/>
    <mergeCell ref="AA885004:AA885005"/>
    <mergeCell ref="AA885150:AA885151"/>
    <mergeCell ref="AA885296:AA885297"/>
    <mergeCell ref="AA885442:AA885443"/>
    <mergeCell ref="AA885588:AA885589"/>
    <mergeCell ref="AA885734:AA885735"/>
    <mergeCell ref="AA885880:AA885881"/>
    <mergeCell ref="AA886026:AA886027"/>
    <mergeCell ref="AA886172:AA886173"/>
    <mergeCell ref="AA886318:AA886319"/>
    <mergeCell ref="AA886464:AA886465"/>
    <mergeCell ref="AA886610:AA886611"/>
    <mergeCell ref="AA886756:AA886757"/>
    <mergeCell ref="AA886902:AA886903"/>
    <mergeCell ref="AA887048:AA887049"/>
    <mergeCell ref="AA887194:AA887195"/>
    <mergeCell ref="AA887340:AA887341"/>
    <mergeCell ref="AA887486:AA887487"/>
    <mergeCell ref="AA887632:AA887633"/>
    <mergeCell ref="AA887778:AA887779"/>
    <mergeCell ref="AA887924:AA887925"/>
    <mergeCell ref="AA888070:AA888071"/>
    <mergeCell ref="AA888216:AA888217"/>
    <mergeCell ref="AA888362:AA888363"/>
    <mergeCell ref="AA888508:AA888509"/>
    <mergeCell ref="AA888654:AA888655"/>
    <mergeCell ref="AA888800:AA888801"/>
    <mergeCell ref="AA888946:AA888947"/>
    <mergeCell ref="AA889092:AA889093"/>
    <mergeCell ref="AA889238:AA889239"/>
    <mergeCell ref="AA889384:AA889385"/>
    <mergeCell ref="AA889530:AA889531"/>
    <mergeCell ref="AA889676:AA889677"/>
    <mergeCell ref="AA889822:AA889823"/>
    <mergeCell ref="AA889968:AA889969"/>
    <mergeCell ref="AA890114:AA890115"/>
    <mergeCell ref="AA890260:AA890261"/>
    <mergeCell ref="AA890406:AA890407"/>
    <mergeCell ref="AA890552:AA890553"/>
    <mergeCell ref="AA890698:AA890699"/>
    <mergeCell ref="AA890844:AA890845"/>
    <mergeCell ref="AA890990:AA890991"/>
    <mergeCell ref="AA891136:AA891137"/>
    <mergeCell ref="AA891282:AA891283"/>
    <mergeCell ref="AA891428:AA891429"/>
    <mergeCell ref="AA891574:AA891575"/>
    <mergeCell ref="AA891720:AA891721"/>
    <mergeCell ref="AA891866:AA891867"/>
    <mergeCell ref="AA892012:AA892013"/>
    <mergeCell ref="AA892158:AA892159"/>
    <mergeCell ref="AA892304:AA892305"/>
    <mergeCell ref="AA892450:AA892451"/>
    <mergeCell ref="AA892596:AA892597"/>
    <mergeCell ref="AA892742:AA892743"/>
    <mergeCell ref="AA892888:AA892889"/>
    <mergeCell ref="AA893034:AA893035"/>
    <mergeCell ref="AA893180:AA893181"/>
    <mergeCell ref="AA893326:AA893327"/>
    <mergeCell ref="AA893472:AA893473"/>
    <mergeCell ref="AA893618:AA893619"/>
    <mergeCell ref="AA893764:AA893765"/>
    <mergeCell ref="AA893910:AA893911"/>
    <mergeCell ref="AA894056:AA894057"/>
    <mergeCell ref="AA894202:AA894203"/>
    <mergeCell ref="AA894348:AA894349"/>
    <mergeCell ref="AA894494:AA894495"/>
    <mergeCell ref="AA894640:AA894641"/>
    <mergeCell ref="AA894786:AA894787"/>
    <mergeCell ref="AA894932:AA894933"/>
    <mergeCell ref="AA895078:AA895079"/>
    <mergeCell ref="AA895224:AA895225"/>
    <mergeCell ref="AA895370:AA895371"/>
    <mergeCell ref="AA895516:AA895517"/>
    <mergeCell ref="AA895662:AA895663"/>
    <mergeCell ref="AA895808:AA895809"/>
    <mergeCell ref="AA895954:AA895955"/>
    <mergeCell ref="AA896100:AA896101"/>
    <mergeCell ref="AA896246:AA896247"/>
    <mergeCell ref="AA896392:AA896393"/>
    <mergeCell ref="AA896538:AA896539"/>
    <mergeCell ref="AA896684:AA896685"/>
    <mergeCell ref="AA896830:AA896831"/>
    <mergeCell ref="AA896976:AA896977"/>
    <mergeCell ref="AA897122:AA897123"/>
    <mergeCell ref="AA897268:AA897269"/>
    <mergeCell ref="AA897414:AA897415"/>
    <mergeCell ref="AA897560:AA897561"/>
    <mergeCell ref="AA897706:AA897707"/>
    <mergeCell ref="AA897852:AA897853"/>
    <mergeCell ref="AA897998:AA897999"/>
    <mergeCell ref="AA898144:AA898145"/>
    <mergeCell ref="AA898290:AA898291"/>
    <mergeCell ref="AA898436:AA898437"/>
    <mergeCell ref="AA898582:AA898583"/>
    <mergeCell ref="AA898728:AA898729"/>
    <mergeCell ref="AA898874:AA898875"/>
    <mergeCell ref="AA899020:AA899021"/>
    <mergeCell ref="AA899166:AA899167"/>
    <mergeCell ref="AA899312:AA899313"/>
    <mergeCell ref="AA899458:AA899459"/>
    <mergeCell ref="AA899604:AA899605"/>
    <mergeCell ref="AA899750:AA899751"/>
    <mergeCell ref="AA899896:AA899897"/>
    <mergeCell ref="AA900042:AA900043"/>
    <mergeCell ref="AA900188:AA900189"/>
    <mergeCell ref="AA900334:AA900335"/>
    <mergeCell ref="AA900480:AA900481"/>
    <mergeCell ref="AA900626:AA900627"/>
    <mergeCell ref="AA900772:AA900773"/>
    <mergeCell ref="AA900918:AA900919"/>
    <mergeCell ref="AA901064:AA901065"/>
    <mergeCell ref="AA901210:AA901211"/>
    <mergeCell ref="AA901356:AA901357"/>
    <mergeCell ref="AA901502:AA901503"/>
    <mergeCell ref="AA901648:AA901649"/>
    <mergeCell ref="AA901794:AA901795"/>
    <mergeCell ref="AA901940:AA901941"/>
    <mergeCell ref="AA902086:AA902087"/>
    <mergeCell ref="AA902232:AA902233"/>
    <mergeCell ref="AA902378:AA902379"/>
    <mergeCell ref="AA902524:AA902525"/>
    <mergeCell ref="AA902670:AA902671"/>
    <mergeCell ref="AA902816:AA902817"/>
    <mergeCell ref="AA902962:AA902963"/>
    <mergeCell ref="AA903108:AA903109"/>
    <mergeCell ref="AA903254:AA903255"/>
    <mergeCell ref="AA903400:AA903401"/>
    <mergeCell ref="AA903546:AA903547"/>
    <mergeCell ref="AA903692:AA903693"/>
    <mergeCell ref="AA903838:AA903839"/>
    <mergeCell ref="AA903984:AA903985"/>
    <mergeCell ref="AA904130:AA904131"/>
    <mergeCell ref="AA904276:AA904277"/>
    <mergeCell ref="AA904422:AA904423"/>
    <mergeCell ref="AA904568:AA904569"/>
    <mergeCell ref="AA904714:AA904715"/>
    <mergeCell ref="AA904860:AA904861"/>
    <mergeCell ref="AA905006:AA905007"/>
    <mergeCell ref="AA905152:AA905153"/>
    <mergeCell ref="AA905298:AA905299"/>
    <mergeCell ref="AA905444:AA905445"/>
    <mergeCell ref="AA905590:AA905591"/>
    <mergeCell ref="AA905736:AA905737"/>
    <mergeCell ref="AA905882:AA905883"/>
    <mergeCell ref="AA906028:AA906029"/>
    <mergeCell ref="AA906174:AA906175"/>
    <mergeCell ref="AA906320:AA906321"/>
    <mergeCell ref="AA906466:AA906467"/>
    <mergeCell ref="AA906612:AA906613"/>
    <mergeCell ref="AA906758:AA906759"/>
    <mergeCell ref="AA906904:AA906905"/>
    <mergeCell ref="AA907050:AA907051"/>
    <mergeCell ref="AA907196:AA907197"/>
    <mergeCell ref="AA907342:AA907343"/>
    <mergeCell ref="AA907488:AA907489"/>
    <mergeCell ref="AA907634:AA907635"/>
    <mergeCell ref="AA907780:AA907781"/>
    <mergeCell ref="AA907926:AA907927"/>
    <mergeCell ref="AA908072:AA908073"/>
    <mergeCell ref="AA908218:AA908219"/>
    <mergeCell ref="AA908364:AA908365"/>
    <mergeCell ref="AA908510:AA908511"/>
    <mergeCell ref="AA908656:AA908657"/>
    <mergeCell ref="AA908802:AA908803"/>
    <mergeCell ref="AA908948:AA908949"/>
    <mergeCell ref="AA909094:AA909095"/>
    <mergeCell ref="AA909240:AA909241"/>
    <mergeCell ref="AA909386:AA909387"/>
    <mergeCell ref="AA909532:AA909533"/>
    <mergeCell ref="AA909678:AA909679"/>
    <mergeCell ref="AA909824:AA909825"/>
    <mergeCell ref="AA909970:AA909971"/>
    <mergeCell ref="AA910116:AA910117"/>
    <mergeCell ref="AA910262:AA910263"/>
    <mergeCell ref="AA910408:AA910409"/>
    <mergeCell ref="AA910554:AA910555"/>
    <mergeCell ref="AA910700:AA910701"/>
    <mergeCell ref="AA910846:AA910847"/>
    <mergeCell ref="AA910992:AA910993"/>
    <mergeCell ref="AA911138:AA911139"/>
    <mergeCell ref="AA911284:AA911285"/>
    <mergeCell ref="AA911430:AA911431"/>
    <mergeCell ref="AA911576:AA911577"/>
    <mergeCell ref="AA911722:AA911723"/>
    <mergeCell ref="AA911868:AA911869"/>
    <mergeCell ref="AA912014:AA912015"/>
    <mergeCell ref="AA912160:AA912161"/>
    <mergeCell ref="AA912306:AA912307"/>
    <mergeCell ref="AA912452:AA912453"/>
    <mergeCell ref="AA912598:AA912599"/>
    <mergeCell ref="AA912744:AA912745"/>
    <mergeCell ref="AA912890:AA912891"/>
    <mergeCell ref="AA913036:AA913037"/>
    <mergeCell ref="AA913182:AA913183"/>
    <mergeCell ref="AA913328:AA913329"/>
    <mergeCell ref="AA913474:AA913475"/>
    <mergeCell ref="AA913620:AA913621"/>
    <mergeCell ref="AA913766:AA913767"/>
    <mergeCell ref="AA913912:AA913913"/>
    <mergeCell ref="AA914058:AA914059"/>
    <mergeCell ref="AA914204:AA914205"/>
    <mergeCell ref="AA914350:AA914351"/>
    <mergeCell ref="AA914496:AA914497"/>
    <mergeCell ref="AA914642:AA914643"/>
    <mergeCell ref="AA914788:AA914789"/>
    <mergeCell ref="AA914934:AA914935"/>
    <mergeCell ref="AA915080:AA915081"/>
    <mergeCell ref="AA915226:AA915227"/>
    <mergeCell ref="AA915372:AA915373"/>
    <mergeCell ref="AA915518:AA915519"/>
    <mergeCell ref="AA915664:AA915665"/>
    <mergeCell ref="AA915810:AA915811"/>
    <mergeCell ref="AA915956:AA915957"/>
    <mergeCell ref="AA916102:AA916103"/>
    <mergeCell ref="AA916248:AA916249"/>
    <mergeCell ref="AA916394:AA916395"/>
    <mergeCell ref="AA916540:AA916541"/>
    <mergeCell ref="AA916686:AA916687"/>
    <mergeCell ref="AA916832:AA916833"/>
    <mergeCell ref="AA916978:AA916979"/>
    <mergeCell ref="AA917124:AA917125"/>
    <mergeCell ref="AA917270:AA917271"/>
    <mergeCell ref="AA917416:AA917417"/>
    <mergeCell ref="AA917562:AA917563"/>
    <mergeCell ref="AA917708:AA917709"/>
    <mergeCell ref="AA917854:AA917855"/>
    <mergeCell ref="AA918000:AA918001"/>
    <mergeCell ref="AA918146:AA918147"/>
    <mergeCell ref="AA918292:AA918293"/>
    <mergeCell ref="AA918438:AA918439"/>
    <mergeCell ref="AA918584:AA918585"/>
    <mergeCell ref="AA918730:AA918731"/>
    <mergeCell ref="AA918876:AA918877"/>
    <mergeCell ref="AA919022:AA919023"/>
    <mergeCell ref="AA919168:AA919169"/>
    <mergeCell ref="AA919314:AA919315"/>
    <mergeCell ref="AA919460:AA919461"/>
    <mergeCell ref="AA919606:AA919607"/>
    <mergeCell ref="AA919752:AA919753"/>
    <mergeCell ref="AA919898:AA919899"/>
    <mergeCell ref="AA920044:AA920045"/>
    <mergeCell ref="AA920190:AA920191"/>
    <mergeCell ref="AA920336:AA920337"/>
    <mergeCell ref="AA920482:AA920483"/>
    <mergeCell ref="AA920628:AA920629"/>
    <mergeCell ref="AA920774:AA920775"/>
    <mergeCell ref="AA920920:AA920921"/>
    <mergeCell ref="AA921066:AA921067"/>
    <mergeCell ref="AA921212:AA921213"/>
    <mergeCell ref="AA921358:AA921359"/>
    <mergeCell ref="AA921504:AA921505"/>
    <mergeCell ref="AA921650:AA921651"/>
    <mergeCell ref="AA921796:AA921797"/>
    <mergeCell ref="AA921942:AA921943"/>
    <mergeCell ref="AA922088:AA922089"/>
    <mergeCell ref="AA922234:AA922235"/>
    <mergeCell ref="AA922380:AA922381"/>
    <mergeCell ref="AA922526:AA922527"/>
    <mergeCell ref="AA922672:AA922673"/>
    <mergeCell ref="AA922818:AA922819"/>
    <mergeCell ref="AA922964:AA922965"/>
    <mergeCell ref="AA923110:AA923111"/>
    <mergeCell ref="AA923256:AA923257"/>
    <mergeCell ref="AA923402:AA923403"/>
    <mergeCell ref="AA923548:AA923549"/>
    <mergeCell ref="AA923694:AA923695"/>
    <mergeCell ref="AA923840:AA923841"/>
    <mergeCell ref="AA923986:AA923987"/>
    <mergeCell ref="AA924132:AA924133"/>
    <mergeCell ref="AA924278:AA924279"/>
    <mergeCell ref="AA924424:AA924425"/>
    <mergeCell ref="AA924570:AA924571"/>
    <mergeCell ref="AA924716:AA924717"/>
    <mergeCell ref="AA924862:AA924863"/>
    <mergeCell ref="AA925008:AA925009"/>
    <mergeCell ref="AA925154:AA925155"/>
    <mergeCell ref="AA925300:AA925301"/>
    <mergeCell ref="AA925446:AA925447"/>
    <mergeCell ref="AA925592:AA925593"/>
    <mergeCell ref="AA925738:AA925739"/>
    <mergeCell ref="AA925884:AA925885"/>
    <mergeCell ref="AA926030:AA926031"/>
    <mergeCell ref="AA926176:AA926177"/>
    <mergeCell ref="AA926322:AA926323"/>
    <mergeCell ref="AA926468:AA926469"/>
    <mergeCell ref="AA926614:AA926615"/>
    <mergeCell ref="AA926760:AA926761"/>
    <mergeCell ref="AA926906:AA926907"/>
    <mergeCell ref="AA927052:AA927053"/>
    <mergeCell ref="AA927198:AA927199"/>
    <mergeCell ref="AA927344:AA927345"/>
    <mergeCell ref="AA927490:AA927491"/>
    <mergeCell ref="AA927636:AA927637"/>
    <mergeCell ref="AA927782:AA927783"/>
    <mergeCell ref="AA927928:AA927929"/>
    <mergeCell ref="AA928074:AA928075"/>
    <mergeCell ref="AA928220:AA928221"/>
    <mergeCell ref="AA928366:AA928367"/>
    <mergeCell ref="AA928512:AA928513"/>
    <mergeCell ref="AA928658:AA928659"/>
    <mergeCell ref="AA928804:AA928805"/>
    <mergeCell ref="AA928950:AA928951"/>
    <mergeCell ref="AA929096:AA929097"/>
    <mergeCell ref="AA929242:AA929243"/>
    <mergeCell ref="AA929388:AA929389"/>
    <mergeCell ref="AA929534:AA929535"/>
    <mergeCell ref="AA929680:AA929681"/>
    <mergeCell ref="AA929826:AA929827"/>
    <mergeCell ref="AA929972:AA929973"/>
    <mergeCell ref="AA930118:AA930119"/>
    <mergeCell ref="AA930264:AA930265"/>
    <mergeCell ref="AA930410:AA930411"/>
    <mergeCell ref="AA930556:AA930557"/>
    <mergeCell ref="AA930702:AA930703"/>
    <mergeCell ref="AA930848:AA930849"/>
    <mergeCell ref="AA930994:AA930995"/>
    <mergeCell ref="AA931140:AA931141"/>
    <mergeCell ref="AA931286:AA931287"/>
    <mergeCell ref="AA931432:AA931433"/>
    <mergeCell ref="AA931578:AA931579"/>
    <mergeCell ref="AA931724:AA931725"/>
    <mergeCell ref="AA931870:AA931871"/>
    <mergeCell ref="AA932016:AA932017"/>
    <mergeCell ref="AA932162:AA932163"/>
    <mergeCell ref="AA932308:AA932309"/>
    <mergeCell ref="AA932454:AA932455"/>
    <mergeCell ref="AA932600:AA932601"/>
    <mergeCell ref="AA932746:AA932747"/>
    <mergeCell ref="AA932892:AA932893"/>
    <mergeCell ref="AA933038:AA933039"/>
    <mergeCell ref="AA933184:AA933185"/>
    <mergeCell ref="AA933330:AA933331"/>
    <mergeCell ref="AA933476:AA933477"/>
    <mergeCell ref="AA933622:AA933623"/>
    <mergeCell ref="AA933768:AA933769"/>
    <mergeCell ref="AA933914:AA933915"/>
    <mergeCell ref="AA934060:AA934061"/>
    <mergeCell ref="AA934206:AA934207"/>
    <mergeCell ref="AA934352:AA934353"/>
    <mergeCell ref="AA934498:AA934499"/>
    <mergeCell ref="AA934644:AA934645"/>
    <mergeCell ref="AA934790:AA934791"/>
    <mergeCell ref="AA934936:AA934937"/>
    <mergeCell ref="AA935082:AA935083"/>
    <mergeCell ref="AA935228:AA935229"/>
    <mergeCell ref="AA935374:AA935375"/>
    <mergeCell ref="AA935520:AA935521"/>
    <mergeCell ref="AA935666:AA935667"/>
    <mergeCell ref="AA935812:AA935813"/>
    <mergeCell ref="AA935958:AA935959"/>
    <mergeCell ref="AA936104:AA936105"/>
    <mergeCell ref="AA936250:AA936251"/>
    <mergeCell ref="AA936396:AA936397"/>
    <mergeCell ref="AA936542:AA936543"/>
    <mergeCell ref="AA936688:AA936689"/>
    <mergeCell ref="AA936834:AA936835"/>
    <mergeCell ref="AA936980:AA936981"/>
    <mergeCell ref="AA937126:AA937127"/>
    <mergeCell ref="AA937272:AA937273"/>
    <mergeCell ref="AA937418:AA937419"/>
    <mergeCell ref="AA937564:AA937565"/>
    <mergeCell ref="AA937710:AA937711"/>
    <mergeCell ref="AA937856:AA937857"/>
    <mergeCell ref="AA938002:AA938003"/>
    <mergeCell ref="AA938148:AA938149"/>
    <mergeCell ref="AA938294:AA938295"/>
    <mergeCell ref="AA938440:AA938441"/>
    <mergeCell ref="AA938586:AA938587"/>
    <mergeCell ref="AA938732:AA938733"/>
    <mergeCell ref="AA938878:AA938879"/>
    <mergeCell ref="AA939024:AA939025"/>
    <mergeCell ref="AA939170:AA939171"/>
    <mergeCell ref="AA939316:AA939317"/>
    <mergeCell ref="AA939462:AA939463"/>
    <mergeCell ref="AA939608:AA939609"/>
    <mergeCell ref="AA939754:AA939755"/>
    <mergeCell ref="AA939900:AA939901"/>
    <mergeCell ref="AA940046:AA940047"/>
    <mergeCell ref="AA940192:AA940193"/>
    <mergeCell ref="AA940338:AA940339"/>
    <mergeCell ref="AA940484:AA940485"/>
    <mergeCell ref="AA940630:AA940631"/>
    <mergeCell ref="AA940776:AA940777"/>
    <mergeCell ref="AA940922:AA940923"/>
    <mergeCell ref="AA941068:AA941069"/>
    <mergeCell ref="AA941214:AA941215"/>
    <mergeCell ref="AA941360:AA941361"/>
    <mergeCell ref="AA941506:AA941507"/>
    <mergeCell ref="AA941652:AA941653"/>
    <mergeCell ref="AA941798:AA941799"/>
    <mergeCell ref="AA941944:AA941945"/>
    <mergeCell ref="AA942090:AA942091"/>
    <mergeCell ref="AA942236:AA942237"/>
    <mergeCell ref="AA942382:AA942383"/>
    <mergeCell ref="AA942528:AA942529"/>
    <mergeCell ref="AA942674:AA942675"/>
    <mergeCell ref="AA942820:AA942821"/>
    <mergeCell ref="AA942966:AA942967"/>
    <mergeCell ref="AA943112:AA943113"/>
    <mergeCell ref="AA943258:AA943259"/>
    <mergeCell ref="AA943404:AA943405"/>
    <mergeCell ref="AA943550:AA943551"/>
    <mergeCell ref="AA943696:AA943697"/>
    <mergeCell ref="AA943842:AA943843"/>
    <mergeCell ref="AA943988:AA943989"/>
    <mergeCell ref="AA944134:AA944135"/>
    <mergeCell ref="AA944280:AA944281"/>
    <mergeCell ref="AA944426:AA944427"/>
    <mergeCell ref="AA944572:AA944573"/>
    <mergeCell ref="AA944718:AA944719"/>
    <mergeCell ref="AA944864:AA944865"/>
    <mergeCell ref="AA945010:AA945011"/>
    <mergeCell ref="AA945156:AA945157"/>
    <mergeCell ref="AA945302:AA945303"/>
    <mergeCell ref="AA945448:AA945449"/>
    <mergeCell ref="AA945594:AA945595"/>
    <mergeCell ref="AA945740:AA945741"/>
    <mergeCell ref="AA945886:AA945887"/>
    <mergeCell ref="AA946032:AA946033"/>
    <mergeCell ref="AA946178:AA946179"/>
    <mergeCell ref="AA946324:AA946325"/>
    <mergeCell ref="AA946470:AA946471"/>
    <mergeCell ref="AA946616:AA946617"/>
    <mergeCell ref="AA946762:AA946763"/>
    <mergeCell ref="AA946908:AA946909"/>
    <mergeCell ref="AA947054:AA947055"/>
    <mergeCell ref="AA947200:AA947201"/>
    <mergeCell ref="AA947346:AA947347"/>
    <mergeCell ref="AA947492:AA947493"/>
    <mergeCell ref="AA947638:AA947639"/>
    <mergeCell ref="AA947784:AA947785"/>
    <mergeCell ref="AA947930:AA947931"/>
    <mergeCell ref="AA948076:AA948077"/>
    <mergeCell ref="AA948222:AA948223"/>
    <mergeCell ref="AA948368:AA948369"/>
    <mergeCell ref="AA948514:AA948515"/>
    <mergeCell ref="AA948660:AA948661"/>
    <mergeCell ref="AA948806:AA948807"/>
    <mergeCell ref="AA948952:AA948953"/>
    <mergeCell ref="AA949098:AA949099"/>
    <mergeCell ref="AA949244:AA949245"/>
    <mergeCell ref="AA949390:AA949391"/>
    <mergeCell ref="AA949536:AA949537"/>
    <mergeCell ref="AA949682:AA949683"/>
    <mergeCell ref="AA949828:AA949829"/>
    <mergeCell ref="AA949974:AA949975"/>
    <mergeCell ref="AA950120:AA950121"/>
    <mergeCell ref="AA950266:AA950267"/>
    <mergeCell ref="AA950412:AA950413"/>
    <mergeCell ref="AA950558:AA950559"/>
    <mergeCell ref="AA950704:AA950705"/>
    <mergeCell ref="AA950850:AA950851"/>
    <mergeCell ref="AA950996:AA950997"/>
    <mergeCell ref="AA951142:AA951143"/>
    <mergeCell ref="AA951288:AA951289"/>
    <mergeCell ref="AA951434:AA951435"/>
    <mergeCell ref="AA951580:AA951581"/>
    <mergeCell ref="AA951726:AA951727"/>
    <mergeCell ref="AA951872:AA951873"/>
    <mergeCell ref="AA952018:AA952019"/>
    <mergeCell ref="AA952164:AA952165"/>
    <mergeCell ref="AA952310:AA952311"/>
    <mergeCell ref="AA952456:AA952457"/>
    <mergeCell ref="AA952602:AA952603"/>
    <mergeCell ref="AA952748:AA952749"/>
    <mergeCell ref="AA952894:AA952895"/>
    <mergeCell ref="AA953040:AA953041"/>
    <mergeCell ref="AA953186:AA953187"/>
    <mergeCell ref="AA953332:AA953333"/>
    <mergeCell ref="AA953478:AA953479"/>
    <mergeCell ref="AA953624:AA953625"/>
    <mergeCell ref="AA953770:AA953771"/>
    <mergeCell ref="AA953916:AA953917"/>
    <mergeCell ref="AA954062:AA954063"/>
    <mergeCell ref="AA954208:AA954209"/>
    <mergeCell ref="AA954354:AA954355"/>
    <mergeCell ref="AA954500:AA954501"/>
    <mergeCell ref="AA954646:AA954647"/>
    <mergeCell ref="AA954792:AA954793"/>
    <mergeCell ref="AA954938:AA954939"/>
    <mergeCell ref="AA955084:AA955085"/>
    <mergeCell ref="AA955230:AA955231"/>
    <mergeCell ref="AA955376:AA955377"/>
    <mergeCell ref="AA955522:AA955523"/>
    <mergeCell ref="AA955668:AA955669"/>
    <mergeCell ref="AA955814:AA955815"/>
    <mergeCell ref="AA955960:AA955961"/>
    <mergeCell ref="AA956106:AA956107"/>
    <mergeCell ref="AA956252:AA956253"/>
    <mergeCell ref="AA956398:AA956399"/>
    <mergeCell ref="AA956544:AA956545"/>
    <mergeCell ref="AA956690:AA956691"/>
    <mergeCell ref="AA956836:AA956837"/>
    <mergeCell ref="AA956982:AA956983"/>
    <mergeCell ref="AA957128:AA957129"/>
    <mergeCell ref="AA957274:AA957275"/>
    <mergeCell ref="AA957420:AA957421"/>
    <mergeCell ref="AA957566:AA957567"/>
    <mergeCell ref="AA957712:AA957713"/>
    <mergeCell ref="AA957858:AA957859"/>
    <mergeCell ref="AA958004:AA958005"/>
    <mergeCell ref="AA958150:AA958151"/>
    <mergeCell ref="AA958296:AA958297"/>
    <mergeCell ref="AA958442:AA958443"/>
    <mergeCell ref="AA958588:AA958589"/>
    <mergeCell ref="AA958734:AA958735"/>
    <mergeCell ref="AA958880:AA958881"/>
    <mergeCell ref="AA959026:AA959027"/>
    <mergeCell ref="AA959172:AA959173"/>
    <mergeCell ref="AA959318:AA959319"/>
    <mergeCell ref="AA959464:AA959465"/>
    <mergeCell ref="AA959610:AA959611"/>
    <mergeCell ref="AA959756:AA959757"/>
    <mergeCell ref="AA959902:AA959903"/>
    <mergeCell ref="AA960048:AA960049"/>
    <mergeCell ref="AA960194:AA960195"/>
    <mergeCell ref="AA960340:AA960341"/>
    <mergeCell ref="AA960486:AA960487"/>
    <mergeCell ref="AA960632:AA960633"/>
    <mergeCell ref="AA960778:AA960779"/>
    <mergeCell ref="AA960924:AA960925"/>
    <mergeCell ref="AA961070:AA961071"/>
    <mergeCell ref="AA961216:AA961217"/>
    <mergeCell ref="AA961362:AA961363"/>
    <mergeCell ref="AA961508:AA961509"/>
    <mergeCell ref="AA961654:AA961655"/>
    <mergeCell ref="AA961800:AA961801"/>
    <mergeCell ref="AA961946:AA961947"/>
    <mergeCell ref="AA962092:AA962093"/>
    <mergeCell ref="AA962238:AA962239"/>
    <mergeCell ref="AA962384:AA962385"/>
    <mergeCell ref="AA962530:AA962531"/>
    <mergeCell ref="AA962676:AA962677"/>
    <mergeCell ref="AA962822:AA962823"/>
    <mergeCell ref="AA962968:AA962969"/>
    <mergeCell ref="AA963114:AA963115"/>
    <mergeCell ref="AA963260:AA963261"/>
    <mergeCell ref="AA963406:AA963407"/>
    <mergeCell ref="AA963552:AA963553"/>
    <mergeCell ref="AA963698:AA963699"/>
    <mergeCell ref="AA963844:AA963845"/>
    <mergeCell ref="AA963990:AA963991"/>
    <mergeCell ref="AA964136:AA964137"/>
    <mergeCell ref="AA964282:AA964283"/>
    <mergeCell ref="AA964428:AA964429"/>
    <mergeCell ref="AA964574:AA964575"/>
    <mergeCell ref="AA964720:AA964721"/>
    <mergeCell ref="AA964866:AA964867"/>
    <mergeCell ref="AA965012:AA965013"/>
    <mergeCell ref="AA965158:AA965159"/>
    <mergeCell ref="AA965304:AA965305"/>
    <mergeCell ref="AA965450:AA965451"/>
    <mergeCell ref="AA965596:AA965597"/>
    <mergeCell ref="AA965742:AA965743"/>
    <mergeCell ref="AA965888:AA965889"/>
    <mergeCell ref="AA966034:AA966035"/>
    <mergeCell ref="AA966180:AA966181"/>
    <mergeCell ref="AA966326:AA966327"/>
    <mergeCell ref="AA966472:AA966473"/>
    <mergeCell ref="AA966618:AA966619"/>
    <mergeCell ref="AA966764:AA966765"/>
    <mergeCell ref="AA966910:AA966911"/>
    <mergeCell ref="AA967056:AA967057"/>
    <mergeCell ref="AA967202:AA967203"/>
    <mergeCell ref="AA967348:AA967349"/>
    <mergeCell ref="AA967494:AA967495"/>
    <mergeCell ref="AA967640:AA967641"/>
    <mergeCell ref="AA967786:AA967787"/>
    <mergeCell ref="AA967932:AA967933"/>
    <mergeCell ref="AA968078:AA968079"/>
    <mergeCell ref="AA968224:AA968225"/>
    <mergeCell ref="AA968370:AA968371"/>
    <mergeCell ref="AA968516:AA968517"/>
    <mergeCell ref="AA968662:AA968663"/>
    <mergeCell ref="AA968808:AA968809"/>
    <mergeCell ref="AA968954:AA968955"/>
    <mergeCell ref="AA969100:AA969101"/>
    <mergeCell ref="AA969246:AA969247"/>
    <mergeCell ref="AA969392:AA969393"/>
    <mergeCell ref="AA969538:AA969539"/>
    <mergeCell ref="AA969684:AA969685"/>
    <mergeCell ref="AA969830:AA969831"/>
    <mergeCell ref="AA969976:AA969977"/>
    <mergeCell ref="AA970122:AA970123"/>
    <mergeCell ref="AA970268:AA970269"/>
    <mergeCell ref="AA970414:AA970415"/>
    <mergeCell ref="AA970560:AA970561"/>
    <mergeCell ref="AA970706:AA970707"/>
    <mergeCell ref="AA970852:AA970853"/>
    <mergeCell ref="AA970998:AA970999"/>
    <mergeCell ref="AA971144:AA971145"/>
    <mergeCell ref="AA971290:AA971291"/>
    <mergeCell ref="AA971436:AA971437"/>
    <mergeCell ref="AA971582:AA971583"/>
    <mergeCell ref="AA971728:AA971729"/>
    <mergeCell ref="AA971874:AA971875"/>
    <mergeCell ref="AA972020:AA972021"/>
    <mergeCell ref="AA972166:AA972167"/>
    <mergeCell ref="AA972312:AA972313"/>
    <mergeCell ref="AA972458:AA972459"/>
    <mergeCell ref="AA972604:AA972605"/>
    <mergeCell ref="AA972750:AA972751"/>
    <mergeCell ref="AA972896:AA972897"/>
    <mergeCell ref="AA973042:AA973043"/>
    <mergeCell ref="AA973188:AA973189"/>
    <mergeCell ref="AA973334:AA973335"/>
    <mergeCell ref="AA973480:AA973481"/>
    <mergeCell ref="AA973626:AA973627"/>
    <mergeCell ref="AA973772:AA973773"/>
    <mergeCell ref="AA973918:AA973919"/>
    <mergeCell ref="AA974064:AA974065"/>
    <mergeCell ref="AA974210:AA974211"/>
    <mergeCell ref="AA974356:AA974357"/>
    <mergeCell ref="AA974502:AA974503"/>
    <mergeCell ref="AA974648:AA974649"/>
    <mergeCell ref="AA974794:AA974795"/>
    <mergeCell ref="AA974940:AA974941"/>
    <mergeCell ref="AA975086:AA975087"/>
    <mergeCell ref="AA975232:AA975233"/>
    <mergeCell ref="AA975378:AA975379"/>
    <mergeCell ref="AA975524:AA975525"/>
    <mergeCell ref="AA975670:AA975671"/>
    <mergeCell ref="AA975816:AA975817"/>
    <mergeCell ref="AA975962:AA975963"/>
    <mergeCell ref="AA976108:AA976109"/>
    <mergeCell ref="AA976254:AA976255"/>
    <mergeCell ref="AA976400:AA976401"/>
    <mergeCell ref="AA976546:AA976547"/>
    <mergeCell ref="AA976692:AA976693"/>
    <mergeCell ref="AA976838:AA976839"/>
    <mergeCell ref="AA976984:AA976985"/>
    <mergeCell ref="AA977130:AA977131"/>
    <mergeCell ref="AA977276:AA977277"/>
    <mergeCell ref="AA977422:AA977423"/>
    <mergeCell ref="AA977568:AA977569"/>
    <mergeCell ref="AA977714:AA977715"/>
    <mergeCell ref="AA977860:AA977861"/>
    <mergeCell ref="AA978006:AA978007"/>
    <mergeCell ref="AA978152:AA978153"/>
    <mergeCell ref="AA978298:AA978299"/>
    <mergeCell ref="AA978444:AA978445"/>
    <mergeCell ref="AA978590:AA978591"/>
    <mergeCell ref="AA978736:AA978737"/>
    <mergeCell ref="AA978882:AA978883"/>
    <mergeCell ref="AA979028:AA979029"/>
    <mergeCell ref="AA979174:AA979175"/>
    <mergeCell ref="AA979320:AA979321"/>
    <mergeCell ref="AA979466:AA979467"/>
    <mergeCell ref="AA979612:AA979613"/>
    <mergeCell ref="AA979758:AA979759"/>
    <mergeCell ref="AA979904:AA979905"/>
    <mergeCell ref="AA980050:AA980051"/>
    <mergeCell ref="AA980196:AA980197"/>
    <mergeCell ref="AA980342:AA980343"/>
    <mergeCell ref="AA980488:AA980489"/>
    <mergeCell ref="AA980634:AA980635"/>
    <mergeCell ref="AA980780:AA980781"/>
    <mergeCell ref="AA980926:AA980927"/>
    <mergeCell ref="AA981072:AA981073"/>
    <mergeCell ref="AA981218:AA981219"/>
    <mergeCell ref="AA981364:AA981365"/>
    <mergeCell ref="AA981510:AA981511"/>
    <mergeCell ref="AA981656:AA981657"/>
    <mergeCell ref="AA981802:AA981803"/>
    <mergeCell ref="AA981948:AA981949"/>
    <mergeCell ref="AA982094:AA982095"/>
    <mergeCell ref="AA982240:AA982241"/>
    <mergeCell ref="AA982386:AA982387"/>
    <mergeCell ref="AA982532:AA982533"/>
    <mergeCell ref="AA982678:AA982679"/>
    <mergeCell ref="AA982824:AA982825"/>
    <mergeCell ref="AA982970:AA982971"/>
    <mergeCell ref="AA983116:AA983117"/>
    <mergeCell ref="AA983262:AA983263"/>
    <mergeCell ref="AA983408:AA983409"/>
    <mergeCell ref="AA983554:AA983555"/>
    <mergeCell ref="AA983700:AA983701"/>
    <mergeCell ref="AA983846:AA983847"/>
    <mergeCell ref="AA983992:AA983993"/>
    <mergeCell ref="AA984138:AA984139"/>
    <mergeCell ref="AA984284:AA984285"/>
    <mergeCell ref="AA984430:AA984431"/>
    <mergeCell ref="AA984576:AA984577"/>
    <mergeCell ref="AA984722:AA984723"/>
    <mergeCell ref="AA984868:AA984869"/>
    <mergeCell ref="AA985014:AA985015"/>
    <mergeCell ref="AA985160:AA985161"/>
    <mergeCell ref="AA985306:AA985307"/>
    <mergeCell ref="AA985452:AA985453"/>
    <mergeCell ref="AA985598:AA985599"/>
    <mergeCell ref="AA985744:AA985745"/>
    <mergeCell ref="AA985890:AA985891"/>
    <mergeCell ref="AA986036:AA986037"/>
    <mergeCell ref="AA986182:AA986183"/>
    <mergeCell ref="AA986328:AA986329"/>
    <mergeCell ref="AA986474:AA986475"/>
    <mergeCell ref="AA986620:AA986621"/>
    <mergeCell ref="AA986766:AA986767"/>
    <mergeCell ref="AA986912:AA986913"/>
    <mergeCell ref="AA987058:AA987059"/>
    <mergeCell ref="AA987204:AA987205"/>
    <mergeCell ref="AA987350:AA987351"/>
    <mergeCell ref="AA987496:AA987497"/>
    <mergeCell ref="AA987642:AA987643"/>
    <mergeCell ref="AA987788:AA987789"/>
    <mergeCell ref="AA987934:AA987935"/>
    <mergeCell ref="AA988080:AA988081"/>
    <mergeCell ref="AA988226:AA988227"/>
    <mergeCell ref="AA988372:AA988373"/>
    <mergeCell ref="AA988518:AA988519"/>
    <mergeCell ref="AA988664:AA988665"/>
    <mergeCell ref="AA988810:AA988811"/>
    <mergeCell ref="AA988956:AA988957"/>
    <mergeCell ref="AA989102:AA989103"/>
    <mergeCell ref="AA989248:AA989249"/>
    <mergeCell ref="AA989394:AA989395"/>
    <mergeCell ref="AA989540:AA989541"/>
    <mergeCell ref="AA989686:AA989687"/>
    <mergeCell ref="AA989832:AA989833"/>
    <mergeCell ref="AA989978:AA989979"/>
    <mergeCell ref="AA990124:AA990125"/>
    <mergeCell ref="AA990270:AA990271"/>
    <mergeCell ref="AA990416:AA990417"/>
    <mergeCell ref="AA990562:AA990563"/>
    <mergeCell ref="AA990708:AA990709"/>
    <mergeCell ref="AA990854:AA990855"/>
    <mergeCell ref="AA991000:AA991001"/>
    <mergeCell ref="AA991146:AA991147"/>
    <mergeCell ref="AA991292:AA991293"/>
    <mergeCell ref="AA991438:AA991439"/>
    <mergeCell ref="AA991584:AA991585"/>
    <mergeCell ref="AA991730:AA991731"/>
    <mergeCell ref="AA991876:AA991877"/>
    <mergeCell ref="AA992022:AA992023"/>
    <mergeCell ref="AA992168:AA992169"/>
    <mergeCell ref="AA992314:AA992315"/>
    <mergeCell ref="AA992460:AA992461"/>
    <mergeCell ref="AA992606:AA992607"/>
    <mergeCell ref="AA992752:AA992753"/>
    <mergeCell ref="AA992898:AA992899"/>
    <mergeCell ref="AA993044:AA993045"/>
    <mergeCell ref="AA993190:AA993191"/>
    <mergeCell ref="AA993336:AA993337"/>
    <mergeCell ref="AA993482:AA993483"/>
    <mergeCell ref="AA993628:AA993629"/>
    <mergeCell ref="AA993774:AA993775"/>
    <mergeCell ref="AA993920:AA993921"/>
    <mergeCell ref="AA994066:AA994067"/>
    <mergeCell ref="AA994212:AA994213"/>
    <mergeCell ref="AA994358:AA994359"/>
    <mergeCell ref="AA994504:AA994505"/>
    <mergeCell ref="AA994650:AA994651"/>
    <mergeCell ref="AA994796:AA994797"/>
    <mergeCell ref="AA994942:AA994943"/>
    <mergeCell ref="AA995088:AA995089"/>
    <mergeCell ref="AA995234:AA995235"/>
    <mergeCell ref="AA995380:AA995381"/>
    <mergeCell ref="AA995526:AA995527"/>
    <mergeCell ref="AA995672:AA995673"/>
    <mergeCell ref="AA995818:AA995819"/>
    <mergeCell ref="AA995964:AA995965"/>
    <mergeCell ref="AA996110:AA996111"/>
    <mergeCell ref="AA996256:AA996257"/>
    <mergeCell ref="AA996402:AA996403"/>
    <mergeCell ref="AA996548:AA996549"/>
    <mergeCell ref="AA996694:AA996695"/>
    <mergeCell ref="AA996840:AA996841"/>
    <mergeCell ref="AA996986:AA996987"/>
    <mergeCell ref="AA997132:AA997133"/>
    <mergeCell ref="AA997278:AA997279"/>
    <mergeCell ref="AA997424:AA997425"/>
    <mergeCell ref="AA997570:AA997571"/>
    <mergeCell ref="AA997716:AA997717"/>
    <mergeCell ref="AA997862:AA997863"/>
    <mergeCell ref="AA998008:AA998009"/>
    <mergeCell ref="AA998154:AA998155"/>
    <mergeCell ref="AA998300:AA998301"/>
    <mergeCell ref="AA998446:AA998447"/>
    <mergeCell ref="AA998592:AA998593"/>
    <mergeCell ref="AA998738:AA998739"/>
    <mergeCell ref="AA998884:AA998885"/>
    <mergeCell ref="AA999030:AA999031"/>
    <mergeCell ref="AA999176:AA999177"/>
    <mergeCell ref="AA999322:AA999323"/>
    <mergeCell ref="AA999468:AA999469"/>
    <mergeCell ref="AA999614:AA999615"/>
    <mergeCell ref="AA999760:AA999761"/>
    <mergeCell ref="AA999906:AA999907"/>
    <mergeCell ref="AA1000052:AA1000053"/>
    <mergeCell ref="AA1000198:AA1000199"/>
    <mergeCell ref="AA1000344:AA1000345"/>
    <mergeCell ref="AA1000490:AA1000491"/>
    <mergeCell ref="AA1000636:AA1000637"/>
    <mergeCell ref="AA1000782:AA1000783"/>
    <mergeCell ref="AA1000928:AA1000929"/>
    <mergeCell ref="AA1001074:AA1001075"/>
    <mergeCell ref="AA1001220:AA1001221"/>
    <mergeCell ref="AA1001366:AA1001367"/>
    <mergeCell ref="AA1001512:AA1001513"/>
    <mergeCell ref="AA1001658:AA1001659"/>
    <mergeCell ref="AA1001804:AA1001805"/>
    <mergeCell ref="AA1001950:AA1001951"/>
    <mergeCell ref="AA1002096:AA1002097"/>
    <mergeCell ref="AA1002242:AA1002243"/>
    <mergeCell ref="AA1002388:AA1002389"/>
    <mergeCell ref="AA1002534:AA1002535"/>
    <mergeCell ref="AA1002680:AA1002681"/>
    <mergeCell ref="AA1002826:AA1002827"/>
    <mergeCell ref="AA1002972:AA1002973"/>
    <mergeCell ref="AA1003118:AA1003119"/>
    <mergeCell ref="AA1003264:AA1003265"/>
    <mergeCell ref="AA1003410:AA1003411"/>
    <mergeCell ref="AA1003556:AA1003557"/>
    <mergeCell ref="AA1003702:AA1003703"/>
    <mergeCell ref="AA1003848:AA1003849"/>
    <mergeCell ref="AA1003994:AA1003995"/>
    <mergeCell ref="AA1004140:AA1004141"/>
    <mergeCell ref="AA1004286:AA1004287"/>
    <mergeCell ref="AA1004432:AA1004433"/>
    <mergeCell ref="AA1004578:AA1004579"/>
    <mergeCell ref="AA1004724:AA1004725"/>
    <mergeCell ref="AA1004870:AA1004871"/>
    <mergeCell ref="AA1005016:AA1005017"/>
    <mergeCell ref="AA1005162:AA1005163"/>
    <mergeCell ref="AA1005308:AA1005309"/>
    <mergeCell ref="AA1005454:AA1005455"/>
    <mergeCell ref="AA1005600:AA1005601"/>
    <mergeCell ref="AA1005746:AA1005747"/>
    <mergeCell ref="AA1005892:AA1005893"/>
    <mergeCell ref="AA1006038:AA1006039"/>
    <mergeCell ref="AA1006184:AA1006185"/>
    <mergeCell ref="AA1006330:AA1006331"/>
    <mergeCell ref="AA1006476:AA1006477"/>
    <mergeCell ref="AA1006622:AA1006623"/>
    <mergeCell ref="AA1006768:AA1006769"/>
    <mergeCell ref="AA1006914:AA1006915"/>
    <mergeCell ref="AA1007060:AA1007061"/>
    <mergeCell ref="AA1007206:AA1007207"/>
    <mergeCell ref="AA1007352:AA1007353"/>
    <mergeCell ref="AA1007498:AA1007499"/>
    <mergeCell ref="AA1007644:AA1007645"/>
    <mergeCell ref="AA1007790:AA1007791"/>
    <mergeCell ref="AA1007936:AA1007937"/>
    <mergeCell ref="AA1008082:AA1008083"/>
    <mergeCell ref="AA1008228:AA1008229"/>
    <mergeCell ref="AA1008374:AA1008375"/>
    <mergeCell ref="AA1008520:AA1008521"/>
    <mergeCell ref="AA1008666:AA1008667"/>
    <mergeCell ref="AA1008812:AA1008813"/>
    <mergeCell ref="AA1008958:AA1008959"/>
    <mergeCell ref="AA1009104:AA1009105"/>
    <mergeCell ref="AA1009250:AA1009251"/>
    <mergeCell ref="AA1009396:AA1009397"/>
    <mergeCell ref="AA1009542:AA1009543"/>
    <mergeCell ref="AA1009688:AA1009689"/>
    <mergeCell ref="AA1009834:AA1009835"/>
    <mergeCell ref="AA1009980:AA1009981"/>
    <mergeCell ref="AA1010126:AA1010127"/>
    <mergeCell ref="AA1010272:AA1010273"/>
    <mergeCell ref="AA1010418:AA1010419"/>
    <mergeCell ref="AA1010564:AA1010565"/>
    <mergeCell ref="AA1010710:AA1010711"/>
    <mergeCell ref="AA1010856:AA1010857"/>
    <mergeCell ref="AA1011002:AA1011003"/>
    <mergeCell ref="AA1011148:AA1011149"/>
    <mergeCell ref="AA1011294:AA1011295"/>
    <mergeCell ref="AA1011440:AA1011441"/>
    <mergeCell ref="AA1011586:AA1011587"/>
    <mergeCell ref="AA1011732:AA1011733"/>
    <mergeCell ref="AA1011878:AA1011879"/>
    <mergeCell ref="AA1012024:AA1012025"/>
    <mergeCell ref="AA1012170:AA1012171"/>
    <mergeCell ref="AA1012316:AA1012317"/>
    <mergeCell ref="AA1012462:AA1012463"/>
    <mergeCell ref="AA1012608:AA1012609"/>
    <mergeCell ref="AA1012754:AA1012755"/>
    <mergeCell ref="AA1012900:AA1012901"/>
    <mergeCell ref="AA1013046:AA1013047"/>
    <mergeCell ref="AA1013192:AA1013193"/>
    <mergeCell ref="AA1013338:AA1013339"/>
    <mergeCell ref="AA1013484:AA1013485"/>
    <mergeCell ref="AA1013630:AA1013631"/>
    <mergeCell ref="AA1013776:AA1013777"/>
    <mergeCell ref="AA1013922:AA1013923"/>
    <mergeCell ref="AA1014068:AA1014069"/>
    <mergeCell ref="AA1014214:AA1014215"/>
    <mergeCell ref="AA1014360:AA1014361"/>
    <mergeCell ref="AA1014506:AA1014507"/>
    <mergeCell ref="AA1014652:AA1014653"/>
    <mergeCell ref="AA1014798:AA1014799"/>
    <mergeCell ref="AA1014944:AA1014945"/>
    <mergeCell ref="AA1015090:AA1015091"/>
    <mergeCell ref="AA1015236:AA1015237"/>
    <mergeCell ref="AA1015382:AA1015383"/>
    <mergeCell ref="AA1015528:AA1015529"/>
    <mergeCell ref="AA1015674:AA1015675"/>
    <mergeCell ref="AA1015820:AA1015821"/>
    <mergeCell ref="AA1015966:AA1015967"/>
    <mergeCell ref="AA1016112:AA1016113"/>
    <mergeCell ref="AA1016258:AA1016259"/>
    <mergeCell ref="AA1016404:AA1016405"/>
    <mergeCell ref="AA1016550:AA1016551"/>
    <mergeCell ref="AA1016696:AA1016697"/>
    <mergeCell ref="AA1016842:AA1016843"/>
    <mergeCell ref="AA1016988:AA1016989"/>
    <mergeCell ref="AA1017134:AA1017135"/>
    <mergeCell ref="AA1017280:AA1017281"/>
    <mergeCell ref="AA1017426:AA1017427"/>
    <mergeCell ref="AA1017572:AA1017573"/>
    <mergeCell ref="AA1017718:AA1017719"/>
    <mergeCell ref="AA1017864:AA1017865"/>
    <mergeCell ref="AA1018010:AA1018011"/>
    <mergeCell ref="AA1018156:AA1018157"/>
    <mergeCell ref="AA1018302:AA1018303"/>
    <mergeCell ref="AA1018448:AA1018449"/>
    <mergeCell ref="AA1018594:AA1018595"/>
    <mergeCell ref="AA1018740:AA1018741"/>
    <mergeCell ref="AA1018886:AA1018887"/>
    <mergeCell ref="AA1019032:AA1019033"/>
    <mergeCell ref="AA1019178:AA1019179"/>
    <mergeCell ref="AA1019324:AA1019325"/>
    <mergeCell ref="AA1019470:AA1019471"/>
    <mergeCell ref="AA1019616:AA1019617"/>
    <mergeCell ref="AA1019762:AA1019763"/>
    <mergeCell ref="AA1019908:AA1019909"/>
    <mergeCell ref="AA1020054:AA1020055"/>
    <mergeCell ref="AA1020200:AA1020201"/>
    <mergeCell ref="AA1020346:AA1020347"/>
    <mergeCell ref="AA1020492:AA1020493"/>
    <mergeCell ref="AA1020638:AA1020639"/>
    <mergeCell ref="AA1020784:AA1020785"/>
    <mergeCell ref="AA1020930:AA1020931"/>
    <mergeCell ref="AA1021076:AA1021077"/>
    <mergeCell ref="AA1021222:AA1021223"/>
    <mergeCell ref="AA1021368:AA1021369"/>
    <mergeCell ref="AA1021514:AA1021515"/>
    <mergeCell ref="AA1021660:AA1021661"/>
    <mergeCell ref="AA1021806:AA1021807"/>
    <mergeCell ref="AA1021952:AA1021953"/>
    <mergeCell ref="AA1022098:AA1022099"/>
    <mergeCell ref="AA1022244:AA1022245"/>
    <mergeCell ref="AA1022390:AA1022391"/>
    <mergeCell ref="AA1022536:AA1022537"/>
    <mergeCell ref="AA1022682:AA1022683"/>
    <mergeCell ref="AA1022828:AA1022829"/>
    <mergeCell ref="AA1022974:AA1022975"/>
    <mergeCell ref="AA1023120:AA1023121"/>
    <mergeCell ref="AA1023266:AA1023267"/>
    <mergeCell ref="AA1023412:AA1023413"/>
    <mergeCell ref="AA1023558:AA1023559"/>
    <mergeCell ref="AA1023704:AA1023705"/>
    <mergeCell ref="AA1023850:AA1023851"/>
    <mergeCell ref="AA1023996:AA1023997"/>
    <mergeCell ref="AA1024142:AA1024143"/>
    <mergeCell ref="AA1024288:AA1024289"/>
    <mergeCell ref="AA1024434:AA1024435"/>
    <mergeCell ref="AA1024580:AA1024581"/>
    <mergeCell ref="AA1024726:AA1024727"/>
    <mergeCell ref="AA1024872:AA1024873"/>
    <mergeCell ref="AA1025018:AA1025019"/>
    <mergeCell ref="AA1025164:AA1025165"/>
    <mergeCell ref="AA1025310:AA1025311"/>
    <mergeCell ref="AA1025456:AA1025457"/>
    <mergeCell ref="AA1025602:AA1025603"/>
    <mergeCell ref="AA1025748:AA1025749"/>
    <mergeCell ref="AA1025894:AA1025895"/>
    <mergeCell ref="AA1026040:AA1026041"/>
    <mergeCell ref="AA1026186:AA1026187"/>
    <mergeCell ref="AA1026332:AA1026333"/>
    <mergeCell ref="AA1026478:AA1026479"/>
    <mergeCell ref="AA1026624:AA1026625"/>
    <mergeCell ref="AA1026770:AA1026771"/>
    <mergeCell ref="AA1026916:AA1026917"/>
    <mergeCell ref="AA1027062:AA1027063"/>
    <mergeCell ref="AA1027208:AA1027209"/>
    <mergeCell ref="AA1027354:AA1027355"/>
    <mergeCell ref="AA1027500:AA1027501"/>
    <mergeCell ref="AA1027646:AA1027647"/>
    <mergeCell ref="AA1027792:AA1027793"/>
    <mergeCell ref="AA1027938:AA1027939"/>
    <mergeCell ref="AA1028084:AA1028085"/>
    <mergeCell ref="AA1028230:AA1028231"/>
    <mergeCell ref="AA1028376:AA1028377"/>
    <mergeCell ref="AA1028522:AA1028523"/>
    <mergeCell ref="AA1028668:AA1028669"/>
    <mergeCell ref="AA1028814:AA1028815"/>
    <mergeCell ref="AA1028960:AA1028961"/>
    <mergeCell ref="AA1029106:AA1029107"/>
    <mergeCell ref="AA1029252:AA1029253"/>
    <mergeCell ref="AA1029398:AA1029399"/>
    <mergeCell ref="AA1029544:AA1029545"/>
    <mergeCell ref="AA1029690:AA1029691"/>
    <mergeCell ref="AA1029836:AA1029837"/>
    <mergeCell ref="AA1029982:AA1029983"/>
    <mergeCell ref="AA1030128:AA1030129"/>
    <mergeCell ref="AA1030274:AA1030275"/>
    <mergeCell ref="AA1030420:AA1030421"/>
    <mergeCell ref="AA1030566:AA1030567"/>
    <mergeCell ref="AA1030712:AA1030713"/>
    <mergeCell ref="AA1030858:AA1030859"/>
    <mergeCell ref="AA1031004:AA1031005"/>
    <mergeCell ref="AA1031150:AA1031151"/>
    <mergeCell ref="AA1031296:AA1031297"/>
    <mergeCell ref="AA1031442:AA1031443"/>
    <mergeCell ref="AA1031588:AA1031589"/>
    <mergeCell ref="AA1031734:AA1031735"/>
    <mergeCell ref="AA1031880:AA1031881"/>
    <mergeCell ref="AA1032026:AA1032027"/>
    <mergeCell ref="AA1032172:AA1032173"/>
    <mergeCell ref="AA1032318:AA1032319"/>
    <mergeCell ref="AA1032464:AA1032465"/>
    <mergeCell ref="AA1032610:AA1032611"/>
    <mergeCell ref="AA1032756:AA1032757"/>
    <mergeCell ref="AA1032902:AA1032903"/>
    <mergeCell ref="AA1033048:AA1033049"/>
    <mergeCell ref="AA1033194:AA1033195"/>
    <mergeCell ref="AA1033340:AA1033341"/>
    <mergeCell ref="AA1033486:AA1033487"/>
    <mergeCell ref="AA1033632:AA1033633"/>
    <mergeCell ref="AA1033778:AA1033779"/>
    <mergeCell ref="AA1033924:AA1033925"/>
    <mergeCell ref="AA1034070:AA1034071"/>
    <mergeCell ref="AA1034216:AA1034217"/>
    <mergeCell ref="AA1034362:AA1034363"/>
    <mergeCell ref="AA1034508:AA1034509"/>
    <mergeCell ref="AA1034654:AA1034655"/>
    <mergeCell ref="AA1034800:AA1034801"/>
    <mergeCell ref="AA1034946:AA1034947"/>
    <mergeCell ref="AA1035092:AA1035093"/>
    <mergeCell ref="AA1035238:AA1035239"/>
    <mergeCell ref="AA1035384:AA1035385"/>
    <mergeCell ref="AA1035530:AA1035531"/>
    <mergeCell ref="AA1035676:AA1035677"/>
    <mergeCell ref="AA1035822:AA1035823"/>
    <mergeCell ref="AA1035968:AA1035969"/>
    <mergeCell ref="AA1036114:AA1036115"/>
    <mergeCell ref="AA1036260:AA1036261"/>
    <mergeCell ref="AA1036406:AA1036407"/>
    <mergeCell ref="AA1036552:AA1036553"/>
    <mergeCell ref="AA1036698:AA1036699"/>
    <mergeCell ref="AA1036844:AA1036845"/>
    <mergeCell ref="AA1036990:AA1036991"/>
    <mergeCell ref="AA1037136:AA1037137"/>
    <mergeCell ref="AA1037282:AA1037283"/>
    <mergeCell ref="AA1037428:AA1037429"/>
    <mergeCell ref="AA1037574:AA1037575"/>
    <mergeCell ref="AA1037720:AA1037721"/>
    <mergeCell ref="AA1037866:AA1037867"/>
    <mergeCell ref="AA1038012:AA1038013"/>
    <mergeCell ref="AA1038158:AA1038159"/>
    <mergeCell ref="AA1038304:AA1038305"/>
    <mergeCell ref="AA1038450:AA1038451"/>
    <mergeCell ref="AA1038596:AA1038597"/>
    <mergeCell ref="AA1038742:AA1038743"/>
    <mergeCell ref="AA1038888:AA1038889"/>
    <mergeCell ref="AA1039034:AA1039035"/>
    <mergeCell ref="AA1039180:AA1039181"/>
    <mergeCell ref="AA1039326:AA1039327"/>
    <mergeCell ref="AA1039472:AA1039473"/>
    <mergeCell ref="AA1039618:AA1039619"/>
    <mergeCell ref="AA1039764:AA1039765"/>
    <mergeCell ref="AA1039910:AA1039911"/>
    <mergeCell ref="AA1040056:AA1040057"/>
    <mergeCell ref="AA1040202:AA1040203"/>
    <mergeCell ref="AA1040348:AA1040349"/>
    <mergeCell ref="AA1040494:AA1040495"/>
    <mergeCell ref="AA1040640:AA1040641"/>
    <mergeCell ref="AA1040786:AA1040787"/>
    <mergeCell ref="AA1040932:AA1040933"/>
    <mergeCell ref="AA1041078:AA1041079"/>
    <mergeCell ref="AA1041224:AA1041225"/>
    <mergeCell ref="AA1041370:AA1041371"/>
    <mergeCell ref="AA1041516:AA1041517"/>
    <mergeCell ref="AA1041662:AA1041663"/>
    <mergeCell ref="AA1041808:AA1041809"/>
    <mergeCell ref="AA1041954:AA1041955"/>
    <mergeCell ref="AA1042100:AA1042101"/>
    <mergeCell ref="AA1042246:AA1042247"/>
    <mergeCell ref="AA1042392:AA1042393"/>
    <mergeCell ref="AA1042538:AA1042539"/>
    <mergeCell ref="AA1042684:AA1042685"/>
    <mergeCell ref="AA1042830:AA1042831"/>
    <mergeCell ref="AA1042976:AA1042977"/>
    <mergeCell ref="AA1043122:AA1043123"/>
    <mergeCell ref="AA1043268:AA1043269"/>
    <mergeCell ref="AA1043414:AA1043415"/>
    <mergeCell ref="AA1043560:AA1043561"/>
    <mergeCell ref="AA1043706:AA1043707"/>
    <mergeCell ref="AA1043852:AA1043853"/>
    <mergeCell ref="AA1046480:AA1046481"/>
    <mergeCell ref="AA1046626:AA1046627"/>
    <mergeCell ref="AA1046772:AA1046773"/>
    <mergeCell ref="AA1046918:AA1046919"/>
    <mergeCell ref="AA1047064:AA1047065"/>
    <mergeCell ref="AA1047210:AA1047211"/>
    <mergeCell ref="AA1047356:AA1047357"/>
    <mergeCell ref="AA1047502:AA1047503"/>
    <mergeCell ref="AA1047648:AA1047649"/>
    <mergeCell ref="AA1047794:AA1047795"/>
    <mergeCell ref="AA1047940:AA1047941"/>
    <mergeCell ref="AA1048086:AA1048087"/>
    <mergeCell ref="AA1048232:AA1048233"/>
    <mergeCell ref="AA1048378:AA1048379"/>
    <mergeCell ref="AB137:AB139"/>
    <mergeCell ref="AA1043998:AA1043999"/>
    <mergeCell ref="AA1044144:AA1044145"/>
    <mergeCell ref="AA1044290:AA1044291"/>
    <mergeCell ref="AA1044436:AA1044437"/>
    <mergeCell ref="AA1044582:AA1044583"/>
    <mergeCell ref="AA1044728:AA1044729"/>
    <mergeCell ref="AA1044874:AA1044875"/>
    <mergeCell ref="AA1045020:AA1045021"/>
    <mergeCell ref="AA1045166:AA1045167"/>
    <mergeCell ref="AA1045312:AA1045313"/>
    <mergeCell ref="AA1045458:AA1045459"/>
    <mergeCell ref="AA1045604:AA1045605"/>
    <mergeCell ref="AA1045750:AA1045751"/>
    <mergeCell ref="AA1045896:AA1045897"/>
    <mergeCell ref="AA1046042:AA1046043"/>
    <mergeCell ref="AA1046188:AA1046189"/>
    <mergeCell ref="AA1046334:AA1046335"/>
  </mergeCells>
  <pageMargins left="0.2" right="0.2" top="0.37" bottom="0.39" header="0.3" footer="0.3"/>
  <pageSetup paperSize="9" scale="65" orientation="landscape" horizontalDpi="12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V262"/>
  <sheetViews>
    <sheetView zoomScale="142" zoomScaleNormal="142" workbookViewId="0">
      <pane xSplit="2" ySplit="9" topLeftCell="C10" activePane="bottomRight" state="frozen"/>
      <selection pane="topRight"/>
      <selection pane="bottomLeft"/>
      <selection pane="bottomRight" activeCell="E12" sqref="E12"/>
    </sheetView>
  </sheetViews>
  <sheetFormatPr defaultColWidth="9.109375" defaultRowHeight="15.6"/>
  <cols>
    <col min="1" max="1" width="5.21875" style="1" customWidth="1"/>
    <col min="2" max="2" width="43.33203125" style="1" customWidth="1"/>
    <col min="3" max="4" width="9.109375" style="1" customWidth="1"/>
    <col min="5" max="5" width="11.33203125" style="1" customWidth="1"/>
    <col min="6" max="6" width="11.88671875" style="1" customWidth="1"/>
    <col min="7" max="7" width="10.77734375" style="1" customWidth="1"/>
    <col min="8" max="8" width="8.88671875" style="1" customWidth="1"/>
    <col min="9" max="9" width="10.33203125" style="1" customWidth="1"/>
    <col min="10" max="10" width="10.77734375" style="1" customWidth="1"/>
    <col min="11" max="11" width="10.109375" style="1" customWidth="1"/>
    <col min="12" max="12" width="11" style="1" customWidth="1"/>
    <col min="13" max="13" width="10.21875" style="1" customWidth="1"/>
    <col min="14" max="14" width="10.33203125" style="1" customWidth="1"/>
    <col min="15" max="15" width="12.109375" style="1" customWidth="1"/>
    <col min="16" max="16" width="9.88671875" style="1" customWidth="1"/>
    <col min="17" max="17" width="12" style="1" customWidth="1"/>
    <col min="18" max="18" width="12.33203125" style="1" customWidth="1"/>
    <col min="19" max="20" width="9.88671875" style="1" customWidth="1"/>
    <col min="21" max="16384" width="9.109375" style="1"/>
  </cols>
  <sheetData>
    <row r="1" spans="1:22">
      <c r="A1" s="40"/>
      <c r="R1" s="611" t="s">
        <v>816</v>
      </c>
      <c r="S1" s="611"/>
      <c r="T1" s="611"/>
    </row>
    <row r="2" spans="1:22">
      <c r="A2" s="611" t="s">
        <v>817</v>
      </c>
      <c r="B2" s="611"/>
      <c r="C2" s="611"/>
      <c r="D2" s="611"/>
      <c r="E2" s="611"/>
      <c r="F2" s="611"/>
      <c r="G2" s="611"/>
      <c r="H2" s="611"/>
      <c r="I2" s="611"/>
      <c r="J2" s="611"/>
      <c r="K2" s="611"/>
      <c r="L2" s="611"/>
      <c r="M2" s="611"/>
      <c r="N2" s="611"/>
      <c r="O2" s="611"/>
      <c r="P2" s="611"/>
      <c r="Q2" s="611"/>
      <c r="R2" s="611"/>
      <c r="S2" s="611"/>
      <c r="T2" s="611"/>
    </row>
    <row r="3" spans="1:22">
      <c r="A3" s="611" t="s">
        <v>669</v>
      </c>
      <c r="B3" s="611"/>
      <c r="C3" s="611"/>
      <c r="D3" s="611"/>
      <c r="E3" s="611"/>
      <c r="F3" s="611"/>
      <c r="G3" s="611"/>
      <c r="H3" s="611"/>
      <c r="I3" s="611"/>
      <c r="J3" s="611"/>
      <c r="K3" s="611"/>
      <c r="L3" s="611"/>
      <c r="M3" s="611"/>
      <c r="N3" s="611"/>
      <c r="O3" s="611"/>
      <c r="P3" s="611"/>
      <c r="Q3" s="611"/>
      <c r="R3" s="611"/>
      <c r="S3" s="611"/>
      <c r="T3" s="611"/>
    </row>
    <row r="4" spans="1:22">
      <c r="A4" s="618" t="s">
        <v>818</v>
      </c>
      <c r="B4" s="618"/>
      <c r="C4" s="618"/>
      <c r="D4" s="618"/>
      <c r="E4" s="618"/>
      <c r="F4" s="618"/>
      <c r="G4" s="618"/>
      <c r="H4" s="618"/>
      <c r="I4" s="618"/>
      <c r="J4" s="618"/>
      <c r="K4" s="618"/>
      <c r="L4" s="618"/>
      <c r="M4" s="618"/>
      <c r="N4" s="618"/>
      <c r="O4" s="618"/>
      <c r="P4" s="618"/>
      <c r="Q4" s="618"/>
      <c r="R4" s="618"/>
      <c r="S4" s="618"/>
      <c r="T4" s="618"/>
    </row>
    <row r="5" spans="1:22" hidden="1">
      <c r="A5" s="6"/>
      <c r="B5" s="6"/>
      <c r="C5" s="6"/>
      <c r="D5" s="6"/>
      <c r="E5" s="6"/>
      <c r="F5" s="6"/>
      <c r="G5" s="6"/>
      <c r="H5" s="6"/>
      <c r="I5" s="6"/>
      <c r="J5" s="6"/>
      <c r="K5" s="6"/>
      <c r="L5" s="6"/>
      <c r="M5" s="6"/>
      <c r="N5" s="6"/>
      <c r="O5" s="6"/>
      <c r="P5" s="6"/>
      <c r="Q5" s="6"/>
      <c r="R5" s="6"/>
      <c r="S5" s="6"/>
      <c r="T5" s="6"/>
    </row>
    <row r="6" spans="1:22" ht="20.25" customHeight="1">
      <c r="A6" s="7"/>
      <c r="B6" s="41">
        <f>E10-'[4]35 gửi NS'!G9</f>
        <v>205588.77000000002</v>
      </c>
      <c r="D6" s="35"/>
      <c r="E6" s="41" t="e">
        <f>E11-#REF!</f>
        <v>#REF!</v>
      </c>
      <c r="F6" s="42"/>
      <c r="R6" s="619" t="s">
        <v>638</v>
      </c>
      <c r="S6" s="619"/>
      <c r="T6" s="619"/>
    </row>
    <row r="7" spans="1:22" ht="24.75" customHeight="1">
      <c r="A7" s="615" t="s">
        <v>3</v>
      </c>
      <c r="B7" s="615" t="s">
        <v>819</v>
      </c>
      <c r="C7" s="621" t="s">
        <v>671</v>
      </c>
      <c r="D7" s="621" t="s">
        <v>672</v>
      </c>
      <c r="E7" s="615" t="s">
        <v>673</v>
      </c>
      <c r="F7" s="615" t="s">
        <v>646</v>
      </c>
      <c r="G7" s="621" t="s">
        <v>647</v>
      </c>
      <c r="H7" s="621" t="s">
        <v>152</v>
      </c>
      <c r="I7" s="615" t="s">
        <v>648</v>
      </c>
      <c r="J7" s="615" t="s">
        <v>674</v>
      </c>
      <c r="K7" s="615" t="s">
        <v>650</v>
      </c>
      <c r="L7" s="615" t="s">
        <v>651</v>
      </c>
      <c r="M7" s="615" t="s">
        <v>652</v>
      </c>
      <c r="N7" s="615" t="s">
        <v>675</v>
      </c>
      <c r="O7" s="615" t="s">
        <v>654</v>
      </c>
      <c r="P7" s="615" t="s">
        <v>111</v>
      </c>
      <c r="Q7" s="615"/>
      <c r="R7" s="615" t="s">
        <v>676</v>
      </c>
      <c r="S7" s="615" t="s">
        <v>656</v>
      </c>
      <c r="T7" s="615" t="s">
        <v>677</v>
      </c>
    </row>
    <row r="8" spans="1:22" ht="76.5" customHeight="1">
      <c r="A8" s="615"/>
      <c r="B8" s="615"/>
      <c r="C8" s="622"/>
      <c r="D8" s="622"/>
      <c r="E8" s="615"/>
      <c r="F8" s="615"/>
      <c r="G8" s="622"/>
      <c r="H8" s="622"/>
      <c r="I8" s="615"/>
      <c r="J8" s="615"/>
      <c r="K8" s="615"/>
      <c r="L8" s="615"/>
      <c r="M8" s="615"/>
      <c r="N8" s="615"/>
      <c r="O8" s="615"/>
      <c r="P8" s="8" t="s">
        <v>685</v>
      </c>
      <c r="Q8" s="8" t="s">
        <v>686</v>
      </c>
      <c r="R8" s="615"/>
      <c r="S8" s="615"/>
      <c r="T8" s="615"/>
    </row>
    <row r="9" spans="1:22" s="2" customFormat="1" ht="22.5" customHeight="1">
      <c r="A9" s="9" t="s">
        <v>7</v>
      </c>
      <c r="B9" s="9" t="s">
        <v>22</v>
      </c>
      <c r="C9" s="9"/>
      <c r="D9" s="43"/>
      <c r="E9" s="9">
        <v>1</v>
      </c>
      <c r="F9" s="9">
        <v>2</v>
      </c>
      <c r="G9" s="9">
        <v>3</v>
      </c>
      <c r="H9" s="9">
        <v>4</v>
      </c>
      <c r="I9" s="9">
        <v>5</v>
      </c>
      <c r="J9" s="9">
        <v>6</v>
      </c>
      <c r="K9" s="9">
        <v>7</v>
      </c>
      <c r="L9" s="9">
        <v>8</v>
      </c>
      <c r="M9" s="9">
        <v>9</v>
      </c>
      <c r="N9" s="9">
        <v>10</v>
      </c>
      <c r="O9" s="9">
        <v>11</v>
      </c>
      <c r="P9" s="9">
        <v>12</v>
      </c>
      <c r="Q9" s="9">
        <v>13</v>
      </c>
      <c r="R9" s="9">
        <v>14</v>
      </c>
      <c r="S9" s="9">
        <v>15</v>
      </c>
      <c r="T9" s="9">
        <v>16</v>
      </c>
    </row>
    <row r="10" spans="1:22" s="26" customFormat="1" ht="22.5" customHeight="1">
      <c r="A10" s="8"/>
      <c r="B10" s="10" t="s">
        <v>689</v>
      </c>
      <c r="C10" s="30">
        <f>C13+C16</f>
        <v>0</v>
      </c>
      <c r="D10" s="30">
        <f t="shared" ref="D10:T12" si="0">D13+D16</f>
        <v>0</v>
      </c>
      <c r="E10" s="28">
        <f>E13+E16</f>
        <v>358312.77</v>
      </c>
      <c r="F10" s="30">
        <f t="shared" si="0"/>
        <v>39666</v>
      </c>
      <c r="G10" s="30">
        <f t="shared" si="0"/>
        <v>0</v>
      </c>
      <c r="H10" s="30">
        <f t="shared" si="0"/>
        <v>12800</v>
      </c>
      <c r="I10" s="30">
        <f t="shared" si="0"/>
        <v>9300</v>
      </c>
      <c r="J10" s="30">
        <f t="shared" si="0"/>
        <v>161498</v>
      </c>
      <c r="K10" s="30">
        <f t="shared" si="0"/>
        <v>994</v>
      </c>
      <c r="L10" s="30">
        <f t="shared" si="0"/>
        <v>0</v>
      </c>
      <c r="M10" s="30">
        <f t="shared" si="0"/>
        <v>0</v>
      </c>
      <c r="N10" s="30">
        <f t="shared" si="0"/>
        <v>0</v>
      </c>
      <c r="O10" s="28">
        <f t="shared" si="0"/>
        <v>133132.76999999999</v>
      </c>
      <c r="P10" s="30">
        <f t="shared" si="0"/>
        <v>0</v>
      </c>
      <c r="Q10" s="30">
        <f t="shared" si="0"/>
        <v>0</v>
      </c>
      <c r="R10" s="30">
        <f t="shared" si="0"/>
        <v>922</v>
      </c>
      <c r="S10" s="30">
        <f t="shared" si="0"/>
        <v>0</v>
      </c>
      <c r="T10" s="30">
        <f t="shared" si="0"/>
        <v>0</v>
      </c>
      <c r="V10" s="60"/>
    </row>
    <row r="11" spans="1:22" ht="22.5" customHeight="1">
      <c r="A11" s="13"/>
      <c r="B11" s="44" t="s">
        <v>820</v>
      </c>
      <c r="C11" s="29"/>
      <c r="D11" s="29"/>
      <c r="E11" s="16">
        <f>E14+E17</f>
        <v>31409.77</v>
      </c>
      <c r="F11" s="29">
        <f t="shared" si="0"/>
        <v>80</v>
      </c>
      <c r="G11" s="29">
        <f t="shared" si="0"/>
        <v>0</v>
      </c>
      <c r="H11" s="29">
        <f t="shared" si="0"/>
        <v>800</v>
      </c>
      <c r="I11" s="29">
        <f t="shared" si="0"/>
        <v>1500</v>
      </c>
      <c r="J11" s="29">
        <f t="shared" si="0"/>
        <v>103</v>
      </c>
      <c r="K11" s="29">
        <f t="shared" si="0"/>
        <v>994</v>
      </c>
      <c r="L11" s="29">
        <f t="shared" si="0"/>
        <v>0</v>
      </c>
      <c r="M11" s="29">
        <f t="shared" si="0"/>
        <v>0</v>
      </c>
      <c r="N11" s="29">
        <f t="shared" si="0"/>
        <v>0</v>
      </c>
      <c r="O11" s="16">
        <f t="shared" si="0"/>
        <v>27932.77</v>
      </c>
      <c r="P11" s="29">
        <f t="shared" si="0"/>
        <v>0</v>
      </c>
      <c r="Q11" s="29">
        <f t="shared" si="0"/>
        <v>0</v>
      </c>
      <c r="R11" s="29">
        <f t="shared" si="0"/>
        <v>0</v>
      </c>
      <c r="S11" s="29">
        <f t="shared" si="0"/>
        <v>0</v>
      </c>
      <c r="T11" s="29">
        <f t="shared" si="0"/>
        <v>0</v>
      </c>
      <c r="U11" s="29"/>
      <c r="V11" s="61"/>
    </row>
    <row r="12" spans="1:22" ht="22.5" customHeight="1">
      <c r="A12" s="13"/>
      <c r="B12" s="44" t="s">
        <v>821</v>
      </c>
      <c r="C12" s="29"/>
      <c r="D12" s="29"/>
      <c r="E12" s="29">
        <f>E15+E18</f>
        <v>326903</v>
      </c>
      <c r="F12" s="29">
        <f t="shared" si="0"/>
        <v>39586</v>
      </c>
      <c r="G12" s="29">
        <f t="shared" si="0"/>
        <v>0</v>
      </c>
      <c r="H12" s="29">
        <f t="shared" si="0"/>
        <v>12000</v>
      </c>
      <c r="I12" s="29">
        <f t="shared" si="0"/>
        <v>7800</v>
      </c>
      <c r="J12" s="29">
        <f t="shared" si="0"/>
        <v>161395</v>
      </c>
      <c r="K12" s="29">
        <f t="shared" si="0"/>
        <v>0</v>
      </c>
      <c r="L12" s="29">
        <f t="shared" si="0"/>
        <v>0</v>
      </c>
      <c r="M12" s="29">
        <f t="shared" si="0"/>
        <v>0</v>
      </c>
      <c r="N12" s="29">
        <f t="shared" si="0"/>
        <v>0</v>
      </c>
      <c r="O12" s="29">
        <f t="shared" si="0"/>
        <v>105200</v>
      </c>
      <c r="P12" s="29">
        <f t="shared" si="0"/>
        <v>0</v>
      </c>
      <c r="Q12" s="29">
        <f t="shared" si="0"/>
        <v>0</v>
      </c>
      <c r="R12" s="29">
        <f t="shared" si="0"/>
        <v>922</v>
      </c>
      <c r="S12" s="29">
        <f t="shared" si="0"/>
        <v>0</v>
      </c>
      <c r="T12" s="29">
        <f t="shared" si="0"/>
        <v>0</v>
      </c>
      <c r="V12" s="61"/>
    </row>
    <row r="13" spans="1:22" s="36" customFormat="1" ht="22.5" customHeight="1">
      <c r="A13" s="45"/>
      <c r="B13" s="46" t="s">
        <v>690</v>
      </c>
      <c r="C13" s="47"/>
      <c r="D13" s="47"/>
      <c r="E13" s="16">
        <f>F13+G13+H13+I13+J13+K13+L13+M13+N13+O13+R13+S13+T13</f>
        <v>94015.93</v>
      </c>
      <c r="F13" s="47">
        <f t="shared" ref="F13:T13" si="1">F14+F15</f>
        <v>0</v>
      </c>
      <c r="G13" s="47">
        <f t="shared" si="1"/>
        <v>0</v>
      </c>
      <c r="H13" s="47">
        <f t="shared" si="1"/>
        <v>800</v>
      </c>
      <c r="I13" s="47">
        <f t="shared" si="1"/>
        <v>7729</v>
      </c>
      <c r="J13" s="47">
        <f t="shared" si="1"/>
        <v>92</v>
      </c>
      <c r="K13" s="47">
        <f t="shared" si="1"/>
        <v>950</v>
      </c>
      <c r="L13" s="47">
        <f t="shared" si="1"/>
        <v>0</v>
      </c>
      <c r="M13" s="47">
        <f t="shared" si="1"/>
        <v>0</v>
      </c>
      <c r="N13" s="47">
        <f t="shared" si="1"/>
        <v>0</v>
      </c>
      <c r="O13" s="16">
        <f t="shared" si="1"/>
        <v>84360.93</v>
      </c>
      <c r="P13" s="47">
        <f t="shared" si="1"/>
        <v>0</v>
      </c>
      <c r="Q13" s="47">
        <f t="shared" si="1"/>
        <v>0</v>
      </c>
      <c r="R13" s="47">
        <f t="shared" si="1"/>
        <v>84</v>
      </c>
      <c r="S13" s="47">
        <f t="shared" si="1"/>
        <v>0</v>
      </c>
      <c r="T13" s="47">
        <f t="shared" si="1"/>
        <v>0</v>
      </c>
    </row>
    <row r="14" spans="1:22" ht="22.5" customHeight="1">
      <c r="A14" s="48"/>
      <c r="B14" s="44" t="s">
        <v>820</v>
      </c>
      <c r="C14" s="29">
        <f>C19+C22</f>
        <v>0</v>
      </c>
      <c r="D14" s="29">
        <f>D19+D22</f>
        <v>0</v>
      </c>
      <c r="E14" s="29">
        <f>E24+E33+E42+E51+E60+E69+E78+E87+E96+E105+E129+E138+E147+E156+E165+E174+E185+E194+E203+E213+E116+E231+E240+E249+E222</f>
        <v>24253.93</v>
      </c>
      <c r="F14" s="29">
        <f>F24+F33+F42+F51+F60+F69+F78+F87+F96+F105+F129+F138+F147+F156+F165+F174+F185+F194+F203+F213+F116+F231+F240+F249+F222</f>
        <v>0</v>
      </c>
      <c r="G14" s="29">
        <f t="shared" ref="G14:T14" si="2">G24+G33+G42+G51+G60+G69+G78+G87+G96+G105+G129+G138+G147+G156+G165+G174+G185+G194+G203+G213+G116+G231+G240+G249+G222</f>
        <v>0</v>
      </c>
      <c r="H14" s="29">
        <f t="shared" si="2"/>
        <v>800</v>
      </c>
      <c r="I14" s="29">
        <f t="shared" si="2"/>
        <v>1500</v>
      </c>
      <c r="J14" s="29">
        <f t="shared" si="2"/>
        <v>0</v>
      </c>
      <c r="K14" s="29">
        <f t="shared" si="2"/>
        <v>950</v>
      </c>
      <c r="L14" s="29">
        <f t="shared" si="2"/>
        <v>0</v>
      </c>
      <c r="M14" s="29">
        <f t="shared" si="2"/>
        <v>0</v>
      </c>
      <c r="N14" s="29">
        <f t="shared" si="2"/>
        <v>0</v>
      </c>
      <c r="O14" s="29">
        <f t="shared" si="2"/>
        <v>21003.93</v>
      </c>
      <c r="P14" s="29">
        <f t="shared" si="2"/>
        <v>0</v>
      </c>
      <c r="Q14" s="29">
        <f t="shared" si="2"/>
        <v>0</v>
      </c>
      <c r="R14" s="29">
        <f t="shared" si="2"/>
        <v>0</v>
      </c>
      <c r="S14" s="29">
        <f t="shared" si="2"/>
        <v>0</v>
      </c>
      <c r="T14" s="29">
        <f t="shared" si="2"/>
        <v>0</v>
      </c>
    </row>
    <row r="15" spans="1:22" ht="22.5" customHeight="1">
      <c r="A15" s="48"/>
      <c r="B15" s="44" t="s">
        <v>821</v>
      </c>
      <c r="C15" s="29">
        <f>C20+C23</f>
        <v>0</v>
      </c>
      <c r="D15" s="29">
        <f>D20+D23</f>
        <v>0</v>
      </c>
      <c r="E15" s="29">
        <f>E25+E34+E43+E52+E61+E70+E79+E88+E97+E106+E117+E130+E139+E148+E157+E166+E175+E186+E195+E204+E259</f>
        <v>69762</v>
      </c>
      <c r="F15" s="29">
        <f>F25+F34+F43+F52+F61+F70+F79+F88+F97+F106+F117+F130+F139+F148+F157+F166+F175+F186+F195+F204+F259</f>
        <v>0</v>
      </c>
      <c r="G15" s="29">
        <f t="shared" ref="G15:T15" si="3">G25+G34+G43+G52+G61+G70+G79+G88+G97+G106+G117+G130+G139+G148+G157+G166+G175+G186+G195+G204+G259</f>
        <v>0</v>
      </c>
      <c r="H15" s="29">
        <f t="shared" si="3"/>
        <v>0</v>
      </c>
      <c r="I15" s="29">
        <f t="shared" si="3"/>
        <v>6229</v>
      </c>
      <c r="J15" s="29">
        <f t="shared" si="3"/>
        <v>92</v>
      </c>
      <c r="K15" s="29">
        <f t="shared" si="3"/>
        <v>0</v>
      </c>
      <c r="L15" s="29">
        <f t="shared" si="3"/>
        <v>0</v>
      </c>
      <c r="M15" s="29">
        <f t="shared" si="3"/>
        <v>0</v>
      </c>
      <c r="N15" s="29">
        <f t="shared" si="3"/>
        <v>0</v>
      </c>
      <c r="O15" s="29">
        <f t="shared" si="3"/>
        <v>63357</v>
      </c>
      <c r="P15" s="29">
        <f t="shared" si="3"/>
        <v>0</v>
      </c>
      <c r="Q15" s="29">
        <f t="shared" si="3"/>
        <v>0</v>
      </c>
      <c r="R15" s="29">
        <f t="shared" si="3"/>
        <v>84</v>
      </c>
      <c r="S15" s="29">
        <f t="shared" si="3"/>
        <v>0</v>
      </c>
      <c r="T15" s="29">
        <f t="shared" si="3"/>
        <v>0</v>
      </c>
    </row>
    <row r="16" spans="1:22" s="36" customFormat="1" ht="22.5" customHeight="1">
      <c r="A16" s="45"/>
      <c r="B16" s="46" t="s">
        <v>691</v>
      </c>
      <c r="C16" s="47">
        <f>C17+C18</f>
        <v>0</v>
      </c>
      <c r="D16" s="47">
        <f t="shared" ref="D16:T16" si="4">D17+D18</f>
        <v>0</v>
      </c>
      <c r="E16" s="47">
        <f t="shared" si="4"/>
        <v>264296.84000000003</v>
      </c>
      <c r="F16" s="47">
        <f t="shared" si="4"/>
        <v>39666</v>
      </c>
      <c r="G16" s="47">
        <f t="shared" si="4"/>
        <v>0</v>
      </c>
      <c r="H16" s="47">
        <f t="shared" si="4"/>
        <v>12000</v>
      </c>
      <c r="I16" s="47">
        <f t="shared" si="4"/>
        <v>1571</v>
      </c>
      <c r="J16" s="47">
        <f t="shared" si="4"/>
        <v>161406</v>
      </c>
      <c r="K16" s="47">
        <f t="shared" si="4"/>
        <v>44</v>
      </c>
      <c r="L16" s="47">
        <f t="shared" si="4"/>
        <v>0</v>
      </c>
      <c r="M16" s="47">
        <f t="shared" si="4"/>
        <v>0</v>
      </c>
      <c r="N16" s="47">
        <f t="shared" si="4"/>
        <v>0</v>
      </c>
      <c r="O16" s="47">
        <f t="shared" si="4"/>
        <v>48771.839999999997</v>
      </c>
      <c r="P16" s="47">
        <f t="shared" si="4"/>
        <v>0</v>
      </c>
      <c r="Q16" s="47">
        <f t="shared" si="4"/>
        <v>0</v>
      </c>
      <c r="R16" s="47">
        <f t="shared" si="4"/>
        <v>838</v>
      </c>
      <c r="S16" s="47">
        <f t="shared" si="4"/>
        <v>0</v>
      </c>
      <c r="T16" s="47">
        <f t="shared" si="4"/>
        <v>0</v>
      </c>
    </row>
    <row r="17" spans="1:21" s="37" customFormat="1" ht="22.5" customHeight="1">
      <c r="A17" s="49"/>
      <c r="B17" s="50" t="s">
        <v>820</v>
      </c>
      <c r="C17" s="51">
        <f>C27+C36+C45+C54+C63+C72+C81+C90+C99+C108+C132+C141+C150+C159+C168+C177+C188+C197+C206</f>
        <v>0</v>
      </c>
      <c r="D17" s="51">
        <f>D27+D36+D45+D54+D63+D72+D81+D90+D99+D108+D132+D141+D150+D159+D168+D177+D188+D197+D206</f>
        <v>0</v>
      </c>
      <c r="E17" s="51">
        <f>E27+E36+E45+E54+E63+E72+E81+E90+E99+E108+E132+E141+E150+E159+E168+E177+E188+E197+E206+E216+E225+E234</f>
        <v>7155.84</v>
      </c>
      <c r="F17" s="52">
        <f t="shared" ref="F17:T17" si="5">F27+F36+F45+F54+F63+F72+F81+F90+F99+F108+F132+F141+F150+F159+F168+F177+F188+F197+F206+F216+F225+F234</f>
        <v>80</v>
      </c>
      <c r="G17" s="53">
        <f t="shared" si="5"/>
        <v>0</v>
      </c>
      <c r="H17" s="53">
        <f t="shared" si="5"/>
        <v>0</v>
      </c>
      <c r="I17" s="53">
        <f t="shared" si="5"/>
        <v>0</v>
      </c>
      <c r="J17" s="53">
        <f t="shared" si="5"/>
        <v>103</v>
      </c>
      <c r="K17" s="53">
        <f t="shared" si="5"/>
        <v>44</v>
      </c>
      <c r="L17" s="53">
        <f t="shared" si="5"/>
        <v>0</v>
      </c>
      <c r="M17" s="53">
        <f t="shared" si="5"/>
        <v>0</v>
      </c>
      <c r="N17" s="53">
        <f t="shared" si="5"/>
        <v>0</v>
      </c>
      <c r="O17" s="53">
        <f t="shared" si="5"/>
        <v>6928.84</v>
      </c>
      <c r="P17" s="53">
        <f t="shared" si="5"/>
        <v>0</v>
      </c>
      <c r="Q17" s="53">
        <f t="shared" si="5"/>
        <v>0</v>
      </c>
      <c r="R17" s="53">
        <f t="shared" si="5"/>
        <v>0</v>
      </c>
      <c r="S17" s="62">
        <f t="shared" si="5"/>
        <v>0</v>
      </c>
      <c r="T17" s="62">
        <f t="shared" si="5"/>
        <v>0</v>
      </c>
    </row>
    <row r="18" spans="1:21" s="37" customFormat="1" ht="22.5" customHeight="1">
      <c r="A18" s="49"/>
      <c r="B18" s="50" t="s">
        <v>821</v>
      </c>
      <c r="C18" s="51">
        <f>C28+C37+C46+C55+C64+C73+C82+C91+C100+C109+C133+C142+C151+C160+C169+C178+C189+C198+C207+C120</f>
        <v>0</v>
      </c>
      <c r="D18" s="51">
        <f>D28+D37+D46+D55+D64+D73+D82+D91+D100+D109+D133+D142+D151+D160+D169+D178+D189+D198+D207+D120</f>
        <v>0</v>
      </c>
      <c r="E18" s="51">
        <f>E28+E37+E46+E55+E64+E73+E82+E91+E100+E109+E133+E142+E151+E160+E169+E178+E189+E198+E207+E120+E226+E244+E253+E217+E235</f>
        <v>257141</v>
      </c>
      <c r="F18" s="51">
        <f>F28+F37+F46+F55+F64+F73+F82+F91+F100+F109+F133+F142+F151+F160+F169+F178+F189+F198+F207+F120+F226+F244+F253</f>
        <v>39586</v>
      </c>
      <c r="G18" s="51">
        <f>G28+G37+G46+G55+G64+G73+G82+G91+G100+G109+G133+G142+G151+G160+G169+G178+G189+G198+G207+G120+G226+G244+G253</f>
        <v>0</v>
      </c>
      <c r="H18" s="51">
        <f>H28+H37+H46+H55+H64+H73+H82+H91+H100+H109+H133+H142+H151+H160+H169+H178+H189+H198+H207+H120+H226+H244+H253</f>
        <v>12000</v>
      </c>
      <c r="I18" s="51">
        <f t="shared" ref="I18:T18" si="6">I28+I37+I46+I55+I64+I73+I82+I91+I100+I109+I133+I142+I151+I160+I169+I178+I189+I198+I207+I120+I226+I244+I253</f>
        <v>1571</v>
      </c>
      <c r="J18" s="51">
        <f t="shared" si="6"/>
        <v>161303</v>
      </c>
      <c r="K18" s="51">
        <f t="shared" si="6"/>
        <v>0</v>
      </c>
      <c r="L18" s="51">
        <f t="shared" si="6"/>
        <v>0</v>
      </c>
      <c r="M18" s="51">
        <f t="shared" si="6"/>
        <v>0</v>
      </c>
      <c r="N18" s="51">
        <f t="shared" si="6"/>
        <v>0</v>
      </c>
      <c r="O18" s="51">
        <f t="shared" si="6"/>
        <v>41843</v>
      </c>
      <c r="P18" s="51">
        <f t="shared" si="6"/>
        <v>0</v>
      </c>
      <c r="Q18" s="51">
        <f t="shared" si="6"/>
        <v>0</v>
      </c>
      <c r="R18" s="51">
        <f t="shared" si="6"/>
        <v>838</v>
      </c>
      <c r="S18" s="51">
        <f t="shared" si="6"/>
        <v>0</v>
      </c>
      <c r="T18" s="51">
        <f t="shared" si="6"/>
        <v>0</v>
      </c>
    </row>
    <row r="19" spans="1:21" s="26" customFormat="1" ht="22.5" customHeight="1">
      <c r="A19" s="54" t="s">
        <v>9</v>
      </c>
      <c r="B19" s="55" t="s">
        <v>692</v>
      </c>
      <c r="C19" s="30"/>
      <c r="D19" s="30"/>
      <c r="E19" s="30">
        <f>E20+E29+E38+E47+E56+E65+E74+E83+E92+E101+E112</f>
        <v>171665.77000000002</v>
      </c>
      <c r="F19" s="30">
        <f t="shared" ref="F19:U19" si="7">F20+F29+F38+F47+F56+F65+F74+F83+F92+F101+F112</f>
        <v>39666</v>
      </c>
      <c r="G19" s="30">
        <f t="shared" si="7"/>
        <v>0</v>
      </c>
      <c r="H19" s="30">
        <f t="shared" si="7"/>
        <v>0</v>
      </c>
      <c r="I19" s="30">
        <f t="shared" si="7"/>
        <v>7160</v>
      </c>
      <c r="J19" s="30">
        <f t="shared" si="7"/>
        <v>103</v>
      </c>
      <c r="K19" s="30">
        <f t="shared" si="7"/>
        <v>994</v>
      </c>
      <c r="L19" s="30">
        <f t="shared" si="7"/>
        <v>0</v>
      </c>
      <c r="M19" s="30">
        <f t="shared" si="7"/>
        <v>0</v>
      </c>
      <c r="N19" s="30">
        <f t="shared" si="7"/>
        <v>0</v>
      </c>
      <c r="O19" s="30">
        <f t="shared" si="7"/>
        <v>123742.77</v>
      </c>
      <c r="P19" s="30">
        <f t="shared" si="7"/>
        <v>0</v>
      </c>
      <c r="Q19" s="30">
        <f t="shared" si="7"/>
        <v>0</v>
      </c>
      <c r="R19" s="30">
        <f t="shared" si="7"/>
        <v>0</v>
      </c>
      <c r="S19" s="30">
        <f t="shared" si="7"/>
        <v>0</v>
      </c>
      <c r="T19" s="30">
        <f t="shared" si="7"/>
        <v>0</v>
      </c>
      <c r="U19" s="30">
        <f t="shared" si="7"/>
        <v>0</v>
      </c>
    </row>
    <row r="20" spans="1:21" ht="22.5" customHeight="1">
      <c r="A20" s="48">
        <v>1</v>
      </c>
      <c r="B20" s="44" t="s">
        <v>696</v>
      </c>
      <c r="C20" s="29">
        <f>C21+C22</f>
        <v>0</v>
      </c>
      <c r="D20" s="29">
        <f t="shared" ref="D20:T20" si="8">D21+D22</f>
        <v>0</v>
      </c>
      <c r="E20" s="16">
        <f>F20+G20+H20+I20+J20+K20+L20+M20+N20+O20+R20+S20+T20</f>
        <v>19575.77</v>
      </c>
      <c r="F20" s="56">
        <f>F21+F22</f>
        <v>0</v>
      </c>
      <c r="G20" s="56">
        <f t="shared" si="8"/>
        <v>0</v>
      </c>
      <c r="H20" s="56">
        <f t="shared" si="8"/>
        <v>0</v>
      </c>
      <c r="I20" s="56">
        <f t="shared" si="8"/>
        <v>0</v>
      </c>
      <c r="J20" s="56">
        <f t="shared" si="8"/>
        <v>0</v>
      </c>
      <c r="K20" s="56">
        <f t="shared" si="8"/>
        <v>0</v>
      </c>
      <c r="L20" s="56">
        <f t="shared" si="8"/>
        <v>0</v>
      </c>
      <c r="M20" s="56">
        <f t="shared" si="8"/>
        <v>0</v>
      </c>
      <c r="N20" s="56">
        <f t="shared" si="8"/>
        <v>0</v>
      </c>
      <c r="O20" s="16">
        <f t="shared" si="8"/>
        <v>19575.77</v>
      </c>
      <c r="P20" s="56">
        <f t="shared" si="8"/>
        <v>0</v>
      </c>
      <c r="Q20" s="29">
        <f t="shared" si="8"/>
        <v>0</v>
      </c>
      <c r="R20" s="29">
        <f t="shared" si="8"/>
        <v>0</v>
      </c>
      <c r="S20" s="29">
        <f t="shared" si="8"/>
        <v>0</v>
      </c>
      <c r="T20" s="29">
        <f t="shared" si="8"/>
        <v>0</v>
      </c>
    </row>
    <row r="21" spans="1:21" s="38" customFormat="1" ht="30" customHeight="1">
      <c r="A21" s="57"/>
      <c r="B21" s="58" t="s">
        <v>820</v>
      </c>
      <c r="C21" s="29">
        <f>C24+C27</f>
        <v>0</v>
      </c>
      <c r="D21" s="29">
        <f t="shared" ref="D21:T22" si="9">D24+D27</f>
        <v>0</v>
      </c>
      <c r="E21" s="16">
        <f t="shared" ref="E21:E82" si="10">F21+G21+H21+I21+J21+K21+L21+M21+N21+O21+R21+S21+T21</f>
        <v>19575.77</v>
      </c>
      <c r="F21" s="56">
        <f t="shared" si="9"/>
        <v>0</v>
      </c>
      <c r="G21" s="56">
        <f t="shared" si="9"/>
        <v>0</v>
      </c>
      <c r="H21" s="56">
        <f t="shared" si="9"/>
        <v>0</v>
      </c>
      <c r="I21" s="56">
        <f t="shared" si="9"/>
        <v>0</v>
      </c>
      <c r="J21" s="56">
        <f t="shared" si="9"/>
        <v>0</v>
      </c>
      <c r="K21" s="56">
        <f t="shared" si="9"/>
        <v>0</v>
      </c>
      <c r="L21" s="56">
        <f t="shared" si="9"/>
        <v>0</v>
      </c>
      <c r="M21" s="56">
        <f t="shared" si="9"/>
        <v>0</v>
      </c>
      <c r="N21" s="56">
        <f t="shared" si="9"/>
        <v>0</v>
      </c>
      <c r="O21" s="16">
        <f t="shared" si="9"/>
        <v>19575.77</v>
      </c>
      <c r="P21" s="56">
        <f t="shared" si="9"/>
        <v>0</v>
      </c>
      <c r="Q21" s="29">
        <f t="shared" si="9"/>
        <v>0</v>
      </c>
      <c r="R21" s="29">
        <f t="shared" si="9"/>
        <v>0</v>
      </c>
      <c r="S21" s="29">
        <f t="shared" si="9"/>
        <v>0</v>
      </c>
      <c r="T21" s="29">
        <f t="shared" si="9"/>
        <v>0</v>
      </c>
    </row>
    <row r="22" spans="1:21" s="38" customFormat="1" ht="22.5" customHeight="1">
      <c r="A22" s="57"/>
      <c r="B22" s="58" t="s">
        <v>821</v>
      </c>
      <c r="C22" s="29">
        <f>C25+C28</f>
        <v>0</v>
      </c>
      <c r="D22" s="29">
        <f t="shared" si="9"/>
        <v>0</v>
      </c>
      <c r="E22" s="56">
        <f t="shared" si="10"/>
        <v>0</v>
      </c>
      <c r="F22" s="56">
        <f t="shared" si="9"/>
        <v>0</v>
      </c>
      <c r="G22" s="56">
        <f t="shared" si="9"/>
        <v>0</v>
      </c>
      <c r="H22" s="56">
        <f t="shared" si="9"/>
        <v>0</v>
      </c>
      <c r="I22" s="56">
        <f t="shared" si="9"/>
        <v>0</v>
      </c>
      <c r="J22" s="56">
        <f t="shared" si="9"/>
        <v>0</v>
      </c>
      <c r="K22" s="56">
        <f t="shared" si="9"/>
        <v>0</v>
      </c>
      <c r="L22" s="56">
        <f t="shared" si="9"/>
        <v>0</v>
      </c>
      <c r="M22" s="56">
        <f t="shared" si="9"/>
        <v>0</v>
      </c>
      <c r="N22" s="56">
        <f t="shared" si="9"/>
        <v>0</v>
      </c>
      <c r="O22" s="56">
        <f t="shared" si="9"/>
        <v>0</v>
      </c>
      <c r="P22" s="56">
        <f t="shared" si="9"/>
        <v>0</v>
      </c>
      <c r="Q22" s="29">
        <f t="shared" si="9"/>
        <v>0</v>
      </c>
      <c r="R22" s="29">
        <f t="shared" si="9"/>
        <v>0</v>
      </c>
      <c r="S22" s="29">
        <f t="shared" si="9"/>
        <v>0</v>
      </c>
      <c r="T22" s="29">
        <f t="shared" si="9"/>
        <v>0</v>
      </c>
    </row>
    <row r="23" spans="1:21" ht="22.5" customHeight="1">
      <c r="A23" s="48"/>
      <c r="B23" s="44" t="s">
        <v>690</v>
      </c>
      <c r="C23" s="29">
        <f>C24+C25</f>
        <v>0</v>
      </c>
      <c r="D23" s="29">
        <f t="shared" ref="D23:T23" si="11">D24+D25</f>
        <v>0</v>
      </c>
      <c r="E23" s="16">
        <f t="shared" si="10"/>
        <v>15303.93</v>
      </c>
      <c r="F23" s="56">
        <f t="shared" si="11"/>
        <v>0</v>
      </c>
      <c r="G23" s="56">
        <f t="shared" si="11"/>
        <v>0</v>
      </c>
      <c r="H23" s="56">
        <f t="shared" si="11"/>
        <v>0</v>
      </c>
      <c r="I23" s="56">
        <f t="shared" si="11"/>
        <v>0</v>
      </c>
      <c r="J23" s="56">
        <f t="shared" si="11"/>
        <v>0</v>
      </c>
      <c r="K23" s="56">
        <f t="shared" si="11"/>
        <v>0</v>
      </c>
      <c r="L23" s="56">
        <f t="shared" si="11"/>
        <v>0</v>
      </c>
      <c r="M23" s="56">
        <f t="shared" si="11"/>
        <v>0</v>
      </c>
      <c r="N23" s="56">
        <f t="shared" si="11"/>
        <v>0</v>
      </c>
      <c r="O23" s="16">
        <f t="shared" si="11"/>
        <v>15303.93</v>
      </c>
      <c r="P23" s="56">
        <f t="shared" si="11"/>
        <v>0</v>
      </c>
      <c r="Q23" s="29">
        <f t="shared" si="11"/>
        <v>0</v>
      </c>
      <c r="R23" s="29">
        <f t="shared" si="11"/>
        <v>0</v>
      </c>
      <c r="S23" s="29">
        <f t="shared" si="11"/>
        <v>0</v>
      </c>
      <c r="T23" s="29">
        <f t="shared" si="11"/>
        <v>0</v>
      </c>
    </row>
    <row r="24" spans="1:21" s="38" customFormat="1" ht="30" customHeight="1">
      <c r="A24" s="57"/>
      <c r="B24" s="58" t="s">
        <v>820</v>
      </c>
      <c r="C24" s="29"/>
      <c r="D24" s="29"/>
      <c r="E24" s="16">
        <f t="shared" si="10"/>
        <v>15303.93</v>
      </c>
      <c r="F24" s="56"/>
      <c r="G24" s="56"/>
      <c r="H24" s="56"/>
      <c r="I24" s="56"/>
      <c r="J24" s="56"/>
      <c r="K24" s="56"/>
      <c r="L24" s="56"/>
      <c r="M24" s="56"/>
      <c r="N24" s="56"/>
      <c r="O24" s="16">
        <f>'[4]38.1TW'!K24</f>
        <v>15303.93</v>
      </c>
      <c r="P24" s="56"/>
      <c r="Q24" s="29"/>
      <c r="R24" s="29"/>
      <c r="S24" s="29"/>
      <c r="T24" s="29"/>
    </row>
    <row r="25" spans="1:21" s="38" customFormat="1" ht="22.5" customHeight="1">
      <c r="A25" s="57"/>
      <c r="B25" s="58" t="s">
        <v>821</v>
      </c>
      <c r="C25" s="29"/>
      <c r="D25" s="29"/>
      <c r="E25" s="16"/>
      <c r="F25" s="16"/>
      <c r="G25" s="16"/>
      <c r="H25" s="16"/>
      <c r="I25" s="16"/>
      <c r="J25" s="16"/>
      <c r="K25" s="16"/>
      <c r="L25" s="16"/>
      <c r="M25" s="16"/>
      <c r="N25" s="16"/>
      <c r="O25" s="59"/>
      <c r="P25" s="16"/>
      <c r="Q25" s="29"/>
      <c r="R25" s="29"/>
      <c r="S25" s="29"/>
      <c r="T25" s="29"/>
    </row>
    <row r="26" spans="1:21" ht="22.5" customHeight="1">
      <c r="A26" s="48"/>
      <c r="B26" s="44" t="s">
        <v>691</v>
      </c>
      <c r="C26" s="29">
        <f>C27+C28</f>
        <v>0</v>
      </c>
      <c r="D26" s="29">
        <f t="shared" ref="D26:T26" si="12">D27+D28</f>
        <v>0</v>
      </c>
      <c r="E26" s="16">
        <f t="shared" si="12"/>
        <v>4271.84</v>
      </c>
      <c r="F26" s="29">
        <f t="shared" si="12"/>
        <v>0</v>
      </c>
      <c r="G26" s="29">
        <f t="shared" si="12"/>
        <v>0</v>
      </c>
      <c r="H26" s="29">
        <f t="shared" si="12"/>
        <v>0</v>
      </c>
      <c r="I26" s="29">
        <f t="shared" si="12"/>
        <v>0</v>
      </c>
      <c r="J26" s="29">
        <f t="shared" si="12"/>
        <v>0</v>
      </c>
      <c r="K26" s="29">
        <f t="shared" si="12"/>
        <v>0</v>
      </c>
      <c r="L26" s="29">
        <f t="shared" si="12"/>
        <v>0</v>
      </c>
      <c r="M26" s="29">
        <f t="shared" si="12"/>
        <v>0</v>
      </c>
      <c r="N26" s="29">
        <f t="shared" si="12"/>
        <v>0</v>
      </c>
      <c r="O26" s="16">
        <f t="shared" si="12"/>
        <v>4271.84</v>
      </c>
      <c r="P26" s="29">
        <f t="shared" si="12"/>
        <v>0</v>
      </c>
      <c r="Q26" s="29">
        <f t="shared" si="12"/>
        <v>0</v>
      </c>
      <c r="R26" s="29">
        <f t="shared" si="12"/>
        <v>0</v>
      </c>
      <c r="S26" s="29">
        <f t="shared" si="12"/>
        <v>0</v>
      </c>
      <c r="T26" s="29">
        <f t="shared" si="12"/>
        <v>0</v>
      </c>
    </row>
    <row r="27" spans="1:21" s="38" customFormat="1" ht="30" customHeight="1">
      <c r="A27" s="57"/>
      <c r="B27" s="58" t="s">
        <v>820</v>
      </c>
      <c r="C27" s="29"/>
      <c r="D27" s="29"/>
      <c r="E27" s="16">
        <f t="shared" si="10"/>
        <v>4271.84</v>
      </c>
      <c r="F27" s="16"/>
      <c r="G27" s="16"/>
      <c r="H27" s="16"/>
      <c r="I27" s="16"/>
      <c r="J27" s="16"/>
      <c r="K27" s="16"/>
      <c r="L27" s="16"/>
      <c r="M27" s="16"/>
      <c r="N27" s="16"/>
      <c r="O27" s="16">
        <f>'[4]38.1TW'!K25</f>
        <v>4271.84</v>
      </c>
      <c r="P27" s="16"/>
      <c r="Q27" s="29"/>
      <c r="R27" s="29"/>
      <c r="S27" s="29"/>
      <c r="T27" s="29"/>
    </row>
    <row r="28" spans="1:21" s="38" customFormat="1" ht="22.5" customHeight="1">
      <c r="A28" s="57"/>
      <c r="B28" s="58" t="s">
        <v>821</v>
      </c>
      <c r="C28" s="29"/>
      <c r="D28" s="29"/>
      <c r="E28" s="29">
        <f t="shared" si="10"/>
        <v>0</v>
      </c>
      <c r="F28" s="29"/>
      <c r="G28" s="29"/>
      <c r="H28" s="29"/>
      <c r="I28" s="29"/>
      <c r="J28" s="29"/>
      <c r="K28" s="29"/>
      <c r="L28" s="29"/>
      <c r="M28" s="29"/>
      <c r="N28" s="29"/>
      <c r="O28" s="29"/>
      <c r="P28" s="29"/>
      <c r="Q28" s="29"/>
      <c r="R28" s="29"/>
      <c r="S28" s="29"/>
      <c r="T28" s="29"/>
    </row>
    <row r="29" spans="1:21" ht="22.5" customHeight="1">
      <c r="A29" s="48">
        <v>2</v>
      </c>
      <c r="B29" s="44" t="s">
        <v>697</v>
      </c>
      <c r="C29" s="29">
        <f>C30+C31</f>
        <v>0</v>
      </c>
      <c r="D29" s="29">
        <f t="shared" ref="D29:T29" si="13">D30+D31</f>
        <v>0</v>
      </c>
      <c r="E29" s="29">
        <f t="shared" si="10"/>
        <v>584</v>
      </c>
      <c r="F29" s="29">
        <f t="shared" si="13"/>
        <v>0</v>
      </c>
      <c r="G29" s="29">
        <f t="shared" si="13"/>
        <v>0</v>
      </c>
      <c r="H29" s="29">
        <f t="shared" si="13"/>
        <v>0</v>
      </c>
      <c r="I29" s="29">
        <f t="shared" si="13"/>
        <v>42</v>
      </c>
      <c r="J29" s="29">
        <f t="shared" si="13"/>
        <v>0</v>
      </c>
      <c r="K29" s="29">
        <f t="shared" si="13"/>
        <v>0</v>
      </c>
      <c r="L29" s="29">
        <f t="shared" si="13"/>
        <v>0</v>
      </c>
      <c r="M29" s="29">
        <f t="shared" si="13"/>
        <v>0</v>
      </c>
      <c r="N29" s="29">
        <f t="shared" si="13"/>
        <v>0</v>
      </c>
      <c r="O29" s="29">
        <f t="shared" si="13"/>
        <v>542</v>
      </c>
      <c r="P29" s="29">
        <f t="shared" si="13"/>
        <v>0</v>
      </c>
      <c r="Q29" s="29">
        <f t="shared" si="13"/>
        <v>0</v>
      </c>
      <c r="R29" s="29">
        <f t="shared" si="13"/>
        <v>0</v>
      </c>
      <c r="S29" s="29">
        <f t="shared" si="13"/>
        <v>0</v>
      </c>
      <c r="T29" s="29">
        <f t="shared" si="13"/>
        <v>0</v>
      </c>
    </row>
    <row r="30" spans="1:21" s="38" customFormat="1" ht="36" customHeight="1">
      <c r="A30" s="57"/>
      <c r="B30" s="58" t="s">
        <v>820</v>
      </c>
      <c r="C30" s="29">
        <f>C33+C36</f>
        <v>0</v>
      </c>
      <c r="D30" s="29">
        <f t="shared" ref="D30:T31" si="14">D33+D36</f>
        <v>0</v>
      </c>
      <c r="E30" s="29">
        <f t="shared" si="10"/>
        <v>542</v>
      </c>
      <c r="F30" s="29">
        <f t="shared" si="14"/>
        <v>0</v>
      </c>
      <c r="G30" s="29">
        <f t="shared" si="14"/>
        <v>0</v>
      </c>
      <c r="H30" s="29">
        <f t="shared" si="14"/>
        <v>0</v>
      </c>
      <c r="I30" s="29">
        <f t="shared" si="14"/>
        <v>0</v>
      </c>
      <c r="J30" s="29">
        <f t="shared" si="14"/>
        <v>0</v>
      </c>
      <c r="K30" s="29">
        <f t="shared" si="14"/>
        <v>0</v>
      </c>
      <c r="L30" s="29">
        <f t="shared" si="14"/>
        <v>0</v>
      </c>
      <c r="M30" s="29">
        <f t="shared" si="14"/>
        <v>0</v>
      </c>
      <c r="N30" s="29">
        <f t="shared" si="14"/>
        <v>0</v>
      </c>
      <c r="O30" s="29">
        <f t="shared" si="14"/>
        <v>542</v>
      </c>
      <c r="P30" s="29">
        <f t="shared" si="14"/>
        <v>0</v>
      </c>
      <c r="Q30" s="29">
        <f t="shared" si="14"/>
        <v>0</v>
      </c>
      <c r="R30" s="29">
        <f t="shared" si="14"/>
        <v>0</v>
      </c>
      <c r="S30" s="29">
        <f t="shared" si="14"/>
        <v>0</v>
      </c>
      <c r="T30" s="29">
        <f t="shared" si="14"/>
        <v>0</v>
      </c>
    </row>
    <row r="31" spans="1:21" s="38" customFormat="1" ht="22.5" customHeight="1">
      <c r="A31" s="57"/>
      <c r="B31" s="58" t="s">
        <v>821</v>
      </c>
      <c r="C31" s="29">
        <f>C34+C37</f>
        <v>0</v>
      </c>
      <c r="D31" s="29">
        <f t="shared" si="14"/>
        <v>0</v>
      </c>
      <c r="E31" s="29">
        <f t="shared" si="10"/>
        <v>42</v>
      </c>
      <c r="F31" s="29">
        <f t="shared" si="14"/>
        <v>0</v>
      </c>
      <c r="G31" s="29">
        <f t="shared" si="14"/>
        <v>0</v>
      </c>
      <c r="H31" s="29">
        <f t="shared" si="14"/>
        <v>0</v>
      </c>
      <c r="I31" s="29">
        <f t="shared" si="14"/>
        <v>42</v>
      </c>
      <c r="J31" s="29">
        <f t="shared" si="14"/>
        <v>0</v>
      </c>
      <c r="K31" s="29">
        <f t="shared" si="14"/>
        <v>0</v>
      </c>
      <c r="L31" s="29">
        <f t="shared" si="14"/>
        <v>0</v>
      </c>
      <c r="M31" s="29">
        <f t="shared" si="14"/>
        <v>0</v>
      </c>
      <c r="N31" s="29">
        <f t="shared" si="14"/>
        <v>0</v>
      </c>
      <c r="O31" s="29">
        <f t="shared" si="14"/>
        <v>0</v>
      </c>
      <c r="P31" s="29">
        <f t="shared" si="14"/>
        <v>0</v>
      </c>
      <c r="Q31" s="29">
        <f t="shared" si="14"/>
        <v>0</v>
      </c>
      <c r="R31" s="29">
        <f t="shared" si="14"/>
        <v>0</v>
      </c>
      <c r="S31" s="29">
        <f t="shared" si="14"/>
        <v>0</v>
      </c>
      <c r="T31" s="29">
        <f t="shared" si="14"/>
        <v>0</v>
      </c>
    </row>
    <row r="32" spans="1:21" ht="22.5" customHeight="1">
      <c r="A32" s="48"/>
      <c r="B32" s="44" t="s">
        <v>690</v>
      </c>
      <c r="C32" s="29">
        <f>C33+C34</f>
        <v>0</v>
      </c>
      <c r="D32" s="29">
        <f t="shared" ref="D32:T32" si="15">D33+D34</f>
        <v>0</v>
      </c>
      <c r="E32" s="29">
        <f t="shared" si="10"/>
        <v>342</v>
      </c>
      <c r="F32" s="29">
        <f t="shared" si="15"/>
        <v>0</v>
      </c>
      <c r="G32" s="29">
        <f t="shared" si="15"/>
        <v>0</v>
      </c>
      <c r="H32" s="29">
        <f t="shared" si="15"/>
        <v>0</v>
      </c>
      <c r="I32" s="29">
        <f t="shared" si="15"/>
        <v>42</v>
      </c>
      <c r="J32" s="29">
        <f t="shared" si="15"/>
        <v>0</v>
      </c>
      <c r="K32" s="29">
        <f t="shared" si="15"/>
        <v>0</v>
      </c>
      <c r="L32" s="29">
        <f t="shared" si="15"/>
        <v>0</v>
      </c>
      <c r="M32" s="29">
        <f t="shared" si="15"/>
        <v>0</v>
      </c>
      <c r="N32" s="29">
        <f t="shared" si="15"/>
        <v>0</v>
      </c>
      <c r="O32" s="29">
        <f t="shared" si="15"/>
        <v>300</v>
      </c>
      <c r="P32" s="29">
        <f t="shared" si="15"/>
        <v>0</v>
      </c>
      <c r="Q32" s="29">
        <f t="shared" si="15"/>
        <v>0</v>
      </c>
      <c r="R32" s="29">
        <f t="shared" si="15"/>
        <v>0</v>
      </c>
      <c r="S32" s="29">
        <f t="shared" si="15"/>
        <v>0</v>
      </c>
      <c r="T32" s="29">
        <f t="shared" si="15"/>
        <v>0</v>
      </c>
    </row>
    <row r="33" spans="1:20" s="38" customFormat="1" ht="32.25" customHeight="1">
      <c r="A33" s="57"/>
      <c r="B33" s="58" t="s">
        <v>820</v>
      </c>
      <c r="C33" s="29"/>
      <c r="D33" s="29"/>
      <c r="E33" s="29">
        <f t="shared" si="10"/>
        <v>300</v>
      </c>
      <c r="F33" s="29"/>
      <c r="G33" s="29"/>
      <c r="H33" s="29"/>
      <c r="I33" s="29"/>
      <c r="J33" s="29"/>
      <c r="K33" s="29"/>
      <c r="L33" s="29"/>
      <c r="M33" s="29"/>
      <c r="N33" s="29"/>
      <c r="O33" s="29">
        <f>'[4]38.1TW'!J21</f>
        <v>300</v>
      </c>
      <c r="P33" s="29"/>
      <c r="Q33" s="29"/>
      <c r="R33" s="29"/>
      <c r="S33" s="29"/>
      <c r="T33" s="29"/>
    </row>
    <row r="34" spans="1:20" s="38" customFormat="1" ht="22.5" customHeight="1">
      <c r="A34" s="57"/>
      <c r="B34" s="58" t="s">
        <v>821</v>
      </c>
      <c r="C34" s="29"/>
      <c r="D34" s="29"/>
      <c r="E34" s="29">
        <f t="shared" si="10"/>
        <v>42</v>
      </c>
      <c r="F34" s="29"/>
      <c r="G34" s="29"/>
      <c r="H34" s="29"/>
      <c r="I34" s="29">
        <v>42</v>
      </c>
      <c r="J34" s="29"/>
      <c r="K34" s="29"/>
      <c r="L34" s="29"/>
      <c r="M34" s="29"/>
      <c r="N34" s="29"/>
      <c r="O34" s="29"/>
      <c r="P34" s="29"/>
      <c r="Q34" s="29"/>
      <c r="R34" s="29"/>
      <c r="S34" s="29"/>
      <c r="T34" s="29"/>
    </row>
    <row r="35" spans="1:20" ht="22.5" customHeight="1">
      <c r="A35" s="48"/>
      <c r="B35" s="44" t="s">
        <v>691</v>
      </c>
      <c r="C35" s="29">
        <f>C36+C37</f>
        <v>0</v>
      </c>
      <c r="D35" s="29">
        <f t="shared" ref="D35:T35" si="16">D36+D37</f>
        <v>0</v>
      </c>
      <c r="E35" s="29">
        <f t="shared" si="16"/>
        <v>242</v>
      </c>
      <c r="F35" s="29">
        <f t="shared" si="16"/>
        <v>0</v>
      </c>
      <c r="G35" s="29">
        <f t="shared" si="16"/>
        <v>0</v>
      </c>
      <c r="H35" s="29">
        <f t="shared" si="16"/>
        <v>0</v>
      </c>
      <c r="I35" s="29">
        <f t="shared" si="16"/>
        <v>0</v>
      </c>
      <c r="J35" s="29">
        <f t="shared" si="16"/>
        <v>0</v>
      </c>
      <c r="K35" s="29">
        <f t="shared" si="16"/>
        <v>0</v>
      </c>
      <c r="L35" s="29">
        <f t="shared" si="16"/>
        <v>0</v>
      </c>
      <c r="M35" s="29">
        <f t="shared" si="16"/>
        <v>0</v>
      </c>
      <c r="N35" s="29">
        <f t="shared" si="16"/>
        <v>0</v>
      </c>
      <c r="O35" s="29">
        <f t="shared" si="16"/>
        <v>242</v>
      </c>
      <c r="P35" s="29">
        <f t="shared" si="16"/>
        <v>0</v>
      </c>
      <c r="Q35" s="29">
        <f t="shared" si="16"/>
        <v>0</v>
      </c>
      <c r="R35" s="29">
        <f t="shared" si="16"/>
        <v>0</v>
      </c>
      <c r="S35" s="29">
        <f t="shared" si="16"/>
        <v>0</v>
      </c>
      <c r="T35" s="29">
        <f t="shared" si="16"/>
        <v>0</v>
      </c>
    </row>
    <row r="36" spans="1:20" s="38" customFormat="1" ht="22.5" customHeight="1">
      <c r="A36" s="57"/>
      <c r="B36" s="58" t="s">
        <v>820</v>
      </c>
      <c r="C36" s="29"/>
      <c r="D36" s="29"/>
      <c r="E36" s="29">
        <f t="shared" si="10"/>
        <v>242</v>
      </c>
      <c r="F36" s="29"/>
      <c r="G36" s="29"/>
      <c r="H36" s="29"/>
      <c r="I36" s="29"/>
      <c r="J36" s="29"/>
      <c r="K36" s="29"/>
      <c r="L36" s="29"/>
      <c r="M36" s="29"/>
      <c r="N36" s="29"/>
      <c r="O36" s="29">
        <v>242</v>
      </c>
      <c r="P36" s="29"/>
      <c r="Q36" s="29"/>
      <c r="R36" s="29"/>
      <c r="S36" s="29"/>
      <c r="T36" s="29"/>
    </row>
    <row r="37" spans="1:20" s="38" customFormat="1" ht="22.5" customHeight="1">
      <c r="A37" s="57"/>
      <c r="B37" s="58" t="s">
        <v>821</v>
      </c>
      <c r="C37" s="29"/>
      <c r="D37" s="29"/>
      <c r="E37" s="29">
        <f t="shared" si="10"/>
        <v>0</v>
      </c>
      <c r="F37" s="29"/>
      <c r="G37" s="29"/>
      <c r="H37" s="29"/>
      <c r="I37" s="29"/>
      <c r="J37" s="29"/>
      <c r="K37" s="29"/>
      <c r="L37" s="29"/>
      <c r="M37" s="29"/>
      <c r="N37" s="29"/>
      <c r="O37" s="29"/>
      <c r="P37" s="29"/>
      <c r="Q37" s="29"/>
      <c r="R37" s="29"/>
      <c r="S37" s="29"/>
      <c r="T37" s="29"/>
    </row>
    <row r="38" spans="1:20" ht="22.5" customHeight="1">
      <c r="A38" s="48">
        <v>3</v>
      </c>
      <c r="B38" s="44" t="s">
        <v>698</v>
      </c>
      <c r="C38" s="29">
        <f>C39+C40</f>
        <v>0</v>
      </c>
      <c r="D38" s="29">
        <f t="shared" ref="D38:T38" si="17">D39+D40</f>
        <v>0</v>
      </c>
      <c r="E38" s="29">
        <f t="shared" si="10"/>
        <v>14</v>
      </c>
      <c r="F38" s="29">
        <f t="shared" si="17"/>
        <v>0</v>
      </c>
      <c r="G38" s="29">
        <f t="shared" si="17"/>
        <v>0</v>
      </c>
      <c r="H38" s="29">
        <f t="shared" si="17"/>
        <v>0</v>
      </c>
      <c r="I38" s="29">
        <f t="shared" si="17"/>
        <v>0</v>
      </c>
      <c r="J38" s="29">
        <f t="shared" si="17"/>
        <v>0</v>
      </c>
      <c r="K38" s="29">
        <f t="shared" si="17"/>
        <v>0</v>
      </c>
      <c r="L38" s="29">
        <f t="shared" si="17"/>
        <v>0</v>
      </c>
      <c r="M38" s="29">
        <f t="shared" si="17"/>
        <v>0</v>
      </c>
      <c r="N38" s="29">
        <f t="shared" si="17"/>
        <v>0</v>
      </c>
      <c r="O38" s="29">
        <f t="shared" si="17"/>
        <v>14</v>
      </c>
      <c r="P38" s="29">
        <f t="shared" si="17"/>
        <v>0</v>
      </c>
      <c r="Q38" s="29">
        <f t="shared" si="17"/>
        <v>0</v>
      </c>
      <c r="R38" s="29">
        <f t="shared" si="17"/>
        <v>0</v>
      </c>
      <c r="S38" s="29">
        <f t="shared" si="17"/>
        <v>0</v>
      </c>
      <c r="T38" s="29">
        <f t="shared" si="17"/>
        <v>0</v>
      </c>
    </row>
    <row r="39" spans="1:20" s="38" customFormat="1" ht="22.5" customHeight="1">
      <c r="A39" s="57"/>
      <c r="B39" s="58" t="s">
        <v>820</v>
      </c>
      <c r="C39" s="29">
        <f>C42+C45</f>
        <v>0</v>
      </c>
      <c r="D39" s="29">
        <f t="shared" ref="D39:T40" si="18">D42+D45</f>
        <v>0</v>
      </c>
      <c r="E39" s="29">
        <f t="shared" si="10"/>
        <v>14</v>
      </c>
      <c r="F39" s="29">
        <f t="shared" si="18"/>
        <v>0</v>
      </c>
      <c r="G39" s="29">
        <f t="shared" si="18"/>
        <v>0</v>
      </c>
      <c r="H39" s="29">
        <f t="shared" si="18"/>
        <v>0</v>
      </c>
      <c r="I39" s="29">
        <f t="shared" si="18"/>
        <v>0</v>
      </c>
      <c r="J39" s="29">
        <f t="shared" si="18"/>
        <v>0</v>
      </c>
      <c r="K39" s="29">
        <f t="shared" si="18"/>
        <v>0</v>
      </c>
      <c r="L39" s="29">
        <f t="shared" si="18"/>
        <v>0</v>
      </c>
      <c r="M39" s="29">
        <f t="shared" si="18"/>
        <v>0</v>
      </c>
      <c r="N39" s="29">
        <f t="shared" si="18"/>
        <v>0</v>
      </c>
      <c r="O39" s="29">
        <f t="shared" si="18"/>
        <v>14</v>
      </c>
      <c r="P39" s="29">
        <f t="shared" si="18"/>
        <v>0</v>
      </c>
      <c r="Q39" s="29">
        <f t="shared" si="18"/>
        <v>0</v>
      </c>
      <c r="R39" s="29">
        <f t="shared" si="18"/>
        <v>0</v>
      </c>
      <c r="S39" s="29">
        <f t="shared" si="18"/>
        <v>0</v>
      </c>
      <c r="T39" s="29">
        <f t="shared" si="18"/>
        <v>0</v>
      </c>
    </row>
    <row r="40" spans="1:20" s="38" customFormat="1" ht="22.5" customHeight="1">
      <c r="A40" s="57"/>
      <c r="B40" s="58" t="s">
        <v>821</v>
      </c>
      <c r="C40" s="29">
        <f>C43+C46</f>
        <v>0</v>
      </c>
      <c r="D40" s="29">
        <f t="shared" si="18"/>
        <v>0</v>
      </c>
      <c r="E40" s="29">
        <f t="shared" si="10"/>
        <v>0</v>
      </c>
      <c r="F40" s="29">
        <f t="shared" si="18"/>
        <v>0</v>
      </c>
      <c r="G40" s="29">
        <f t="shared" si="18"/>
        <v>0</v>
      </c>
      <c r="H40" s="29">
        <f t="shared" si="18"/>
        <v>0</v>
      </c>
      <c r="I40" s="29">
        <f t="shared" si="18"/>
        <v>0</v>
      </c>
      <c r="J40" s="29">
        <f t="shared" si="18"/>
        <v>0</v>
      </c>
      <c r="K40" s="29">
        <f t="shared" si="18"/>
        <v>0</v>
      </c>
      <c r="L40" s="29">
        <f t="shared" si="18"/>
        <v>0</v>
      </c>
      <c r="M40" s="29">
        <f t="shared" si="18"/>
        <v>0</v>
      </c>
      <c r="N40" s="29">
        <f t="shared" si="18"/>
        <v>0</v>
      </c>
      <c r="O40" s="29">
        <f t="shared" si="18"/>
        <v>0</v>
      </c>
      <c r="P40" s="29">
        <f t="shared" si="18"/>
        <v>0</v>
      </c>
      <c r="Q40" s="29">
        <f t="shared" si="18"/>
        <v>0</v>
      </c>
      <c r="R40" s="29">
        <f t="shared" si="18"/>
        <v>0</v>
      </c>
      <c r="S40" s="29">
        <f t="shared" si="18"/>
        <v>0</v>
      </c>
      <c r="T40" s="29">
        <f t="shared" si="18"/>
        <v>0</v>
      </c>
    </row>
    <row r="41" spans="1:20" ht="22.5" customHeight="1">
      <c r="A41" s="48"/>
      <c r="B41" s="44" t="s">
        <v>690</v>
      </c>
      <c r="C41" s="29">
        <f>C42+C43</f>
        <v>0</v>
      </c>
      <c r="D41" s="29">
        <f t="shared" ref="D41:T41" si="19">D42+D43</f>
        <v>0</v>
      </c>
      <c r="E41" s="29">
        <f t="shared" si="10"/>
        <v>0</v>
      </c>
      <c r="F41" s="29">
        <f t="shared" si="19"/>
        <v>0</v>
      </c>
      <c r="G41" s="29">
        <f t="shared" si="19"/>
        <v>0</v>
      </c>
      <c r="H41" s="29">
        <f t="shared" si="19"/>
        <v>0</v>
      </c>
      <c r="I41" s="29">
        <f t="shared" si="19"/>
        <v>0</v>
      </c>
      <c r="J41" s="29">
        <f t="shared" si="19"/>
        <v>0</v>
      </c>
      <c r="K41" s="29">
        <f t="shared" si="19"/>
        <v>0</v>
      </c>
      <c r="L41" s="29">
        <f t="shared" si="19"/>
        <v>0</v>
      </c>
      <c r="M41" s="29">
        <f t="shared" si="19"/>
        <v>0</v>
      </c>
      <c r="N41" s="29">
        <f t="shared" si="19"/>
        <v>0</v>
      </c>
      <c r="O41" s="29">
        <f t="shared" si="19"/>
        <v>0</v>
      </c>
      <c r="P41" s="29">
        <f t="shared" si="19"/>
        <v>0</v>
      </c>
      <c r="Q41" s="29">
        <f t="shared" si="19"/>
        <v>0</v>
      </c>
      <c r="R41" s="29">
        <f t="shared" si="19"/>
        <v>0</v>
      </c>
      <c r="S41" s="29">
        <f t="shared" si="19"/>
        <v>0</v>
      </c>
      <c r="T41" s="29">
        <f t="shared" si="19"/>
        <v>0</v>
      </c>
    </row>
    <row r="42" spans="1:20" s="38" customFormat="1" ht="30.75" customHeight="1">
      <c r="A42" s="57"/>
      <c r="B42" s="58" t="s">
        <v>820</v>
      </c>
      <c r="C42" s="29"/>
      <c r="D42" s="29"/>
      <c r="E42" s="29">
        <f t="shared" si="10"/>
        <v>0</v>
      </c>
      <c r="F42" s="29"/>
      <c r="G42" s="29"/>
      <c r="H42" s="29"/>
      <c r="I42" s="29"/>
      <c r="J42" s="29"/>
      <c r="K42" s="29"/>
      <c r="L42" s="29"/>
      <c r="M42" s="29"/>
      <c r="N42" s="29"/>
      <c r="O42" s="29"/>
      <c r="P42" s="29"/>
      <c r="Q42" s="29"/>
      <c r="R42" s="29"/>
      <c r="S42" s="29"/>
      <c r="T42" s="29"/>
    </row>
    <row r="43" spans="1:20" s="38" customFormat="1" ht="22.5" customHeight="1">
      <c r="A43" s="57"/>
      <c r="B43" s="58" t="s">
        <v>821</v>
      </c>
      <c r="C43" s="29"/>
      <c r="D43" s="29"/>
      <c r="E43" s="29">
        <f t="shared" si="10"/>
        <v>0</v>
      </c>
      <c r="F43" s="29"/>
      <c r="G43" s="29"/>
      <c r="H43" s="29"/>
      <c r="I43" s="29"/>
      <c r="J43" s="29"/>
      <c r="K43" s="29"/>
      <c r="L43" s="29"/>
      <c r="M43" s="29"/>
      <c r="N43" s="29"/>
      <c r="O43" s="29"/>
      <c r="P43" s="29"/>
      <c r="Q43" s="29"/>
      <c r="R43" s="29"/>
      <c r="S43" s="29"/>
      <c r="T43" s="29"/>
    </row>
    <row r="44" spans="1:20" ht="22.5" customHeight="1">
      <c r="A44" s="48"/>
      <c r="B44" s="44" t="s">
        <v>691</v>
      </c>
      <c r="C44" s="29">
        <f>C45+C46</f>
        <v>0</v>
      </c>
      <c r="D44" s="29">
        <f t="shared" ref="D44:T44" si="20">D45+D46</f>
        <v>0</v>
      </c>
      <c r="E44" s="29">
        <f t="shared" si="20"/>
        <v>14</v>
      </c>
      <c r="F44" s="29">
        <f t="shared" si="20"/>
        <v>0</v>
      </c>
      <c r="G44" s="29">
        <f t="shared" si="20"/>
        <v>0</v>
      </c>
      <c r="H44" s="29">
        <f t="shared" si="20"/>
        <v>0</v>
      </c>
      <c r="I44" s="29">
        <f t="shared" si="20"/>
        <v>0</v>
      </c>
      <c r="J44" s="29">
        <f t="shared" si="20"/>
        <v>0</v>
      </c>
      <c r="K44" s="29">
        <f t="shared" si="20"/>
        <v>0</v>
      </c>
      <c r="L44" s="29">
        <f t="shared" si="20"/>
        <v>0</v>
      </c>
      <c r="M44" s="29">
        <f t="shared" si="20"/>
        <v>0</v>
      </c>
      <c r="N44" s="29">
        <f t="shared" si="20"/>
        <v>0</v>
      </c>
      <c r="O44" s="29">
        <f t="shared" si="20"/>
        <v>14</v>
      </c>
      <c r="P44" s="29">
        <f t="shared" si="20"/>
        <v>0</v>
      </c>
      <c r="Q44" s="29">
        <f t="shared" si="20"/>
        <v>0</v>
      </c>
      <c r="R44" s="29">
        <f t="shared" si="20"/>
        <v>0</v>
      </c>
      <c r="S44" s="29">
        <f t="shared" si="20"/>
        <v>0</v>
      </c>
      <c r="T44" s="29">
        <f t="shared" si="20"/>
        <v>0</v>
      </c>
    </row>
    <row r="45" spans="1:20" s="38" customFormat="1" ht="22.5" customHeight="1">
      <c r="A45" s="57"/>
      <c r="B45" s="58" t="s">
        <v>820</v>
      </c>
      <c r="C45" s="29"/>
      <c r="D45" s="29"/>
      <c r="E45" s="29">
        <f t="shared" si="10"/>
        <v>14</v>
      </c>
      <c r="F45" s="29"/>
      <c r="G45" s="29"/>
      <c r="H45" s="29"/>
      <c r="I45" s="29"/>
      <c r="J45" s="29"/>
      <c r="K45" s="29"/>
      <c r="L45" s="29"/>
      <c r="M45" s="29"/>
      <c r="N45" s="29"/>
      <c r="O45" s="29">
        <v>14</v>
      </c>
      <c r="P45" s="29"/>
      <c r="Q45" s="29"/>
      <c r="R45" s="29"/>
      <c r="S45" s="29"/>
      <c r="T45" s="29"/>
    </row>
    <row r="46" spans="1:20" s="38" customFormat="1" ht="22.5" customHeight="1">
      <c r="A46" s="57"/>
      <c r="B46" s="58" t="s">
        <v>821</v>
      </c>
      <c r="C46" s="29"/>
      <c r="D46" s="29"/>
      <c r="E46" s="29">
        <f t="shared" si="10"/>
        <v>0</v>
      </c>
      <c r="F46" s="29"/>
      <c r="G46" s="29"/>
      <c r="H46" s="29"/>
      <c r="I46" s="29"/>
      <c r="J46" s="29"/>
      <c r="K46" s="29"/>
      <c r="L46" s="29"/>
      <c r="M46" s="29"/>
      <c r="N46" s="29"/>
      <c r="O46" s="29"/>
      <c r="P46" s="29"/>
      <c r="Q46" s="29"/>
      <c r="R46" s="29"/>
      <c r="S46" s="29"/>
      <c r="T46" s="29"/>
    </row>
    <row r="47" spans="1:20" ht="22.5" customHeight="1">
      <c r="A47" s="48">
        <v>4</v>
      </c>
      <c r="B47" s="44" t="s">
        <v>700</v>
      </c>
      <c r="C47" s="29">
        <f>C48+C49</f>
        <v>0</v>
      </c>
      <c r="D47" s="29">
        <f t="shared" ref="D47:T47" si="21">D48+D49</f>
        <v>0</v>
      </c>
      <c r="E47" s="29">
        <f t="shared" si="10"/>
        <v>979</v>
      </c>
      <c r="F47" s="29">
        <f t="shared" si="21"/>
        <v>0</v>
      </c>
      <c r="G47" s="29">
        <f t="shared" si="21"/>
        <v>0</v>
      </c>
      <c r="H47" s="29">
        <f t="shared" si="21"/>
        <v>0</v>
      </c>
      <c r="I47" s="29">
        <f t="shared" si="21"/>
        <v>0</v>
      </c>
      <c r="J47" s="29">
        <f t="shared" si="21"/>
        <v>0</v>
      </c>
      <c r="K47" s="29">
        <f t="shared" si="21"/>
        <v>979</v>
      </c>
      <c r="L47" s="29">
        <f t="shared" si="21"/>
        <v>0</v>
      </c>
      <c r="M47" s="29">
        <f t="shared" si="21"/>
        <v>0</v>
      </c>
      <c r="N47" s="29">
        <f t="shared" si="21"/>
        <v>0</v>
      </c>
      <c r="O47" s="29">
        <f t="shared" si="21"/>
        <v>0</v>
      </c>
      <c r="P47" s="29">
        <f t="shared" si="21"/>
        <v>0</v>
      </c>
      <c r="Q47" s="29">
        <f t="shared" si="21"/>
        <v>0</v>
      </c>
      <c r="R47" s="29">
        <f t="shared" si="21"/>
        <v>0</v>
      </c>
      <c r="S47" s="29">
        <f t="shared" si="21"/>
        <v>0</v>
      </c>
      <c r="T47" s="29">
        <f t="shared" si="21"/>
        <v>0</v>
      </c>
    </row>
    <row r="48" spans="1:20" s="38" customFormat="1" ht="22.5" customHeight="1">
      <c r="A48" s="57"/>
      <c r="B48" s="58" t="s">
        <v>820</v>
      </c>
      <c r="C48" s="29">
        <f>C51+C54</f>
        <v>0</v>
      </c>
      <c r="D48" s="29">
        <f t="shared" ref="D48:T49" si="22">D51+D54</f>
        <v>0</v>
      </c>
      <c r="E48" s="29">
        <f t="shared" si="10"/>
        <v>979</v>
      </c>
      <c r="F48" s="29">
        <f t="shared" si="22"/>
        <v>0</v>
      </c>
      <c r="G48" s="29">
        <f t="shared" si="22"/>
        <v>0</v>
      </c>
      <c r="H48" s="29">
        <f t="shared" si="22"/>
        <v>0</v>
      </c>
      <c r="I48" s="29">
        <f t="shared" si="22"/>
        <v>0</v>
      </c>
      <c r="J48" s="29">
        <f t="shared" si="22"/>
        <v>0</v>
      </c>
      <c r="K48" s="29">
        <f t="shared" si="22"/>
        <v>979</v>
      </c>
      <c r="L48" s="29">
        <f t="shared" si="22"/>
        <v>0</v>
      </c>
      <c r="M48" s="29">
        <f t="shared" si="22"/>
        <v>0</v>
      </c>
      <c r="N48" s="29">
        <f t="shared" si="22"/>
        <v>0</v>
      </c>
      <c r="O48" s="29">
        <f t="shared" si="22"/>
        <v>0</v>
      </c>
      <c r="P48" s="29">
        <f t="shared" si="22"/>
        <v>0</v>
      </c>
      <c r="Q48" s="29">
        <f t="shared" si="22"/>
        <v>0</v>
      </c>
      <c r="R48" s="29">
        <f t="shared" si="22"/>
        <v>0</v>
      </c>
      <c r="S48" s="29">
        <f t="shared" si="22"/>
        <v>0</v>
      </c>
      <c r="T48" s="29">
        <f t="shared" si="22"/>
        <v>0</v>
      </c>
    </row>
    <row r="49" spans="1:20" s="38" customFormat="1" ht="22.5" customHeight="1">
      <c r="A49" s="57"/>
      <c r="B49" s="58" t="s">
        <v>821</v>
      </c>
      <c r="C49" s="29">
        <f>C52+C55</f>
        <v>0</v>
      </c>
      <c r="D49" s="29">
        <f t="shared" si="22"/>
        <v>0</v>
      </c>
      <c r="E49" s="29">
        <f t="shared" si="10"/>
        <v>0</v>
      </c>
      <c r="F49" s="29">
        <f t="shared" si="22"/>
        <v>0</v>
      </c>
      <c r="G49" s="29">
        <f t="shared" si="22"/>
        <v>0</v>
      </c>
      <c r="H49" s="29">
        <f t="shared" si="22"/>
        <v>0</v>
      </c>
      <c r="I49" s="29">
        <f t="shared" si="22"/>
        <v>0</v>
      </c>
      <c r="J49" s="29">
        <f t="shared" si="22"/>
        <v>0</v>
      </c>
      <c r="K49" s="29">
        <f t="shared" si="22"/>
        <v>0</v>
      </c>
      <c r="L49" s="29">
        <f t="shared" si="22"/>
        <v>0</v>
      </c>
      <c r="M49" s="29">
        <f t="shared" si="22"/>
        <v>0</v>
      </c>
      <c r="N49" s="29">
        <f t="shared" si="22"/>
        <v>0</v>
      </c>
      <c r="O49" s="29">
        <f t="shared" si="22"/>
        <v>0</v>
      </c>
      <c r="P49" s="29">
        <f t="shared" si="22"/>
        <v>0</v>
      </c>
      <c r="Q49" s="29">
        <f t="shared" si="22"/>
        <v>0</v>
      </c>
      <c r="R49" s="29">
        <f t="shared" si="22"/>
        <v>0</v>
      </c>
      <c r="S49" s="29">
        <f t="shared" si="22"/>
        <v>0</v>
      </c>
      <c r="T49" s="29">
        <f t="shared" si="22"/>
        <v>0</v>
      </c>
    </row>
    <row r="50" spans="1:20" ht="22.5" customHeight="1">
      <c r="A50" s="48"/>
      <c r="B50" s="44" t="s">
        <v>690</v>
      </c>
      <c r="C50" s="29">
        <f>C51+C52</f>
        <v>0</v>
      </c>
      <c r="D50" s="29">
        <f t="shared" ref="D50:T50" si="23">D51+D52</f>
        <v>0</v>
      </c>
      <c r="E50" s="29">
        <f t="shared" si="10"/>
        <v>950</v>
      </c>
      <c r="F50" s="29">
        <f t="shared" si="23"/>
        <v>0</v>
      </c>
      <c r="G50" s="29">
        <f t="shared" si="23"/>
        <v>0</v>
      </c>
      <c r="H50" s="29">
        <f t="shared" si="23"/>
        <v>0</v>
      </c>
      <c r="I50" s="29">
        <f t="shared" si="23"/>
        <v>0</v>
      </c>
      <c r="J50" s="29">
        <f t="shared" si="23"/>
        <v>0</v>
      </c>
      <c r="K50" s="29">
        <f t="shared" si="23"/>
        <v>950</v>
      </c>
      <c r="L50" s="29">
        <f t="shared" si="23"/>
        <v>0</v>
      </c>
      <c r="M50" s="29">
        <f t="shared" si="23"/>
        <v>0</v>
      </c>
      <c r="N50" s="29">
        <f t="shared" si="23"/>
        <v>0</v>
      </c>
      <c r="O50" s="29">
        <f t="shared" si="23"/>
        <v>0</v>
      </c>
      <c r="P50" s="29">
        <f t="shared" si="23"/>
        <v>0</v>
      </c>
      <c r="Q50" s="29">
        <f t="shared" si="23"/>
        <v>0</v>
      </c>
      <c r="R50" s="29">
        <f t="shared" si="23"/>
        <v>0</v>
      </c>
      <c r="S50" s="29">
        <f t="shared" si="23"/>
        <v>0</v>
      </c>
      <c r="T50" s="29">
        <f t="shared" si="23"/>
        <v>0</v>
      </c>
    </row>
    <row r="51" spans="1:20" s="38" customFormat="1" ht="22.5" customHeight="1">
      <c r="A51" s="57"/>
      <c r="B51" s="58" t="s">
        <v>820</v>
      </c>
      <c r="C51" s="29"/>
      <c r="D51" s="29"/>
      <c r="E51" s="29">
        <f t="shared" si="10"/>
        <v>950</v>
      </c>
      <c r="F51" s="29"/>
      <c r="G51" s="29"/>
      <c r="H51" s="29"/>
      <c r="I51" s="29"/>
      <c r="J51" s="29"/>
      <c r="K51" s="29">
        <f>'[4]38.1TW'!K15</f>
        <v>950</v>
      </c>
      <c r="L51" s="29"/>
      <c r="M51" s="29"/>
      <c r="N51" s="29"/>
      <c r="O51" s="29"/>
      <c r="P51" s="29"/>
      <c r="Q51" s="29"/>
      <c r="R51" s="29"/>
      <c r="S51" s="29"/>
      <c r="T51" s="29"/>
    </row>
    <row r="52" spans="1:20" s="38" customFormat="1" ht="22.5" customHeight="1">
      <c r="A52" s="57"/>
      <c r="B52" s="58" t="s">
        <v>821</v>
      </c>
      <c r="C52" s="29"/>
      <c r="D52" s="29"/>
      <c r="E52" s="29">
        <f t="shared" si="10"/>
        <v>0</v>
      </c>
      <c r="F52" s="29"/>
      <c r="G52" s="29"/>
      <c r="H52" s="29"/>
      <c r="I52" s="29"/>
      <c r="J52" s="29"/>
      <c r="K52" s="29"/>
      <c r="L52" s="29"/>
      <c r="M52" s="29"/>
      <c r="N52" s="29"/>
      <c r="O52" s="29"/>
      <c r="P52" s="29"/>
      <c r="Q52" s="29"/>
      <c r="R52" s="29"/>
      <c r="S52" s="29"/>
      <c r="T52" s="29"/>
    </row>
    <row r="53" spans="1:20" ht="22.5" customHeight="1">
      <c r="A53" s="48"/>
      <c r="B53" s="44" t="s">
        <v>691</v>
      </c>
      <c r="C53" s="29">
        <f>C54+C55</f>
        <v>0</v>
      </c>
      <c r="D53" s="29">
        <f t="shared" ref="D53:T53" si="24">D54+D55</f>
        <v>0</v>
      </c>
      <c r="E53" s="29">
        <f t="shared" si="24"/>
        <v>29</v>
      </c>
      <c r="F53" s="29">
        <f t="shared" si="24"/>
        <v>0</v>
      </c>
      <c r="G53" s="29">
        <f t="shared" si="24"/>
        <v>0</v>
      </c>
      <c r="H53" s="29">
        <f t="shared" si="24"/>
        <v>0</v>
      </c>
      <c r="I53" s="29">
        <f t="shared" si="24"/>
        <v>0</v>
      </c>
      <c r="J53" s="29">
        <f t="shared" si="24"/>
        <v>0</v>
      </c>
      <c r="K53" s="29">
        <f t="shared" si="24"/>
        <v>29</v>
      </c>
      <c r="L53" s="29">
        <f t="shared" si="24"/>
        <v>0</v>
      </c>
      <c r="M53" s="29">
        <f t="shared" si="24"/>
        <v>0</v>
      </c>
      <c r="N53" s="29">
        <f t="shared" si="24"/>
        <v>0</v>
      </c>
      <c r="O53" s="29">
        <f t="shared" si="24"/>
        <v>0</v>
      </c>
      <c r="P53" s="29">
        <f t="shared" si="24"/>
        <v>0</v>
      </c>
      <c r="Q53" s="29">
        <f t="shared" si="24"/>
        <v>0</v>
      </c>
      <c r="R53" s="29">
        <f t="shared" si="24"/>
        <v>0</v>
      </c>
      <c r="S53" s="29">
        <f t="shared" si="24"/>
        <v>0</v>
      </c>
      <c r="T53" s="29">
        <f t="shared" si="24"/>
        <v>0</v>
      </c>
    </row>
    <row r="54" spans="1:20" s="38" customFormat="1" ht="22.5" customHeight="1">
      <c r="A54" s="57"/>
      <c r="B54" s="58" t="s">
        <v>820</v>
      </c>
      <c r="C54" s="29"/>
      <c r="D54" s="29"/>
      <c r="E54" s="29">
        <f t="shared" si="10"/>
        <v>29</v>
      </c>
      <c r="F54" s="29"/>
      <c r="G54" s="29"/>
      <c r="H54" s="29"/>
      <c r="I54" s="29"/>
      <c r="J54" s="29"/>
      <c r="K54" s="29">
        <v>29</v>
      </c>
      <c r="L54" s="29"/>
      <c r="M54" s="29"/>
      <c r="N54" s="29"/>
      <c r="O54" s="29"/>
      <c r="P54" s="29"/>
      <c r="Q54" s="29"/>
      <c r="R54" s="29"/>
      <c r="S54" s="29"/>
      <c r="T54" s="29"/>
    </row>
    <row r="55" spans="1:20" s="38" customFormat="1" ht="22.5" customHeight="1">
      <c r="A55" s="57"/>
      <c r="B55" s="58" t="s">
        <v>821</v>
      </c>
      <c r="C55" s="29"/>
      <c r="D55" s="29"/>
      <c r="E55" s="29">
        <f t="shared" si="10"/>
        <v>0</v>
      </c>
      <c r="F55" s="29"/>
      <c r="G55" s="29"/>
      <c r="H55" s="29"/>
      <c r="I55" s="29"/>
      <c r="J55" s="29"/>
      <c r="K55" s="29"/>
      <c r="L55" s="29"/>
      <c r="M55" s="29"/>
      <c r="N55" s="29"/>
      <c r="O55" s="29"/>
      <c r="P55" s="29"/>
      <c r="Q55" s="29"/>
      <c r="R55" s="29"/>
      <c r="S55" s="29"/>
      <c r="T55" s="29"/>
    </row>
    <row r="56" spans="1:20" ht="22.5" customHeight="1">
      <c r="A56" s="48">
        <v>5</v>
      </c>
      <c r="B56" s="44" t="s">
        <v>702</v>
      </c>
      <c r="C56" s="29">
        <f>C57+C58</f>
        <v>0</v>
      </c>
      <c r="D56" s="29">
        <f t="shared" ref="D56:T56" si="25">D57+D58</f>
        <v>0</v>
      </c>
      <c r="E56" s="29">
        <f t="shared" si="10"/>
        <v>1005</v>
      </c>
      <c r="F56" s="29">
        <f t="shared" si="25"/>
        <v>0</v>
      </c>
      <c r="G56" s="29">
        <f t="shared" si="25"/>
        <v>0</v>
      </c>
      <c r="H56" s="29">
        <f t="shared" si="25"/>
        <v>0</v>
      </c>
      <c r="I56" s="29">
        <f t="shared" si="25"/>
        <v>0</v>
      </c>
      <c r="J56" s="29">
        <f t="shared" si="25"/>
        <v>0</v>
      </c>
      <c r="K56" s="29">
        <f t="shared" si="25"/>
        <v>0</v>
      </c>
      <c r="L56" s="29">
        <f t="shared" si="25"/>
        <v>0</v>
      </c>
      <c r="M56" s="29">
        <f t="shared" si="25"/>
        <v>0</v>
      </c>
      <c r="N56" s="29">
        <f t="shared" si="25"/>
        <v>0</v>
      </c>
      <c r="O56" s="29">
        <f t="shared" si="25"/>
        <v>1005</v>
      </c>
      <c r="P56" s="29">
        <f t="shared" si="25"/>
        <v>0</v>
      </c>
      <c r="Q56" s="29">
        <f t="shared" si="25"/>
        <v>0</v>
      </c>
      <c r="R56" s="29">
        <f t="shared" si="25"/>
        <v>0</v>
      </c>
      <c r="S56" s="29">
        <f t="shared" si="25"/>
        <v>0</v>
      </c>
      <c r="T56" s="29">
        <f t="shared" si="25"/>
        <v>0</v>
      </c>
    </row>
    <row r="57" spans="1:20" s="38" customFormat="1" ht="22.5" customHeight="1">
      <c r="A57" s="57"/>
      <c r="B57" s="58" t="s">
        <v>820</v>
      </c>
      <c r="C57" s="29">
        <f>C60+C63</f>
        <v>0</v>
      </c>
      <c r="D57" s="29">
        <f t="shared" ref="D57:T58" si="26">D60+D63</f>
        <v>0</v>
      </c>
      <c r="E57" s="29">
        <f t="shared" si="10"/>
        <v>15</v>
      </c>
      <c r="F57" s="29">
        <f t="shared" si="26"/>
        <v>0</v>
      </c>
      <c r="G57" s="29">
        <f t="shared" si="26"/>
        <v>0</v>
      </c>
      <c r="H57" s="29">
        <f t="shared" si="26"/>
        <v>0</v>
      </c>
      <c r="I57" s="29">
        <f t="shared" si="26"/>
        <v>0</v>
      </c>
      <c r="J57" s="29">
        <f t="shared" si="26"/>
        <v>0</v>
      </c>
      <c r="K57" s="29">
        <f t="shared" si="26"/>
        <v>0</v>
      </c>
      <c r="L57" s="29">
        <f t="shared" si="26"/>
        <v>0</v>
      </c>
      <c r="M57" s="29">
        <f t="shared" si="26"/>
        <v>0</v>
      </c>
      <c r="N57" s="29">
        <f t="shared" si="26"/>
        <v>0</v>
      </c>
      <c r="O57" s="29">
        <f t="shared" si="26"/>
        <v>15</v>
      </c>
      <c r="P57" s="29">
        <f t="shared" si="26"/>
        <v>0</v>
      </c>
      <c r="Q57" s="29">
        <f t="shared" si="26"/>
        <v>0</v>
      </c>
      <c r="R57" s="29">
        <f t="shared" si="26"/>
        <v>0</v>
      </c>
      <c r="S57" s="29">
        <f t="shared" si="26"/>
        <v>0</v>
      </c>
      <c r="T57" s="29">
        <f t="shared" si="26"/>
        <v>0</v>
      </c>
    </row>
    <row r="58" spans="1:20" s="38" customFormat="1" ht="22.5" customHeight="1">
      <c r="A58" s="57"/>
      <c r="B58" s="58" t="s">
        <v>821</v>
      </c>
      <c r="C58" s="29">
        <f>C61+C64</f>
        <v>0</v>
      </c>
      <c r="D58" s="29">
        <f t="shared" si="26"/>
        <v>0</v>
      </c>
      <c r="E58" s="29">
        <f t="shared" si="10"/>
        <v>990</v>
      </c>
      <c r="F58" s="29">
        <f t="shared" si="26"/>
        <v>0</v>
      </c>
      <c r="G58" s="29">
        <f t="shared" si="26"/>
        <v>0</v>
      </c>
      <c r="H58" s="29">
        <f t="shared" si="26"/>
        <v>0</v>
      </c>
      <c r="I58" s="29">
        <f t="shared" si="26"/>
        <v>0</v>
      </c>
      <c r="J58" s="29">
        <f t="shared" si="26"/>
        <v>0</v>
      </c>
      <c r="K58" s="29">
        <f t="shared" si="26"/>
        <v>0</v>
      </c>
      <c r="L58" s="29">
        <f t="shared" si="26"/>
        <v>0</v>
      </c>
      <c r="M58" s="29">
        <f t="shared" si="26"/>
        <v>0</v>
      </c>
      <c r="N58" s="29">
        <f t="shared" si="26"/>
        <v>0</v>
      </c>
      <c r="O58" s="29">
        <f t="shared" si="26"/>
        <v>990</v>
      </c>
      <c r="P58" s="29">
        <f t="shared" si="26"/>
        <v>0</v>
      </c>
      <c r="Q58" s="29">
        <f t="shared" si="26"/>
        <v>0</v>
      </c>
      <c r="R58" s="29">
        <f t="shared" si="26"/>
        <v>0</v>
      </c>
      <c r="S58" s="29">
        <f t="shared" si="26"/>
        <v>0</v>
      </c>
      <c r="T58" s="29">
        <f t="shared" si="26"/>
        <v>0</v>
      </c>
    </row>
    <row r="59" spans="1:20" ht="22.5" customHeight="1">
      <c r="A59" s="48"/>
      <c r="B59" s="44" t="s">
        <v>690</v>
      </c>
      <c r="C59" s="29">
        <f>C60+C61</f>
        <v>0</v>
      </c>
      <c r="D59" s="29">
        <f t="shared" ref="D59:T59" si="27">D60+D61</f>
        <v>0</v>
      </c>
      <c r="E59" s="29">
        <f t="shared" si="10"/>
        <v>0</v>
      </c>
      <c r="F59" s="29">
        <f t="shared" si="27"/>
        <v>0</v>
      </c>
      <c r="G59" s="29">
        <f t="shared" si="27"/>
        <v>0</v>
      </c>
      <c r="H59" s="29">
        <f t="shared" si="27"/>
        <v>0</v>
      </c>
      <c r="I59" s="29">
        <f t="shared" si="27"/>
        <v>0</v>
      </c>
      <c r="J59" s="29">
        <f t="shared" si="27"/>
        <v>0</v>
      </c>
      <c r="K59" s="29">
        <f t="shared" si="27"/>
        <v>0</v>
      </c>
      <c r="L59" s="29">
        <f t="shared" si="27"/>
        <v>0</v>
      </c>
      <c r="M59" s="29">
        <f t="shared" si="27"/>
        <v>0</v>
      </c>
      <c r="N59" s="29">
        <f t="shared" si="27"/>
        <v>0</v>
      </c>
      <c r="O59" s="29">
        <f t="shared" si="27"/>
        <v>0</v>
      </c>
      <c r="P59" s="29">
        <f t="shared" si="27"/>
        <v>0</v>
      </c>
      <c r="Q59" s="29">
        <f t="shared" si="27"/>
        <v>0</v>
      </c>
      <c r="R59" s="29">
        <f t="shared" si="27"/>
        <v>0</v>
      </c>
      <c r="S59" s="29">
        <f t="shared" si="27"/>
        <v>0</v>
      </c>
      <c r="T59" s="29">
        <f t="shared" si="27"/>
        <v>0</v>
      </c>
    </row>
    <row r="60" spans="1:20" s="38" customFormat="1" ht="22.5" customHeight="1">
      <c r="A60" s="57"/>
      <c r="B60" s="58" t="s">
        <v>820</v>
      </c>
      <c r="C60" s="29"/>
      <c r="D60" s="29"/>
      <c r="E60" s="29">
        <f t="shared" si="10"/>
        <v>0</v>
      </c>
      <c r="F60" s="29"/>
      <c r="G60" s="29"/>
      <c r="H60" s="29"/>
      <c r="I60" s="29"/>
      <c r="J60" s="29"/>
      <c r="K60" s="29"/>
      <c r="L60" s="29"/>
      <c r="M60" s="29"/>
      <c r="N60" s="29"/>
      <c r="O60" s="29"/>
      <c r="P60" s="29"/>
      <c r="Q60" s="29"/>
      <c r="R60" s="29"/>
      <c r="S60" s="29"/>
      <c r="T60" s="29"/>
    </row>
    <row r="61" spans="1:20" s="38" customFormat="1" ht="22.5" customHeight="1">
      <c r="A61" s="57"/>
      <c r="B61" s="58" t="s">
        <v>821</v>
      </c>
      <c r="C61" s="29"/>
      <c r="D61" s="29"/>
      <c r="E61" s="29">
        <f t="shared" si="10"/>
        <v>0</v>
      </c>
      <c r="F61" s="29"/>
      <c r="G61" s="29"/>
      <c r="H61" s="29"/>
      <c r="I61" s="29"/>
      <c r="J61" s="29"/>
      <c r="K61" s="29"/>
      <c r="L61" s="29"/>
      <c r="M61" s="29"/>
      <c r="N61" s="29"/>
      <c r="O61" s="29"/>
      <c r="P61" s="29"/>
      <c r="Q61" s="29"/>
      <c r="R61" s="29"/>
      <c r="S61" s="29"/>
      <c r="T61" s="29"/>
    </row>
    <row r="62" spans="1:20" ht="22.5" customHeight="1">
      <c r="A62" s="48"/>
      <c r="B62" s="44" t="s">
        <v>691</v>
      </c>
      <c r="C62" s="29"/>
      <c r="D62" s="29"/>
      <c r="E62" s="29">
        <f t="shared" si="10"/>
        <v>0</v>
      </c>
      <c r="F62" s="29"/>
      <c r="G62" s="29"/>
      <c r="H62" s="29"/>
      <c r="I62" s="29"/>
      <c r="J62" s="29"/>
      <c r="K62" s="29"/>
      <c r="L62" s="29"/>
      <c r="M62" s="29"/>
      <c r="N62" s="29"/>
      <c r="O62" s="29"/>
      <c r="P62" s="29"/>
      <c r="Q62" s="29"/>
      <c r="R62" s="29"/>
      <c r="S62" s="29"/>
      <c r="T62" s="29"/>
    </row>
    <row r="63" spans="1:20" s="38" customFormat="1" ht="22.5" customHeight="1">
      <c r="A63" s="57"/>
      <c r="B63" s="58" t="s">
        <v>820</v>
      </c>
      <c r="C63" s="29"/>
      <c r="D63" s="29"/>
      <c r="E63" s="29">
        <f t="shared" si="10"/>
        <v>15</v>
      </c>
      <c r="F63" s="29"/>
      <c r="G63" s="29"/>
      <c r="H63" s="29"/>
      <c r="I63" s="29"/>
      <c r="J63" s="29"/>
      <c r="K63" s="29"/>
      <c r="L63" s="29"/>
      <c r="M63" s="29"/>
      <c r="N63" s="29"/>
      <c r="O63" s="29">
        <v>15</v>
      </c>
      <c r="P63" s="29"/>
      <c r="Q63" s="29"/>
      <c r="R63" s="29"/>
      <c r="S63" s="29"/>
      <c r="T63" s="29"/>
    </row>
    <row r="64" spans="1:20" s="38" customFormat="1" ht="22.5" customHeight="1">
      <c r="A64" s="57"/>
      <c r="B64" s="58" t="s">
        <v>821</v>
      </c>
      <c r="C64" s="29"/>
      <c r="D64" s="29"/>
      <c r="E64" s="29">
        <f t="shared" si="10"/>
        <v>990</v>
      </c>
      <c r="F64" s="29"/>
      <c r="G64" s="29"/>
      <c r="H64" s="29"/>
      <c r="I64" s="29"/>
      <c r="J64" s="29"/>
      <c r="K64" s="29"/>
      <c r="L64" s="29"/>
      <c r="M64" s="29"/>
      <c r="N64" s="29"/>
      <c r="O64" s="29">
        <v>990</v>
      </c>
      <c r="P64" s="29"/>
      <c r="Q64" s="29"/>
      <c r="R64" s="29"/>
      <c r="S64" s="29"/>
      <c r="T64" s="29"/>
    </row>
    <row r="65" spans="1:20" ht="22.5" customHeight="1">
      <c r="A65" s="48">
        <v>6</v>
      </c>
      <c r="B65" s="44" t="s">
        <v>703</v>
      </c>
      <c r="C65" s="29">
        <f>C66+C67</f>
        <v>0</v>
      </c>
      <c r="D65" s="29">
        <f t="shared" ref="D65:T65" si="28">D66+D67</f>
        <v>0</v>
      </c>
      <c r="E65" s="29">
        <f t="shared" si="10"/>
        <v>108637</v>
      </c>
      <c r="F65" s="29">
        <f t="shared" si="28"/>
        <v>0</v>
      </c>
      <c r="G65" s="29">
        <f t="shared" si="28"/>
        <v>0</v>
      </c>
      <c r="H65" s="29">
        <f t="shared" si="28"/>
        <v>0</v>
      </c>
      <c r="I65" s="29">
        <f t="shared" si="28"/>
        <v>6717</v>
      </c>
      <c r="J65" s="29">
        <f t="shared" si="28"/>
        <v>0</v>
      </c>
      <c r="K65" s="29">
        <f t="shared" si="28"/>
        <v>0</v>
      </c>
      <c r="L65" s="29">
        <f t="shared" si="28"/>
        <v>0</v>
      </c>
      <c r="M65" s="29">
        <f t="shared" si="28"/>
        <v>0</v>
      </c>
      <c r="N65" s="29">
        <f t="shared" si="28"/>
        <v>0</v>
      </c>
      <c r="O65" s="29">
        <f t="shared" si="28"/>
        <v>101920</v>
      </c>
      <c r="P65" s="29">
        <f t="shared" si="28"/>
        <v>0</v>
      </c>
      <c r="Q65" s="29">
        <f t="shared" si="28"/>
        <v>0</v>
      </c>
      <c r="R65" s="29">
        <f t="shared" si="28"/>
        <v>0</v>
      </c>
      <c r="S65" s="29">
        <f t="shared" si="28"/>
        <v>0</v>
      </c>
      <c r="T65" s="29">
        <f t="shared" si="28"/>
        <v>0</v>
      </c>
    </row>
    <row r="66" spans="1:20" s="38" customFormat="1" ht="22.5" customHeight="1">
      <c r="A66" s="57"/>
      <c r="B66" s="58" t="s">
        <v>820</v>
      </c>
      <c r="C66" s="29">
        <f>C69+C72</f>
        <v>0</v>
      </c>
      <c r="D66" s="29">
        <f t="shared" ref="D66:T67" si="29">D69+D72</f>
        <v>0</v>
      </c>
      <c r="E66" s="29">
        <f t="shared" si="10"/>
        <v>30</v>
      </c>
      <c r="F66" s="29">
        <f t="shared" si="29"/>
        <v>0</v>
      </c>
      <c r="G66" s="29">
        <f t="shared" si="29"/>
        <v>0</v>
      </c>
      <c r="H66" s="29">
        <f t="shared" si="29"/>
        <v>0</v>
      </c>
      <c r="I66" s="29">
        <f t="shared" si="29"/>
        <v>0</v>
      </c>
      <c r="J66" s="29">
        <f t="shared" si="29"/>
        <v>0</v>
      </c>
      <c r="K66" s="29">
        <f t="shared" si="29"/>
        <v>0</v>
      </c>
      <c r="L66" s="29">
        <f t="shared" si="29"/>
        <v>0</v>
      </c>
      <c r="M66" s="29">
        <f t="shared" si="29"/>
        <v>0</v>
      </c>
      <c r="N66" s="29">
        <f t="shared" si="29"/>
        <v>0</v>
      </c>
      <c r="O66" s="29">
        <f t="shared" si="29"/>
        <v>30</v>
      </c>
      <c r="P66" s="29">
        <f t="shared" si="29"/>
        <v>0</v>
      </c>
      <c r="Q66" s="29">
        <f t="shared" si="29"/>
        <v>0</v>
      </c>
      <c r="R66" s="29">
        <f t="shared" si="29"/>
        <v>0</v>
      </c>
      <c r="S66" s="29">
        <f t="shared" si="29"/>
        <v>0</v>
      </c>
      <c r="T66" s="29">
        <f t="shared" si="29"/>
        <v>0</v>
      </c>
    </row>
    <row r="67" spans="1:20" s="38" customFormat="1" ht="22.5" customHeight="1">
      <c r="A67" s="57"/>
      <c r="B67" s="58" t="s">
        <v>821</v>
      </c>
      <c r="C67" s="29">
        <f>C70+C73</f>
        <v>0</v>
      </c>
      <c r="D67" s="29">
        <f t="shared" si="29"/>
        <v>0</v>
      </c>
      <c r="E67" s="29">
        <f t="shared" si="10"/>
        <v>108607</v>
      </c>
      <c r="F67" s="29">
        <f t="shared" si="29"/>
        <v>0</v>
      </c>
      <c r="G67" s="29">
        <f t="shared" si="29"/>
        <v>0</v>
      </c>
      <c r="H67" s="29">
        <f t="shared" si="29"/>
        <v>0</v>
      </c>
      <c r="I67" s="29">
        <f t="shared" si="29"/>
        <v>6717</v>
      </c>
      <c r="J67" s="29">
        <f t="shared" si="29"/>
        <v>0</v>
      </c>
      <c r="K67" s="29">
        <f t="shared" si="29"/>
        <v>0</v>
      </c>
      <c r="L67" s="29">
        <f t="shared" si="29"/>
        <v>0</v>
      </c>
      <c r="M67" s="29">
        <f t="shared" si="29"/>
        <v>0</v>
      </c>
      <c r="N67" s="29">
        <f t="shared" si="29"/>
        <v>0</v>
      </c>
      <c r="O67" s="29">
        <f t="shared" si="29"/>
        <v>101890</v>
      </c>
      <c r="P67" s="29">
        <f t="shared" si="29"/>
        <v>0</v>
      </c>
      <c r="Q67" s="29">
        <f t="shared" si="29"/>
        <v>0</v>
      </c>
      <c r="R67" s="29">
        <f t="shared" si="29"/>
        <v>0</v>
      </c>
      <c r="S67" s="29">
        <f t="shared" si="29"/>
        <v>0</v>
      </c>
      <c r="T67" s="29">
        <f t="shared" si="29"/>
        <v>0</v>
      </c>
    </row>
    <row r="68" spans="1:20" ht="22.5" customHeight="1">
      <c r="A68" s="48"/>
      <c r="B68" s="44" t="s">
        <v>690</v>
      </c>
      <c r="C68" s="29">
        <f>C69+C70</f>
        <v>0</v>
      </c>
      <c r="D68" s="29">
        <f t="shared" ref="D68:T68" si="30">D69+D70</f>
        <v>0</v>
      </c>
      <c r="E68" s="29">
        <f t="shared" si="10"/>
        <v>68204</v>
      </c>
      <c r="F68" s="29">
        <f t="shared" si="30"/>
        <v>0</v>
      </c>
      <c r="G68" s="29">
        <f t="shared" si="30"/>
        <v>0</v>
      </c>
      <c r="H68" s="29">
        <f t="shared" si="30"/>
        <v>0</v>
      </c>
      <c r="I68" s="29">
        <f t="shared" si="30"/>
        <v>5547</v>
      </c>
      <c r="J68" s="29">
        <f t="shared" si="30"/>
        <v>0</v>
      </c>
      <c r="K68" s="29">
        <f t="shared" si="30"/>
        <v>0</v>
      </c>
      <c r="L68" s="29">
        <f t="shared" si="30"/>
        <v>0</v>
      </c>
      <c r="M68" s="29">
        <f t="shared" si="30"/>
        <v>0</v>
      </c>
      <c r="N68" s="29">
        <f t="shared" si="30"/>
        <v>0</v>
      </c>
      <c r="O68" s="29">
        <f t="shared" si="30"/>
        <v>62657</v>
      </c>
      <c r="P68" s="29">
        <f t="shared" si="30"/>
        <v>0</v>
      </c>
      <c r="Q68" s="29">
        <f t="shared" si="30"/>
        <v>0</v>
      </c>
      <c r="R68" s="29">
        <f t="shared" si="30"/>
        <v>0</v>
      </c>
      <c r="S68" s="29">
        <f t="shared" si="30"/>
        <v>0</v>
      </c>
      <c r="T68" s="29">
        <f t="shared" si="30"/>
        <v>0</v>
      </c>
    </row>
    <row r="69" spans="1:20" s="38" customFormat="1" ht="22.5" customHeight="1">
      <c r="A69" s="57"/>
      <c r="B69" s="58" t="s">
        <v>820</v>
      </c>
      <c r="C69" s="29"/>
      <c r="D69" s="29"/>
      <c r="E69" s="29">
        <f t="shared" si="10"/>
        <v>0</v>
      </c>
      <c r="F69" s="29"/>
      <c r="G69" s="29"/>
      <c r="H69" s="29"/>
      <c r="I69" s="29"/>
      <c r="J69" s="29"/>
      <c r="K69" s="29"/>
      <c r="L69" s="29"/>
      <c r="M69" s="29"/>
      <c r="N69" s="29"/>
      <c r="O69" s="29"/>
      <c r="P69" s="29"/>
      <c r="Q69" s="29"/>
      <c r="R69" s="29"/>
      <c r="S69" s="29"/>
      <c r="T69" s="29"/>
    </row>
    <row r="70" spans="1:20" s="38" customFormat="1" ht="22.5" customHeight="1">
      <c r="A70" s="57"/>
      <c r="B70" s="58" t="s">
        <v>821</v>
      </c>
      <c r="C70" s="29"/>
      <c r="D70" s="29"/>
      <c r="E70" s="29">
        <f t="shared" si="10"/>
        <v>68204</v>
      </c>
      <c r="F70" s="29"/>
      <c r="G70" s="29"/>
      <c r="H70" s="29"/>
      <c r="I70" s="29">
        <f>4266+1281</f>
        <v>5547</v>
      </c>
      <c r="J70" s="29"/>
      <c r="K70" s="29"/>
      <c r="L70" s="29"/>
      <c r="M70" s="29"/>
      <c r="N70" s="29"/>
      <c r="O70" s="29">
        <f>62657</f>
        <v>62657</v>
      </c>
      <c r="P70" s="29"/>
      <c r="Q70" s="29"/>
      <c r="R70" s="29"/>
      <c r="S70" s="29"/>
      <c r="T70" s="29"/>
    </row>
    <row r="71" spans="1:20" ht="22.5" customHeight="1">
      <c r="A71" s="48"/>
      <c r="B71" s="44" t="s">
        <v>691</v>
      </c>
      <c r="C71" s="29">
        <f>C72+C73</f>
        <v>0</v>
      </c>
      <c r="D71" s="29">
        <f t="shared" ref="D71:T71" si="31">D72+D73</f>
        <v>0</v>
      </c>
      <c r="E71" s="29">
        <f t="shared" si="31"/>
        <v>40433</v>
      </c>
      <c r="F71" s="29">
        <f t="shared" si="31"/>
        <v>0</v>
      </c>
      <c r="G71" s="29">
        <f t="shared" si="31"/>
        <v>0</v>
      </c>
      <c r="H71" s="29">
        <f t="shared" si="31"/>
        <v>0</v>
      </c>
      <c r="I71" s="29">
        <f t="shared" si="31"/>
        <v>1170</v>
      </c>
      <c r="J71" s="29">
        <f t="shared" si="31"/>
        <v>0</v>
      </c>
      <c r="K71" s="29">
        <f t="shared" si="31"/>
        <v>0</v>
      </c>
      <c r="L71" s="29">
        <f t="shared" si="31"/>
        <v>0</v>
      </c>
      <c r="M71" s="29">
        <f t="shared" si="31"/>
        <v>0</v>
      </c>
      <c r="N71" s="29">
        <f t="shared" si="31"/>
        <v>0</v>
      </c>
      <c r="O71" s="29">
        <f t="shared" si="31"/>
        <v>39263</v>
      </c>
      <c r="P71" s="29">
        <f t="shared" si="31"/>
        <v>0</v>
      </c>
      <c r="Q71" s="29">
        <f t="shared" si="31"/>
        <v>0</v>
      </c>
      <c r="R71" s="29">
        <f t="shared" si="31"/>
        <v>0</v>
      </c>
      <c r="S71" s="29">
        <f t="shared" si="31"/>
        <v>0</v>
      </c>
      <c r="T71" s="29">
        <f t="shared" si="31"/>
        <v>0</v>
      </c>
    </row>
    <row r="72" spans="1:20" s="38" customFormat="1" ht="22.5" customHeight="1">
      <c r="A72" s="57"/>
      <c r="B72" s="58" t="s">
        <v>820</v>
      </c>
      <c r="C72" s="29"/>
      <c r="D72" s="29"/>
      <c r="E72" s="29">
        <f t="shared" si="10"/>
        <v>30</v>
      </c>
      <c r="F72" s="29"/>
      <c r="G72" s="29"/>
      <c r="H72" s="29"/>
      <c r="I72" s="29"/>
      <c r="J72" s="29"/>
      <c r="K72" s="29"/>
      <c r="L72" s="29"/>
      <c r="M72" s="29"/>
      <c r="N72" s="29"/>
      <c r="O72" s="29">
        <v>30</v>
      </c>
      <c r="P72" s="29"/>
      <c r="Q72" s="29"/>
      <c r="R72" s="29"/>
      <c r="S72" s="29"/>
      <c r="T72" s="29"/>
    </row>
    <row r="73" spans="1:20" s="38" customFormat="1" ht="22.5" customHeight="1">
      <c r="A73" s="57"/>
      <c r="B73" s="58" t="s">
        <v>821</v>
      </c>
      <c r="C73" s="29"/>
      <c r="D73" s="29"/>
      <c r="E73" s="29">
        <f t="shared" si="10"/>
        <v>40403</v>
      </c>
      <c r="F73" s="29"/>
      <c r="G73" s="29"/>
      <c r="H73" s="29"/>
      <c r="I73" s="29">
        <v>1170</v>
      </c>
      <c r="J73" s="29"/>
      <c r="K73" s="29"/>
      <c r="L73" s="29"/>
      <c r="M73" s="29"/>
      <c r="N73" s="29"/>
      <c r="O73" s="29">
        <f>39233</f>
        <v>39233</v>
      </c>
      <c r="P73" s="29"/>
      <c r="Q73" s="29"/>
      <c r="R73" s="29"/>
      <c r="S73" s="29"/>
      <c r="T73" s="29"/>
    </row>
    <row r="74" spans="1:20" ht="22.5" customHeight="1">
      <c r="A74" s="48">
        <v>7</v>
      </c>
      <c r="B74" s="44" t="s">
        <v>704</v>
      </c>
      <c r="C74" s="29">
        <f>C75+C76</f>
        <v>0</v>
      </c>
      <c r="D74" s="29">
        <f t="shared" ref="D74:T74" si="32">D75+D76</f>
        <v>0</v>
      </c>
      <c r="E74" s="29">
        <f t="shared" si="10"/>
        <v>39666</v>
      </c>
      <c r="F74" s="29">
        <f t="shared" si="32"/>
        <v>39666</v>
      </c>
      <c r="G74" s="29">
        <f t="shared" si="32"/>
        <v>0</v>
      </c>
      <c r="H74" s="29">
        <f t="shared" si="32"/>
        <v>0</v>
      </c>
      <c r="I74" s="29">
        <f t="shared" si="32"/>
        <v>0</v>
      </c>
      <c r="J74" s="29">
        <f t="shared" si="32"/>
        <v>0</v>
      </c>
      <c r="K74" s="29">
        <f t="shared" si="32"/>
        <v>0</v>
      </c>
      <c r="L74" s="29">
        <f t="shared" si="32"/>
        <v>0</v>
      </c>
      <c r="M74" s="29">
        <f t="shared" si="32"/>
        <v>0</v>
      </c>
      <c r="N74" s="29">
        <f t="shared" si="32"/>
        <v>0</v>
      </c>
      <c r="O74" s="29">
        <f t="shared" si="32"/>
        <v>0</v>
      </c>
      <c r="P74" s="29">
        <f t="shared" si="32"/>
        <v>0</v>
      </c>
      <c r="Q74" s="29">
        <f t="shared" si="32"/>
        <v>0</v>
      </c>
      <c r="R74" s="29">
        <f t="shared" si="32"/>
        <v>0</v>
      </c>
      <c r="S74" s="29">
        <f t="shared" si="32"/>
        <v>0</v>
      </c>
      <c r="T74" s="29">
        <f t="shared" si="32"/>
        <v>0</v>
      </c>
    </row>
    <row r="75" spans="1:20" s="38" customFormat="1" ht="22.5" customHeight="1">
      <c r="A75" s="57"/>
      <c r="B75" s="58" t="s">
        <v>820</v>
      </c>
      <c r="C75" s="29">
        <f>C78+C81</f>
        <v>0</v>
      </c>
      <c r="D75" s="29">
        <f t="shared" ref="D75:T76" si="33">D78+D81</f>
        <v>0</v>
      </c>
      <c r="E75" s="29">
        <f t="shared" si="10"/>
        <v>80</v>
      </c>
      <c r="F75" s="29">
        <f t="shared" si="33"/>
        <v>80</v>
      </c>
      <c r="G75" s="29">
        <f t="shared" si="33"/>
        <v>0</v>
      </c>
      <c r="H75" s="29">
        <f t="shared" si="33"/>
        <v>0</v>
      </c>
      <c r="I75" s="29">
        <f t="shared" si="33"/>
        <v>0</v>
      </c>
      <c r="J75" s="29">
        <f t="shared" si="33"/>
        <v>0</v>
      </c>
      <c r="K75" s="29">
        <f t="shared" si="33"/>
        <v>0</v>
      </c>
      <c r="L75" s="29">
        <f t="shared" si="33"/>
        <v>0</v>
      </c>
      <c r="M75" s="29">
        <f t="shared" si="33"/>
        <v>0</v>
      </c>
      <c r="N75" s="29">
        <f t="shared" si="33"/>
        <v>0</v>
      </c>
      <c r="O75" s="29">
        <f t="shared" si="33"/>
        <v>0</v>
      </c>
      <c r="P75" s="29">
        <f t="shared" si="33"/>
        <v>0</v>
      </c>
      <c r="Q75" s="29">
        <f t="shared" si="33"/>
        <v>0</v>
      </c>
      <c r="R75" s="29">
        <f t="shared" si="33"/>
        <v>0</v>
      </c>
      <c r="S75" s="29">
        <f t="shared" si="33"/>
        <v>0</v>
      </c>
      <c r="T75" s="29">
        <f t="shared" si="33"/>
        <v>0</v>
      </c>
    </row>
    <row r="76" spans="1:20" s="38" customFormat="1" ht="22.5" customHeight="1">
      <c r="A76" s="57"/>
      <c r="B76" s="58" t="s">
        <v>821</v>
      </c>
      <c r="C76" s="29">
        <f>C79+C82</f>
        <v>0</v>
      </c>
      <c r="D76" s="29">
        <f t="shared" si="33"/>
        <v>0</v>
      </c>
      <c r="E76" s="29">
        <f t="shared" si="10"/>
        <v>39586</v>
      </c>
      <c r="F76" s="29">
        <f t="shared" si="33"/>
        <v>39586</v>
      </c>
      <c r="G76" s="29">
        <f t="shared" si="33"/>
        <v>0</v>
      </c>
      <c r="H76" s="29">
        <f t="shared" si="33"/>
        <v>0</v>
      </c>
      <c r="I76" s="29">
        <f t="shared" si="33"/>
        <v>0</v>
      </c>
      <c r="J76" s="29">
        <f t="shared" si="33"/>
        <v>0</v>
      </c>
      <c r="K76" s="29">
        <f t="shared" si="33"/>
        <v>0</v>
      </c>
      <c r="L76" s="29">
        <f t="shared" si="33"/>
        <v>0</v>
      </c>
      <c r="M76" s="29">
        <f t="shared" si="33"/>
        <v>0</v>
      </c>
      <c r="N76" s="29">
        <f t="shared" si="33"/>
        <v>0</v>
      </c>
      <c r="O76" s="29">
        <f t="shared" si="33"/>
        <v>0</v>
      </c>
      <c r="P76" s="29">
        <f t="shared" si="33"/>
        <v>0</v>
      </c>
      <c r="Q76" s="29">
        <f t="shared" si="33"/>
        <v>0</v>
      </c>
      <c r="R76" s="29">
        <f t="shared" si="33"/>
        <v>0</v>
      </c>
      <c r="S76" s="29">
        <f t="shared" si="33"/>
        <v>0</v>
      </c>
      <c r="T76" s="29">
        <f t="shared" si="33"/>
        <v>0</v>
      </c>
    </row>
    <row r="77" spans="1:20" ht="22.5" customHeight="1">
      <c r="A77" s="48"/>
      <c r="B77" s="44" t="s">
        <v>690</v>
      </c>
      <c r="C77" s="29">
        <f>C78+C79</f>
        <v>0</v>
      </c>
      <c r="D77" s="29">
        <f t="shared" ref="D77:T77" si="34">D78+D79</f>
        <v>0</v>
      </c>
      <c r="E77" s="29">
        <f t="shared" si="10"/>
        <v>0</v>
      </c>
      <c r="F77" s="29">
        <f t="shared" si="34"/>
        <v>0</v>
      </c>
      <c r="G77" s="29">
        <f t="shared" si="34"/>
        <v>0</v>
      </c>
      <c r="H77" s="29">
        <f t="shared" si="34"/>
        <v>0</v>
      </c>
      <c r="I77" s="29">
        <f t="shared" si="34"/>
        <v>0</v>
      </c>
      <c r="J77" s="29">
        <f t="shared" si="34"/>
        <v>0</v>
      </c>
      <c r="K77" s="29">
        <f t="shared" si="34"/>
        <v>0</v>
      </c>
      <c r="L77" s="29">
        <f t="shared" si="34"/>
        <v>0</v>
      </c>
      <c r="M77" s="29">
        <f t="shared" si="34"/>
        <v>0</v>
      </c>
      <c r="N77" s="29">
        <f t="shared" si="34"/>
        <v>0</v>
      </c>
      <c r="O77" s="29">
        <f t="shared" si="34"/>
        <v>0</v>
      </c>
      <c r="P77" s="29">
        <f t="shared" si="34"/>
        <v>0</v>
      </c>
      <c r="Q77" s="29">
        <f t="shared" si="34"/>
        <v>0</v>
      </c>
      <c r="R77" s="29">
        <f t="shared" si="34"/>
        <v>0</v>
      </c>
      <c r="S77" s="29">
        <f t="shared" si="34"/>
        <v>0</v>
      </c>
      <c r="T77" s="29">
        <f t="shared" si="34"/>
        <v>0</v>
      </c>
    </row>
    <row r="78" spans="1:20" s="38" customFormat="1" ht="22.5" customHeight="1">
      <c r="A78" s="57"/>
      <c r="B78" s="58" t="s">
        <v>820</v>
      </c>
      <c r="C78" s="29"/>
      <c r="D78" s="29"/>
      <c r="E78" s="29">
        <f t="shared" si="10"/>
        <v>0</v>
      </c>
      <c r="F78" s="29"/>
      <c r="G78" s="29"/>
      <c r="H78" s="29"/>
      <c r="I78" s="29"/>
      <c r="J78" s="29"/>
      <c r="K78" s="29"/>
      <c r="L78" s="29"/>
      <c r="M78" s="29"/>
      <c r="N78" s="29"/>
      <c r="O78" s="29"/>
      <c r="P78" s="29"/>
      <c r="Q78" s="29"/>
      <c r="R78" s="29"/>
      <c r="S78" s="29"/>
      <c r="T78" s="29"/>
    </row>
    <row r="79" spans="1:20" s="38" customFormat="1" ht="22.5" customHeight="1">
      <c r="A79" s="57"/>
      <c r="B79" s="58" t="s">
        <v>821</v>
      </c>
      <c r="C79" s="29"/>
      <c r="D79" s="29"/>
      <c r="E79" s="29">
        <f t="shared" si="10"/>
        <v>0</v>
      </c>
      <c r="F79" s="29"/>
      <c r="G79" s="29"/>
      <c r="H79" s="29"/>
      <c r="I79" s="29"/>
      <c r="J79" s="29"/>
      <c r="K79" s="29"/>
      <c r="L79" s="29"/>
      <c r="M79" s="29"/>
      <c r="N79" s="29"/>
      <c r="O79" s="29"/>
      <c r="P79" s="29"/>
      <c r="Q79" s="29"/>
      <c r="R79" s="29"/>
      <c r="S79" s="29"/>
      <c r="T79" s="29"/>
    </row>
    <row r="80" spans="1:20" ht="22.5" customHeight="1">
      <c r="A80" s="48"/>
      <c r="B80" s="44" t="s">
        <v>691</v>
      </c>
      <c r="C80" s="29">
        <f>C81+C82</f>
        <v>0</v>
      </c>
      <c r="D80" s="29">
        <f t="shared" ref="D80:T80" si="35">D81+D82</f>
        <v>0</v>
      </c>
      <c r="E80" s="29">
        <f t="shared" si="35"/>
        <v>39666</v>
      </c>
      <c r="F80" s="29">
        <f t="shared" si="35"/>
        <v>39666</v>
      </c>
      <c r="G80" s="29">
        <f t="shared" si="35"/>
        <v>0</v>
      </c>
      <c r="H80" s="29">
        <f t="shared" si="35"/>
        <v>0</v>
      </c>
      <c r="I80" s="29">
        <f t="shared" si="35"/>
        <v>0</v>
      </c>
      <c r="J80" s="29">
        <f t="shared" si="35"/>
        <v>0</v>
      </c>
      <c r="K80" s="29">
        <f t="shared" si="35"/>
        <v>0</v>
      </c>
      <c r="L80" s="29">
        <f t="shared" si="35"/>
        <v>0</v>
      </c>
      <c r="M80" s="29">
        <f t="shared" si="35"/>
        <v>0</v>
      </c>
      <c r="N80" s="29">
        <f t="shared" si="35"/>
        <v>0</v>
      </c>
      <c r="O80" s="29">
        <f t="shared" si="35"/>
        <v>0</v>
      </c>
      <c r="P80" s="29">
        <f t="shared" si="35"/>
        <v>0</v>
      </c>
      <c r="Q80" s="29">
        <f t="shared" si="35"/>
        <v>0</v>
      </c>
      <c r="R80" s="29">
        <f t="shared" si="35"/>
        <v>0</v>
      </c>
      <c r="S80" s="29">
        <f t="shared" si="35"/>
        <v>0</v>
      </c>
      <c r="T80" s="29">
        <f t="shared" si="35"/>
        <v>0</v>
      </c>
    </row>
    <row r="81" spans="1:20" s="38" customFormat="1" ht="22.5" customHeight="1">
      <c r="A81" s="57"/>
      <c r="B81" s="58" t="s">
        <v>820</v>
      </c>
      <c r="C81" s="29"/>
      <c r="D81" s="29"/>
      <c r="E81" s="29">
        <f t="shared" si="10"/>
        <v>80</v>
      </c>
      <c r="F81" s="29">
        <v>80</v>
      </c>
      <c r="G81" s="29"/>
      <c r="H81" s="29"/>
      <c r="I81" s="29"/>
      <c r="J81" s="29"/>
      <c r="K81" s="29"/>
      <c r="L81" s="29"/>
      <c r="M81" s="29"/>
      <c r="N81" s="29"/>
      <c r="O81" s="29"/>
      <c r="P81" s="29"/>
      <c r="Q81" s="29"/>
      <c r="R81" s="29"/>
      <c r="S81" s="29"/>
      <c r="T81" s="29"/>
    </row>
    <row r="82" spans="1:20" s="38" customFormat="1" ht="22.5" customHeight="1">
      <c r="A82" s="57"/>
      <c r="B82" s="58" t="s">
        <v>821</v>
      </c>
      <c r="C82" s="29"/>
      <c r="D82" s="29"/>
      <c r="E82" s="29">
        <f t="shared" si="10"/>
        <v>39586</v>
      </c>
      <c r="F82" s="29">
        <v>39586</v>
      </c>
      <c r="G82" s="29"/>
      <c r="H82" s="29"/>
      <c r="I82" s="29"/>
      <c r="J82" s="29"/>
      <c r="K82" s="29"/>
      <c r="L82" s="29"/>
      <c r="M82" s="29"/>
      <c r="N82" s="29"/>
      <c r="O82" s="29"/>
      <c r="P82" s="29"/>
      <c r="Q82" s="29"/>
      <c r="R82" s="29"/>
      <c r="S82" s="29"/>
      <c r="T82" s="29"/>
    </row>
    <row r="83" spans="1:20" ht="22.5" customHeight="1">
      <c r="A83" s="48">
        <v>8</v>
      </c>
      <c r="B83" s="44" t="s">
        <v>706</v>
      </c>
      <c r="C83" s="29">
        <f>C84+C85</f>
        <v>0</v>
      </c>
      <c r="D83" s="29">
        <f t="shared" ref="D83:T83" si="36">D84+D85</f>
        <v>0</v>
      </c>
      <c r="E83" s="29">
        <f t="shared" ref="E83:E120" si="37">F83+G83+H83+I83+J83+K83+L83+M83+N83+O83+R83+S83+T83</f>
        <v>103</v>
      </c>
      <c r="F83" s="29">
        <f t="shared" si="36"/>
        <v>0</v>
      </c>
      <c r="G83" s="29">
        <f t="shared" si="36"/>
        <v>0</v>
      </c>
      <c r="H83" s="29">
        <f t="shared" si="36"/>
        <v>0</v>
      </c>
      <c r="I83" s="29">
        <f t="shared" si="36"/>
        <v>0</v>
      </c>
      <c r="J83" s="29">
        <f t="shared" si="36"/>
        <v>103</v>
      </c>
      <c r="K83" s="29">
        <f t="shared" si="36"/>
        <v>0</v>
      </c>
      <c r="L83" s="29">
        <f t="shared" si="36"/>
        <v>0</v>
      </c>
      <c r="M83" s="29">
        <f t="shared" si="36"/>
        <v>0</v>
      </c>
      <c r="N83" s="29">
        <f t="shared" si="36"/>
        <v>0</v>
      </c>
      <c r="O83" s="29">
        <f t="shared" si="36"/>
        <v>0</v>
      </c>
      <c r="P83" s="29">
        <f t="shared" si="36"/>
        <v>0</v>
      </c>
      <c r="Q83" s="29">
        <f t="shared" si="36"/>
        <v>0</v>
      </c>
      <c r="R83" s="29">
        <f t="shared" si="36"/>
        <v>0</v>
      </c>
      <c r="S83" s="29">
        <f t="shared" si="36"/>
        <v>0</v>
      </c>
      <c r="T83" s="29">
        <f t="shared" si="36"/>
        <v>0</v>
      </c>
    </row>
    <row r="84" spans="1:20" s="38" customFormat="1" ht="22.5" customHeight="1">
      <c r="A84" s="57"/>
      <c r="B84" s="58" t="s">
        <v>820</v>
      </c>
      <c r="C84" s="29">
        <f>C87+C90</f>
        <v>0</v>
      </c>
      <c r="D84" s="29">
        <f t="shared" ref="D84:T85" si="38">D87+D90</f>
        <v>0</v>
      </c>
      <c r="E84" s="29">
        <f t="shared" si="37"/>
        <v>103</v>
      </c>
      <c r="F84" s="29">
        <f t="shared" si="38"/>
        <v>0</v>
      </c>
      <c r="G84" s="29">
        <f t="shared" si="38"/>
        <v>0</v>
      </c>
      <c r="H84" s="29">
        <f t="shared" si="38"/>
        <v>0</v>
      </c>
      <c r="I84" s="29">
        <f t="shared" si="38"/>
        <v>0</v>
      </c>
      <c r="J84" s="29">
        <f t="shared" si="38"/>
        <v>103</v>
      </c>
      <c r="K84" s="29">
        <f t="shared" si="38"/>
        <v>0</v>
      </c>
      <c r="L84" s="29">
        <f t="shared" si="38"/>
        <v>0</v>
      </c>
      <c r="M84" s="29">
        <f t="shared" si="38"/>
        <v>0</v>
      </c>
      <c r="N84" s="29">
        <f t="shared" si="38"/>
        <v>0</v>
      </c>
      <c r="O84" s="29">
        <f t="shared" si="38"/>
        <v>0</v>
      </c>
      <c r="P84" s="29">
        <f t="shared" si="38"/>
        <v>0</v>
      </c>
      <c r="Q84" s="29">
        <f t="shared" si="38"/>
        <v>0</v>
      </c>
      <c r="R84" s="29">
        <f t="shared" si="38"/>
        <v>0</v>
      </c>
      <c r="S84" s="29">
        <f t="shared" si="38"/>
        <v>0</v>
      </c>
      <c r="T84" s="29">
        <f t="shared" si="38"/>
        <v>0</v>
      </c>
    </row>
    <row r="85" spans="1:20" s="38" customFormat="1" ht="22.5" customHeight="1">
      <c r="A85" s="57"/>
      <c r="B85" s="58" t="s">
        <v>821</v>
      </c>
      <c r="C85" s="29">
        <f>C88+C91</f>
        <v>0</v>
      </c>
      <c r="D85" s="29">
        <f t="shared" si="38"/>
        <v>0</v>
      </c>
      <c r="E85" s="29">
        <f t="shared" si="37"/>
        <v>0</v>
      </c>
      <c r="F85" s="29">
        <f t="shared" si="38"/>
        <v>0</v>
      </c>
      <c r="G85" s="29">
        <f t="shared" si="38"/>
        <v>0</v>
      </c>
      <c r="H85" s="29">
        <f t="shared" si="38"/>
        <v>0</v>
      </c>
      <c r="I85" s="29">
        <f t="shared" si="38"/>
        <v>0</v>
      </c>
      <c r="J85" s="29">
        <f t="shared" si="38"/>
        <v>0</v>
      </c>
      <c r="K85" s="29">
        <f t="shared" si="38"/>
        <v>0</v>
      </c>
      <c r="L85" s="29">
        <f t="shared" si="38"/>
        <v>0</v>
      </c>
      <c r="M85" s="29">
        <f t="shared" si="38"/>
        <v>0</v>
      </c>
      <c r="N85" s="29">
        <f t="shared" si="38"/>
        <v>0</v>
      </c>
      <c r="O85" s="29">
        <f t="shared" si="38"/>
        <v>0</v>
      </c>
      <c r="P85" s="29">
        <f t="shared" si="38"/>
        <v>0</v>
      </c>
      <c r="Q85" s="29">
        <f t="shared" si="38"/>
        <v>0</v>
      </c>
      <c r="R85" s="29">
        <f t="shared" si="38"/>
        <v>0</v>
      </c>
      <c r="S85" s="29">
        <f t="shared" si="38"/>
        <v>0</v>
      </c>
      <c r="T85" s="29">
        <f t="shared" si="38"/>
        <v>0</v>
      </c>
    </row>
    <row r="86" spans="1:20" ht="22.5" customHeight="1">
      <c r="A86" s="48"/>
      <c r="B86" s="44" t="s">
        <v>690</v>
      </c>
      <c r="C86" s="29">
        <f>C87+C88</f>
        <v>0</v>
      </c>
      <c r="D86" s="29">
        <f t="shared" ref="D86:T86" si="39">D87+D88</f>
        <v>0</v>
      </c>
      <c r="E86" s="29">
        <f t="shared" si="37"/>
        <v>0</v>
      </c>
      <c r="F86" s="29">
        <f t="shared" si="39"/>
        <v>0</v>
      </c>
      <c r="G86" s="29">
        <f t="shared" si="39"/>
        <v>0</v>
      </c>
      <c r="H86" s="29">
        <f t="shared" si="39"/>
        <v>0</v>
      </c>
      <c r="I86" s="29">
        <f t="shared" si="39"/>
        <v>0</v>
      </c>
      <c r="J86" s="29">
        <f t="shared" si="39"/>
        <v>0</v>
      </c>
      <c r="K86" s="29">
        <f t="shared" si="39"/>
        <v>0</v>
      </c>
      <c r="L86" s="29">
        <f t="shared" si="39"/>
        <v>0</v>
      </c>
      <c r="M86" s="29">
        <f t="shared" si="39"/>
        <v>0</v>
      </c>
      <c r="N86" s="29">
        <f t="shared" si="39"/>
        <v>0</v>
      </c>
      <c r="O86" s="29">
        <f t="shared" si="39"/>
        <v>0</v>
      </c>
      <c r="P86" s="29">
        <f t="shared" si="39"/>
        <v>0</v>
      </c>
      <c r="Q86" s="29">
        <f t="shared" si="39"/>
        <v>0</v>
      </c>
      <c r="R86" s="29">
        <f t="shared" si="39"/>
        <v>0</v>
      </c>
      <c r="S86" s="29">
        <f t="shared" si="39"/>
        <v>0</v>
      </c>
      <c r="T86" s="29">
        <f t="shared" si="39"/>
        <v>0</v>
      </c>
    </row>
    <row r="87" spans="1:20" s="38" customFormat="1" ht="22.5" customHeight="1">
      <c r="A87" s="57"/>
      <c r="B87" s="58" t="s">
        <v>820</v>
      </c>
      <c r="C87" s="29"/>
      <c r="D87" s="29"/>
      <c r="E87" s="29">
        <f t="shared" si="37"/>
        <v>0</v>
      </c>
      <c r="F87" s="29"/>
      <c r="G87" s="29"/>
      <c r="H87" s="29"/>
      <c r="I87" s="29"/>
      <c r="J87" s="29"/>
      <c r="K87" s="29"/>
      <c r="L87" s="29"/>
      <c r="M87" s="29"/>
      <c r="N87" s="29"/>
      <c r="O87" s="29"/>
      <c r="P87" s="29"/>
      <c r="Q87" s="29"/>
      <c r="R87" s="29"/>
      <c r="S87" s="29"/>
      <c r="T87" s="29"/>
    </row>
    <row r="88" spans="1:20" s="38" customFormat="1" ht="22.5" customHeight="1">
      <c r="A88" s="57"/>
      <c r="B88" s="58" t="s">
        <v>821</v>
      </c>
      <c r="C88" s="29"/>
      <c r="D88" s="29"/>
      <c r="E88" s="29">
        <f t="shared" si="37"/>
        <v>0</v>
      </c>
      <c r="F88" s="29"/>
      <c r="G88" s="29"/>
      <c r="H88" s="29"/>
      <c r="I88" s="29"/>
      <c r="J88" s="29"/>
      <c r="K88" s="29"/>
      <c r="L88" s="29"/>
      <c r="M88" s="29"/>
      <c r="N88" s="29"/>
      <c r="O88" s="29"/>
      <c r="P88" s="29"/>
      <c r="Q88" s="29"/>
      <c r="R88" s="29"/>
      <c r="S88" s="29"/>
      <c r="T88" s="29"/>
    </row>
    <row r="89" spans="1:20" ht="22.5" customHeight="1">
      <c r="A89" s="48"/>
      <c r="B89" s="44" t="s">
        <v>691</v>
      </c>
      <c r="C89" s="29">
        <f>C90+C91</f>
        <v>0</v>
      </c>
      <c r="D89" s="29">
        <f t="shared" ref="D89:T89" si="40">D90+D91</f>
        <v>0</v>
      </c>
      <c r="E89" s="29">
        <f t="shared" si="40"/>
        <v>103</v>
      </c>
      <c r="F89" s="29">
        <f t="shared" si="40"/>
        <v>0</v>
      </c>
      <c r="G89" s="29">
        <f t="shared" si="40"/>
        <v>0</v>
      </c>
      <c r="H89" s="29">
        <f t="shared" si="40"/>
        <v>0</v>
      </c>
      <c r="I89" s="29">
        <f t="shared" si="40"/>
        <v>0</v>
      </c>
      <c r="J89" s="29">
        <f t="shared" si="40"/>
        <v>103</v>
      </c>
      <c r="K89" s="29">
        <f t="shared" si="40"/>
        <v>0</v>
      </c>
      <c r="L89" s="29">
        <f t="shared" si="40"/>
        <v>0</v>
      </c>
      <c r="M89" s="29">
        <f t="shared" si="40"/>
        <v>0</v>
      </c>
      <c r="N89" s="29">
        <f t="shared" si="40"/>
        <v>0</v>
      </c>
      <c r="O89" s="29">
        <f t="shared" si="40"/>
        <v>0</v>
      </c>
      <c r="P89" s="29">
        <f t="shared" si="40"/>
        <v>0</v>
      </c>
      <c r="Q89" s="29">
        <f t="shared" si="40"/>
        <v>0</v>
      </c>
      <c r="R89" s="29">
        <f t="shared" si="40"/>
        <v>0</v>
      </c>
      <c r="S89" s="29">
        <f t="shared" si="40"/>
        <v>0</v>
      </c>
      <c r="T89" s="29">
        <f t="shared" si="40"/>
        <v>0</v>
      </c>
    </row>
    <row r="90" spans="1:20" s="38" customFormat="1" ht="22.5" customHeight="1">
      <c r="A90" s="57"/>
      <c r="B90" s="58" t="s">
        <v>820</v>
      </c>
      <c r="C90" s="29"/>
      <c r="D90" s="29"/>
      <c r="E90" s="29">
        <f t="shared" si="37"/>
        <v>103</v>
      </c>
      <c r="F90" s="29"/>
      <c r="G90" s="29"/>
      <c r="H90" s="29"/>
      <c r="I90" s="29"/>
      <c r="J90" s="29">
        <v>103</v>
      </c>
      <c r="K90" s="29"/>
      <c r="L90" s="29"/>
      <c r="M90" s="29"/>
      <c r="N90" s="29"/>
      <c r="O90" s="29"/>
      <c r="P90" s="29"/>
      <c r="Q90" s="29"/>
      <c r="R90" s="29"/>
      <c r="S90" s="29"/>
      <c r="T90" s="29"/>
    </row>
    <row r="91" spans="1:20" s="38" customFormat="1" ht="22.5" customHeight="1">
      <c r="A91" s="57"/>
      <c r="B91" s="58" t="s">
        <v>821</v>
      </c>
      <c r="C91" s="29"/>
      <c r="D91" s="29"/>
      <c r="E91" s="29">
        <f t="shared" si="37"/>
        <v>0</v>
      </c>
      <c r="F91" s="29"/>
      <c r="G91" s="29"/>
      <c r="H91" s="29"/>
      <c r="I91" s="29"/>
      <c r="J91" s="29"/>
      <c r="K91" s="29"/>
      <c r="L91" s="29"/>
      <c r="M91" s="29"/>
      <c r="N91" s="29"/>
      <c r="O91" s="29"/>
      <c r="P91" s="29"/>
      <c r="Q91" s="29"/>
      <c r="R91" s="29"/>
      <c r="S91" s="29"/>
      <c r="T91" s="29"/>
    </row>
    <row r="92" spans="1:20" ht="22.5" customHeight="1">
      <c r="A92" s="48">
        <v>9</v>
      </c>
      <c r="B92" s="44" t="s">
        <v>708</v>
      </c>
      <c r="C92" s="29">
        <f>C93+C94</f>
        <v>0</v>
      </c>
      <c r="D92" s="29">
        <f t="shared" ref="D92:T92" si="41">D93+D94</f>
        <v>0</v>
      </c>
      <c r="E92" s="29">
        <f t="shared" si="37"/>
        <v>15</v>
      </c>
      <c r="F92" s="29">
        <f t="shared" si="41"/>
        <v>0</v>
      </c>
      <c r="G92" s="29">
        <f t="shared" si="41"/>
        <v>0</v>
      </c>
      <c r="H92" s="29">
        <f t="shared" si="41"/>
        <v>0</v>
      </c>
      <c r="I92" s="29">
        <f t="shared" si="41"/>
        <v>0</v>
      </c>
      <c r="J92" s="29">
        <f t="shared" si="41"/>
        <v>0</v>
      </c>
      <c r="K92" s="29">
        <f t="shared" si="41"/>
        <v>15</v>
      </c>
      <c r="L92" s="29">
        <f t="shared" si="41"/>
        <v>0</v>
      </c>
      <c r="M92" s="29">
        <f t="shared" si="41"/>
        <v>0</v>
      </c>
      <c r="N92" s="29">
        <f t="shared" si="41"/>
        <v>0</v>
      </c>
      <c r="O92" s="29">
        <f t="shared" si="41"/>
        <v>0</v>
      </c>
      <c r="P92" s="29">
        <f t="shared" si="41"/>
        <v>0</v>
      </c>
      <c r="Q92" s="29">
        <f t="shared" si="41"/>
        <v>0</v>
      </c>
      <c r="R92" s="29">
        <f t="shared" si="41"/>
        <v>0</v>
      </c>
      <c r="S92" s="29">
        <f t="shared" si="41"/>
        <v>0</v>
      </c>
      <c r="T92" s="29">
        <f t="shared" si="41"/>
        <v>0</v>
      </c>
    </row>
    <row r="93" spans="1:20" s="38" customFormat="1" ht="22.5" customHeight="1">
      <c r="A93" s="57"/>
      <c r="B93" s="58" t="s">
        <v>820</v>
      </c>
      <c r="C93" s="29">
        <f>C96+C99</f>
        <v>0</v>
      </c>
      <c r="D93" s="29">
        <f t="shared" ref="D93:T94" si="42">D96+D99</f>
        <v>0</v>
      </c>
      <c r="E93" s="29">
        <f t="shared" si="37"/>
        <v>15</v>
      </c>
      <c r="F93" s="29">
        <f t="shared" si="42"/>
        <v>0</v>
      </c>
      <c r="G93" s="29">
        <f t="shared" si="42"/>
        <v>0</v>
      </c>
      <c r="H93" s="29">
        <f t="shared" si="42"/>
        <v>0</v>
      </c>
      <c r="I93" s="29">
        <f t="shared" si="42"/>
        <v>0</v>
      </c>
      <c r="J93" s="29">
        <f t="shared" si="42"/>
        <v>0</v>
      </c>
      <c r="K93" s="29">
        <f t="shared" si="42"/>
        <v>15</v>
      </c>
      <c r="L93" s="29">
        <f t="shared" si="42"/>
        <v>0</v>
      </c>
      <c r="M93" s="29">
        <f t="shared" si="42"/>
        <v>0</v>
      </c>
      <c r="N93" s="29">
        <f t="shared" si="42"/>
        <v>0</v>
      </c>
      <c r="O93" s="29">
        <f t="shared" si="42"/>
        <v>0</v>
      </c>
      <c r="P93" s="29">
        <f t="shared" si="42"/>
        <v>0</v>
      </c>
      <c r="Q93" s="29">
        <f t="shared" si="42"/>
        <v>0</v>
      </c>
      <c r="R93" s="29">
        <f t="shared" si="42"/>
        <v>0</v>
      </c>
      <c r="S93" s="29">
        <f t="shared" si="42"/>
        <v>0</v>
      </c>
      <c r="T93" s="29">
        <f t="shared" si="42"/>
        <v>0</v>
      </c>
    </row>
    <row r="94" spans="1:20" s="38" customFormat="1" ht="22.5" customHeight="1">
      <c r="A94" s="57"/>
      <c r="B94" s="58" t="s">
        <v>821</v>
      </c>
      <c r="C94" s="29">
        <f>C97+C100</f>
        <v>0</v>
      </c>
      <c r="D94" s="29">
        <f t="shared" si="42"/>
        <v>0</v>
      </c>
      <c r="E94" s="29">
        <f t="shared" si="37"/>
        <v>0</v>
      </c>
      <c r="F94" s="29">
        <f t="shared" si="42"/>
        <v>0</v>
      </c>
      <c r="G94" s="29">
        <f t="shared" si="42"/>
        <v>0</v>
      </c>
      <c r="H94" s="29">
        <f t="shared" si="42"/>
        <v>0</v>
      </c>
      <c r="I94" s="29">
        <f t="shared" si="42"/>
        <v>0</v>
      </c>
      <c r="J94" s="29">
        <f t="shared" si="42"/>
        <v>0</v>
      </c>
      <c r="K94" s="29">
        <f t="shared" si="42"/>
        <v>0</v>
      </c>
      <c r="L94" s="29">
        <f t="shared" si="42"/>
        <v>0</v>
      </c>
      <c r="M94" s="29">
        <f t="shared" si="42"/>
        <v>0</v>
      </c>
      <c r="N94" s="29">
        <f t="shared" si="42"/>
        <v>0</v>
      </c>
      <c r="O94" s="29">
        <f t="shared" si="42"/>
        <v>0</v>
      </c>
      <c r="P94" s="29">
        <f t="shared" si="42"/>
        <v>0</v>
      </c>
      <c r="Q94" s="29">
        <f t="shared" si="42"/>
        <v>0</v>
      </c>
      <c r="R94" s="29">
        <f t="shared" si="42"/>
        <v>0</v>
      </c>
      <c r="S94" s="29">
        <f t="shared" si="42"/>
        <v>0</v>
      </c>
      <c r="T94" s="29">
        <f t="shared" si="42"/>
        <v>0</v>
      </c>
    </row>
    <row r="95" spans="1:20" ht="22.5" customHeight="1">
      <c r="A95" s="48"/>
      <c r="B95" s="44" t="s">
        <v>690</v>
      </c>
      <c r="C95" s="29">
        <f>C96+C97</f>
        <v>0</v>
      </c>
      <c r="D95" s="29">
        <f t="shared" ref="D95:T95" si="43">D96+D97</f>
        <v>0</v>
      </c>
      <c r="E95" s="29">
        <f t="shared" si="37"/>
        <v>0</v>
      </c>
      <c r="F95" s="29">
        <f t="shared" si="43"/>
        <v>0</v>
      </c>
      <c r="G95" s="29">
        <f t="shared" si="43"/>
        <v>0</v>
      </c>
      <c r="H95" s="29">
        <f t="shared" si="43"/>
        <v>0</v>
      </c>
      <c r="I95" s="29">
        <f t="shared" si="43"/>
        <v>0</v>
      </c>
      <c r="J95" s="29">
        <f t="shared" si="43"/>
        <v>0</v>
      </c>
      <c r="K95" s="29">
        <f t="shared" si="43"/>
        <v>0</v>
      </c>
      <c r="L95" s="29">
        <f t="shared" si="43"/>
        <v>0</v>
      </c>
      <c r="M95" s="29">
        <f t="shared" si="43"/>
        <v>0</v>
      </c>
      <c r="N95" s="29">
        <f t="shared" si="43"/>
        <v>0</v>
      </c>
      <c r="O95" s="29">
        <f t="shared" si="43"/>
        <v>0</v>
      </c>
      <c r="P95" s="29">
        <f t="shared" si="43"/>
        <v>0</v>
      </c>
      <c r="Q95" s="29">
        <f t="shared" si="43"/>
        <v>0</v>
      </c>
      <c r="R95" s="29">
        <f t="shared" si="43"/>
        <v>0</v>
      </c>
      <c r="S95" s="29">
        <f t="shared" si="43"/>
        <v>0</v>
      </c>
      <c r="T95" s="29">
        <f t="shared" si="43"/>
        <v>0</v>
      </c>
    </row>
    <row r="96" spans="1:20" s="38" customFormat="1" ht="22.5" customHeight="1">
      <c r="A96" s="57"/>
      <c r="B96" s="58" t="s">
        <v>820</v>
      </c>
      <c r="C96" s="29"/>
      <c r="D96" s="29"/>
      <c r="E96" s="29">
        <f t="shared" si="37"/>
        <v>0</v>
      </c>
      <c r="F96" s="29"/>
      <c r="G96" s="29"/>
      <c r="H96" s="29"/>
      <c r="I96" s="29"/>
      <c r="J96" s="29"/>
      <c r="K96" s="29"/>
      <c r="L96" s="29"/>
      <c r="M96" s="29"/>
      <c r="N96" s="29"/>
      <c r="O96" s="29"/>
      <c r="P96" s="29"/>
      <c r="Q96" s="29"/>
      <c r="R96" s="29"/>
      <c r="S96" s="29"/>
      <c r="T96" s="29"/>
    </row>
    <row r="97" spans="1:20" s="38" customFormat="1" ht="22.5" customHeight="1">
      <c r="A97" s="57"/>
      <c r="B97" s="58" t="s">
        <v>821</v>
      </c>
      <c r="C97" s="29"/>
      <c r="D97" s="29"/>
      <c r="E97" s="29">
        <f t="shared" si="37"/>
        <v>0</v>
      </c>
      <c r="F97" s="29"/>
      <c r="G97" s="29"/>
      <c r="H97" s="29"/>
      <c r="I97" s="29"/>
      <c r="J97" s="29"/>
      <c r="K97" s="29"/>
      <c r="L97" s="29"/>
      <c r="M97" s="29"/>
      <c r="N97" s="29"/>
      <c r="O97" s="29"/>
      <c r="P97" s="29"/>
      <c r="Q97" s="29"/>
      <c r="R97" s="29"/>
      <c r="S97" s="29"/>
      <c r="T97" s="29"/>
    </row>
    <row r="98" spans="1:20" ht="22.5" customHeight="1">
      <c r="A98" s="48"/>
      <c r="B98" s="44" t="s">
        <v>691</v>
      </c>
      <c r="C98" s="29">
        <f>C99+C100</f>
        <v>0</v>
      </c>
      <c r="D98" s="29">
        <f t="shared" ref="D98:T98" si="44">D99+D100</f>
        <v>0</v>
      </c>
      <c r="E98" s="29">
        <f t="shared" si="44"/>
        <v>15</v>
      </c>
      <c r="F98" s="29">
        <f t="shared" si="44"/>
        <v>0</v>
      </c>
      <c r="G98" s="29">
        <f t="shared" si="44"/>
        <v>0</v>
      </c>
      <c r="H98" s="29">
        <f t="shared" si="44"/>
        <v>0</v>
      </c>
      <c r="I98" s="29">
        <f t="shared" si="44"/>
        <v>0</v>
      </c>
      <c r="J98" s="29">
        <f t="shared" si="44"/>
        <v>0</v>
      </c>
      <c r="K98" s="29">
        <f t="shared" si="44"/>
        <v>15</v>
      </c>
      <c r="L98" s="29">
        <f t="shared" si="44"/>
        <v>0</v>
      </c>
      <c r="M98" s="29">
        <f t="shared" si="44"/>
        <v>0</v>
      </c>
      <c r="N98" s="29">
        <f t="shared" si="44"/>
        <v>0</v>
      </c>
      <c r="O98" s="29">
        <f t="shared" si="44"/>
        <v>0</v>
      </c>
      <c r="P98" s="29">
        <f t="shared" si="44"/>
        <v>0</v>
      </c>
      <c r="Q98" s="29">
        <f t="shared" si="44"/>
        <v>0</v>
      </c>
      <c r="R98" s="29">
        <f t="shared" si="44"/>
        <v>0</v>
      </c>
      <c r="S98" s="29">
        <f t="shared" si="44"/>
        <v>0</v>
      </c>
      <c r="T98" s="29">
        <f t="shared" si="44"/>
        <v>0</v>
      </c>
    </row>
    <row r="99" spans="1:20" s="38" customFormat="1" ht="22.5" customHeight="1">
      <c r="A99" s="57"/>
      <c r="B99" s="58" t="s">
        <v>820</v>
      </c>
      <c r="C99" s="29"/>
      <c r="D99" s="29"/>
      <c r="E99" s="29">
        <f t="shared" si="37"/>
        <v>15</v>
      </c>
      <c r="F99" s="29"/>
      <c r="G99" s="29"/>
      <c r="H99" s="29"/>
      <c r="I99" s="29"/>
      <c r="J99" s="29"/>
      <c r="K99" s="29">
        <v>15</v>
      </c>
      <c r="L99" s="29"/>
      <c r="M99" s="29"/>
      <c r="N99" s="29"/>
      <c r="O99" s="29"/>
      <c r="P99" s="29"/>
      <c r="Q99" s="29"/>
      <c r="R99" s="29"/>
      <c r="S99" s="29"/>
      <c r="T99" s="29"/>
    </row>
    <row r="100" spans="1:20" s="38" customFormat="1" ht="22.5" customHeight="1">
      <c r="A100" s="57"/>
      <c r="B100" s="58" t="s">
        <v>821</v>
      </c>
      <c r="C100" s="29"/>
      <c r="D100" s="29"/>
      <c r="E100" s="29">
        <f t="shared" si="37"/>
        <v>0</v>
      </c>
      <c r="F100" s="29"/>
      <c r="G100" s="29"/>
      <c r="H100" s="29"/>
      <c r="I100" s="29"/>
      <c r="J100" s="29"/>
      <c r="K100" s="29"/>
      <c r="L100" s="29"/>
      <c r="M100" s="29"/>
      <c r="N100" s="29"/>
      <c r="O100" s="29"/>
      <c r="P100" s="29"/>
      <c r="Q100" s="29"/>
      <c r="R100" s="29"/>
      <c r="S100" s="29"/>
      <c r="T100" s="29"/>
    </row>
    <row r="101" spans="1:20" ht="22.5" customHeight="1">
      <c r="A101" s="48">
        <v>10</v>
      </c>
      <c r="B101" s="44" t="s">
        <v>709</v>
      </c>
      <c r="C101" s="29">
        <f>C102+C103</f>
        <v>0</v>
      </c>
      <c r="D101" s="29">
        <f t="shared" ref="D101:T101" si="45">D102+D103</f>
        <v>0</v>
      </c>
      <c r="E101" s="29">
        <f t="shared" si="37"/>
        <v>686</v>
      </c>
      <c r="F101" s="29">
        <f t="shared" si="45"/>
        <v>0</v>
      </c>
      <c r="G101" s="29">
        <f t="shared" si="45"/>
        <v>0</v>
      </c>
      <c r="H101" s="29">
        <f t="shared" si="45"/>
        <v>0</v>
      </c>
      <c r="I101" s="29">
        <f t="shared" si="45"/>
        <v>0</v>
      </c>
      <c r="J101" s="29">
        <f t="shared" si="45"/>
        <v>0</v>
      </c>
      <c r="K101" s="29">
        <f t="shared" si="45"/>
        <v>0</v>
      </c>
      <c r="L101" s="29">
        <f t="shared" si="45"/>
        <v>0</v>
      </c>
      <c r="M101" s="29">
        <f t="shared" si="45"/>
        <v>0</v>
      </c>
      <c r="N101" s="29">
        <f t="shared" si="45"/>
        <v>0</v>
      </c>
      <c r="O101" s="29">
        <f t="shared" si="45"/>
        <v>686</v>
      </c>
      <c r="P101" s="29">
        <f t="shared" si="45"/>
        <v>0</v>
      </c>
      <c r="Q101" s="29">
        <f t="shared" si="45"/>
        <v>0</v>
      </c>
      <c r="R101" s="29">
        <f t="shared" si="45"/>
        <v>0</v>
      </c>
      <c r="S101" s="29">
        <f t="shared" si="45"/>
        <v>0</v>
      </c>
      <c r="T101" s="29">
        <f t="shared" si="45"/>
        <v>0</v>
      </c>
    </row>
    <row r="102" spans="1:20" s="38" customFormat="1" ht="22.5" customHeight="1">
      <c r="A102" s="57"/>
      <c r="B102" s="58" t="s">
        <v>820</v>
      </c>
      <c r="C102" s="29">
        <f>C105+C108</f>
        <v>0</v>
      </c>
      <c r="D102" s="29">
        <f t="shared" ref="D102:T103" si="46">D105+D108</f>
        <v>0</v>
      </c>
      <c r="E102" s="29">
        <f t="shared" si="37"/>
        <v>686</v>
      </c>
      <c r="F102" s="29">
        <f t="shared" si="46"/>
        <v>0</v>
      </c>
      <c r="G102" s="29">
        <f t="shared" si="46"/>
        <v>0</v>
      </c>
      <c r="H102" s="29">
        <f t="shared" si="46"/>
        <v>0</v>
      </c>
      <c r="I102" s="29">
        <f t="shared" si="46"/>
        <v>0</v>
      </c>
      <c r="J102" s="29">
        <f t="shared" si="46"/>
        <v>0</v>
      </c>
      <c r="K102" s="29">
        <f t="shared" si="46"/>
        <v>0</v>
      </c>
      <c r="L102" s="29">
        <f t="shared" si="46"/>
        <v>0</v>
      </c>
      <c r="M102" s="29">
        <f t="shared" si="46"/>
        <v>0</v>
      </c>
      <c r="N102" s="29">
        <f t="shared" si="46"/>
        <v>0</v>
      </c>
      <c r="O102" s="29">
        <f t="shared" si="46"/>
        <v>686</v>
      </c>
      <c r="P102" s="29">
        <f t="shared" si="46"/>
        <v>0</v>
      </c>
      <c r="Q102" s="29">
        <f t="shared" si="46"/>
        <v>0</v>
      </c>
      <c r="R102" s="29">
        <f t="shared" si="46"/>
        <v>0</v>
      </c>
      <c r="S102" s="29">
        <f t="shared" si="46"/>
        <v>0</v>
      </c>
      <c r="T102" s="29">
        <f t="shared" si="46"/>
        <v>0</v>
      </c>
    </row>
    <row r="103" spans="1:20" s="38" customFormat="1" ht="22.5" customHeight="1">
      <c r="A103" s="57"/>
      <c r="B103" s="58" t="s">
        <v>821</v>
      </c>
      <c r="C103" s="29">
        <f>C106+C109</f>
        <v>0</v>
      </c>
      <c r="D103" s="29">
        <f t="shared" si="46"/>
        <v>0</v>
      </c>
      <c r="E103" s="29">
        <f t="shared" si="37"/>
        <v>0</v>
      </c>
      <c r="F103" s="29">
        <f t="shared" si="46"/>
        <v>0</v>
      </c>
      <c r="G103" s="29">
        <f t="shared" si="46"/>
        <v>0</v>
      </c>
      <c r="H103" s="29">
        <f t="shared" si="46"/>
        <v>0</v>
      </c>
      <c r="I103" s="29">
        <f t="shared" si="46"/>
        <v>0</v>
      </c>
      <c r="J103" s="29">
        <f t="shared" si="46"/>
        <v>0</v>
      </c>
      <c r="K103" s="29">
        <f t="shared" si="46"/>
        <v>0</v>
      </c>
      <c r="L103" s="29">
        <f t="shared" si="46"/>
        <v>0</v>
      </c>
      <c r="M103" s="29">
        <f t="shared" si="46"/>
        <v>0</v>
      </c>
      <c r="N103" s="29">
        <f t="shared" si="46"/>
        <v>0</v>
      </c>
      <c r="O103" s="29">
        <f t="shared" si="46"/>
        <v>0</v>
      </c>
      <c r="P103" s="29">
        <f t="shared" si="46"/>
        <v>0</v>
      </c>
      <c r="Q103" s="29">
        <f t="shared" si="46"/>
        <v>0</v>
      </c>
      <c r="R103" s="29">
        <f t="shared" si="46"/>
        <v>0</v>
      </c>
      <c r="S103" s="29">
        <f t="shared" si="46"/>
        <v>0</v>
      </c>
      <c r="T103" s="29">
        <f t="shared" si="46"/>
        <v>0</v>
      </c>
    </row>
    <row r="104" spans="1:20" ht="22.5" customHeight="1">
      <c r="A104" s="48"/>
      <c r="B104" s="44" t="s">
        <v>690</v>
      </c>
      <c r="C104" s="29">
        <f>C105+C106</f>
        <v>0</v>
      </c>
      <c r="D104" s="29">
        <f t="shared" ref="D104:T104" si="47">D105+D106</f>
        <v>0</v>
      </c>
      <c r="E104" s="29">
        <f t="shared" si="37"/>
        <v>200</v>
      </c>
      <c r="F104" s="29">
        <f t="shared" si="47"/>
        <v>0</v>
      </c>
      <c r="G104" s="29">
        <f t="shared" si="47"/>
        <v>0</v>
      </c>
      <c r="H104" s="29">
        <f t="shared" si="47"/>
        <v>0</v>
      </c>
      <c r="I104" s="29">
        <f t="shared" si="47"/>
        <v>0</v>
      </c>
      <c r="J104" s="29">
        <f t="shared" si="47"/>
        <v>0</v>
      </c>
      <c r="K104" s="29">
        <f t="shared" si="47"/>
        <v>0</v>
      </c>
      <c r="L104" s="29">
        <f t="shared" si="47"/>
        <v>0</v>
      </c>
      <c r="M104" s="29">
        <f t="shared" si="47"/>
        <v>0</v>
      </c>
      <c r="N104" s="29">
        <f t="shared" si="47"/>
        <v>0</v>
      </c>
      <c r="O104" s="29">
        <f t="shared" si="47"/>
        <v>200</v>
      </c>
      <c r="P104" s="29">
        <f t="shared" si="47"/>
        <v>0</v>
      </c>
      <c r="Q104" s="29">
        <f t="shared" si="47"/>
        <v>0</v>
      </c>
      <c r="R104" s="29">
        <f t="shared" si="47"/>
        <v>0</v>
      </c>
      <c r="S104" s="29">
        <f t="shared" si="47"/>
        <v>0</v>
      </c>
      <c r="T104" s="29">
        <f t="shared" si="47"/>
        <v>0</v>
      </c>
    </row>
    <row r="105" spans="1:20" s="38" customFormat="1" ht="22.5" customHeight="1">
      <c r="A105" s="57"/>
      <c r="B105" s="58" t="s">
        <v>820</v>
      </c>
      <c r="C105" s="29"/>
      <c r="D105" s="29"/>
      <c r="E105" s="29">
        <f t="shared" si="37"/>
        <v>200</v>
      </c>
      <c r="F105" s="29"/>
      <c r="G105" s="29"/>
      <c r="H105" s="29"/>
      <c r="I105" s="29"/>
      <c r="J105" s="29"/>
      <c r="K105" s="29"/>
      <c r="L105" s="29"/>
      <c r="M105" s="29"/>
      <c r="N105" s="29"/>
      <c r="O105" s="29">
        <f>'[4]38.1TW'!J45</f>
        <v>200</v>
      </c>
      <c r="P105" s="29"/>
      <c r="Q105" s="29"/>
      <c r="R105" s="29"/>
      <c r="S105" s="29"/>
      <c r="T105" s="29"/>
    </row>
    <row r="106" spans="1:20" s="38" customFormat="1" ht="22.5" customHeight="1">
      <c r="A106" s="57"/>
      <c r="B106" s="58" t="s">
        <v>821</v>
      </c>
      <c r="C106" s="29"/>
      <c r="D106" s="29"/>
      <c r="E106" s="29">
        <f t="shared" si="37"/>
        <v>0</v>
      </c>
      <c r="F106" s="29"/>
      <c r="G106" s="29"/>
      <c r="H106" s="29"/>
      <c r="I106" s="29"/>
      <c r="J106" s="29"/>
      <c r="K106" s="29"/>
      <c r="L106" s="29"/>
      <c r="M106" s="29"/>
      <c r="N106" s="29"/>
      <c r="O106" s="29"/>
      <c r="P106" s="29"/>
      <c r="Q106" s="29"/>
      <c r="R106" s="29"/>
      <c r="S106" s="29"/>
      <c r="T106" s="29"/>
    </row>
    <row r="107" spans="1:20" ht="22.5" customHeight="1">
      <c r="A107" s="48"/>
      <c r="B107" s="44" t="s">
        <v>691</v>
      </c>
      <c r="C107" s="29">
        <f>C108+C109</f>
        <v>0</v>
      </c>
      <c r="D107" s="29">
        <f t="shared" ref="D107:T107" si="48">D108+D109</f>
        <v>0</v>
      </c>
      <c r="E107" s="29">
        <f t="shared" si="48"/>
        <v>486</v>
      </c>
      <c r="F107" s="29">
        <f t="shared" si="48"/>
        <v>0</v>
      </c>
      <c r="G107" s="29">
        <f t="shared" si="48"/>
        <v>0</v>
      </c>
      <c r="H107" s="29">
        <f t="shared" si="48"/>
        <v>0</v>
      </c>
      <c r="I107" s="29">
        <f t="shared" si="48"/>
        <v>0</v>
      </c>
      <c r="J107" s="29">
        <f t="shared" si="48"/>
        <v>0</v>
      </c>
      <c r="K107" s="29">
        <f t="shared" si="48"/>
        <v>0</v>
      </c>
      <c r="L107" s="29">
        <f t="shared" si="48"/>
        <v>0</v>
      </c>
      <c r="M107" s="29">
        <f t="shared" si="48"/>
        <v>0</v>
      </c>
      <c r="N107" s="29">
        <f t="shared" si="48"/>
        <v>0</v>
      </c>
      <c r="O107" s="29">
        <f t="shared" si="48"/>
        <v>486</v>
      </c>
      <c r="P107" s="29">
        <f t="shared" si="48"/>
        <v>0</v>
      </c>
      <c r="Q107" s="29">
        <f t="shared" si="48"/>
        <v>0</v>
      </c>
      <c r="R107" s="29">
        <f t="shared" si="48"/>
        <v>0</v>
      </c>
      <c r="S107" s="29">
        <f t="shared" si="48"/>
        <v>0</v>
      </c>
      <c r="T107" s="29">
        <f t="shared" si="48"/>
        <v>0</v>
      </c>
    </row>
    <row r="108" spans="1:20" s="38" customFormat="1" ht="22.5" customHeight="1">
      <c r="A108" s="57"/>
      <c r="B108" s="58" t="s">
        <v>820</v>
      </c>
      <c r="C108" s="29"/>
      <c r="D108" s="29"/>
      <c r="E108" s="29">
        <f t="shared" si="37"/>
        <v>486</v>
      </c>
      <c r="F108" s="29"/>
      <c r="G108" s="29"/>
      <c r="H108" s="29"/>
      <c r="I108" s="29"/>
      <c r="J108" s="29"/>
      <c r="K108" s="29"/>
      <c r="L108" s="29"/>
      <c r="M108" s="29"/>
      <c r="N108" s="29"/>
      <c r="O108" s="29">
        <v>486</v>
      </c>
      <c r="P108" s="29"/>
      <c r="Q108" s="29"/>
      <c r="R108" s="29"/>
      <c r="S108" s="29"/>
      <c r="T108" s="29"/>
    </row>
    <row r="109" spans="1:20" s="38" customFormat="1" ht="22.5" customHeight="1">
      <c r="A109" s="57"/>
      <c r="B109" s="58" t="s">
        <v>821</v>
      </c>
      <c r="C109" s="29"/>
      <c r="D109" s="29"/>
      <c r="E109" s="29">
        <f t="shared" si="37"/>
        <v>0</v>
      </c>
      <c r="F109" s="29"/>
      <c r="G109" s="29"/>
      <c r="H109" s="29"/>
      <c r="I109" s="29"/>
      <c r="J109" s="29"/>
      <c r="K109" s="29"/>
      <c r="L109" s="29"/>
      <c r="M109" s="29"/>
      <c r="N109" s="29"/>
      <c r="O109" s="29"/>
      <c r="P109" s="29"/>
      <c r="Q109" s="29"/>
      <c r="R109" s="29"/>
      <c r="S109" s="29"/>
      <c r="T109" s="29"/>
    </row>
    <row r="110" spans="1:20" ht="22.5" customHeight="1">
      <c r="A110" s="48">
        <v>17</v>
      </c>
      <c r="B110" s="44" t="s">
        <v>714</v>
      </c>
      <c r="C110" s="29"/>
      <c r="D110" s="29"/>
      <c r="E110" s="29">
        <f t="shared" si="37"/>
        <v>0</v>
      </c>
      <c r="F110" s="29"/>
      <c r="G110" s="29"/>
      <c r="H110" s="29"/>
      <c r="I110" s="29"/>
      <c r="J110" s="29"/>
      <c r="K110" s="29"/>
      <c r="L110" s="29"/>
      <c r="M110" s="29"/>
      <c r="N110" s="29"/>
      <c r="O110" s="29"/>
      <c r="P110" s="29"/>
      <c r="Q110" s="29"/>
      <c r="R110" s="29"/>
      <c r="S110" s="29"/>
      <c r="T110" s="29"/>
    </row>
    <row r="111" spans="1:20" s="38" customFormat="1" ht="22.5" customHeight="1">
      <c r="A111" s="57"/>
      <c r="B111" s="58" t="s">
        <v>691</v>
      </c>
      <c r="C111" s="29"/>
      <c r="D111" s="29"/>
      <c r="E111" s="29">
        <f t="shared" si="37"/>
        <v>0</v>
      </c>
      <c r="F111" s="29"/>
      <c r="G111" s="29"/>
      <c r="H111" s="29"/>
      <c r="I111" s="29"/>
      <c r="J111" s="29"/>
      <c r="K111" s="29"/>
      <c r="L111" s="29"/>
      <c r="M111" s="29"/>
      <c r="N111" s="29"/>
      <c r="O111" s="29"/>
      <c r="P111" s="29"/>
      <c r="Q111" s="29"/>
      <c r="R111" s="29"/>
      <c r="S111" s="29"/>
      <c r="T111" s="29"/>
    </row>
    <row r="112" spans="1:20" ht="22.5" customHeight="1">
      <c r="A112" s="48">
        <v>11</v>
      </c>
      <c r="B112" s="44" t="s">
        <v>710</v>
      </c>
      <c r="C112" s="29">
        <f>C113+C114</f>
        <v>0</v>
      </c>
      <c r="D112" s="29">
        <f>D113+D114</f>
        <v>0</v>
      </c>
      <c r="E112" s="29">
        <f t="shared" si="37"/>
        <v>401</v>
      </c>
      <c r="F112" s="29">
        <f t="shared" ref="F112:T112" si="49">F113+F114</f>
        <v>0</v>
      </c>
      <c r="G112" s="29">
        <f t="shared" si="49"/>
        <v>0</v>
      </c>
      <c r="H112" s="29">
        <f t="shared" si="49"/>
        <v>0</v>
      </c>
      <c r="I112" s="29">
        <f t="shared" si="49"/>
        <v>401</v>
      </c>
      <c r="J112" s="29">
        <f t="shared" si="49"/>
        <v>0</v>
      </c>
      <c r="K112" s="29">
        <f t="shared" si="49"/>
        <v>0</v>
      </c>
      <c r="L112" s="29">
        <f t="shared" si="49"/>
        <v>0</v>
      </c>
      <c r="M112" s="29">
        <f t="shared" si="49"/>
        <v>0</v>
      </c>
      <c r="N112" s="29">
        <f t="shared" si="49"/>
        <v>0</v>
      </c>
      <c r="O112" s="29">
        <f t="shared" si="49"/>
        <v>0</v>
      </c>
      <c r="P112" s="29">
        <f t="shared" si="49"/>
        <v>0</v>
      </c>
      <c r="Q112" s="29">
        <f t="shared" si="49"/>
        <v>0</v>
      </c>
      <c r="R112" s="29">
        <f t="shared" si="49"/>
        <v>0</v>
      </c>
      <c r="S112" s="29">
        <f t="shared" si="49"/>
        <v>0</v>
      </c>
      <c r="T112" s="29">
        <f t="shared" si="49"/>
        <v>0</v>
      </c>
    </row>
    <row r="113" spans="1:20" s="38" customFormat="1" ht="30" customHeight="1">
      <c r="A113" s="57"/>
      <c r="B113" s="58" t="s">
        <v>820</v>
      </c>
      <c r="C113" s="29">
        <f>C116+C119</f>
        <v>0</v>
      </c>
      <c r="D113" s="29">
        <f>D116+D119</f>
        <v>0</v>
      </c>
      <c r="E113" s="29">
        <f t="shared" si="37"/>
        <v>0</v>
      </c>
      <c r="F113" s="29">
        <f t="shared" ref="F113:T114" si="50">F116+F119</f>
        <v>0</v>
      </c>
      <c r="G113" s="29">
        <f t="shared" si="50"/>
        <v>0</v>
      </c>
      <c r="H113" s="29">
        <f t="shared" si="50"/>
        <v>0</v>
      </c>
      <c r="I113" s="29">
        <f t="shared" si="50"/>
        <v>0</v>
      </c>
      <c r="J113" s="29">
        <f t="shared" si="50"/>
        <v>0</v>
      </c>
      <c r="K113" s="29">
        <f t="shared" si="50"/>
        <v>0</v>
      </c>
      <c r="L113" s="29">
        <f t="shared" si="50"/>
        <v>0</v>
      </c>
      <c r="M113" s="29">
        <f t="shared" si="50"/>
        <v>0</v>
      </c>
      <c r="N113" s="29">
        <f t="shared" si="50"/>
        <v>0</v>
      </c>
      <c r="O113" s="29">
        <f>O116+O119</f>
        <v>0</v>
      </c>
      <c r="P113" s="29">
        <f t="shared" si="50"/>
        <v>0</v>
      </c>
      <c r="Q113" s="29">
        <f t="shared" si="50"/>
        <v>0</v>
      </c>
      <c r="R113" s="29">
        <f t="shared" si="50"/>
        <v>0</v>
      </c>
      <c r="S113" s="29">
        <f t="shared" si="50"/>
        <v>0</v>
      </c>
      <c r="T113" s="29">
        <f t="shared" si="50"/>
        <v>0</v>
      </c>
    </row>
    <row r="114" spans="1:20" s="38" customFormat="1" ht="22.5" customHeight="1">
      <c r="A114" s="57"/>
      <c r="B114" s="58" t="s">
        <v>821</v>
      </c>
      <c r="C114" s="29">
        <f>C117+C120</f>
        <v>0</v>
      </c>
      <c r="D114" s="29">
        <f>D117+D120</f>
        <v>0</v>
      </c>
      <c r="E114" s="29">
        <f t="shared" si="37"/>
        <v>401</v>
      </c>
      <c r="F114" s="29">
        <f t="shared" si="50"/>
        <v>0</v>
      </c>
      <c r="G114" s="29">
        <f t="shared" si="50"/>
        <v>0</v>
      </c>
      <c r="H114" s="29">
        <f t="shared" si="50"/>
        <v>0</v>
      </c>
      <c r="I114" s="29">
        <f t="shared" si="50"/>
        <v>401</v>
      </c>
      <c r="J114" s="29">
        <f t="shared" si="50"/>
        <v>0</v>
      </c>
      <c r="K114" s="29">
        <f t="shared" si="50"/>
        <v>0</v>
      </c>
      <c r="L114" s="29">
        <f t="shared" si="50"/>
        <v>0</v>
      </c>
      <c r="M114" s="29">
        <f t="shared" si="50"/>
        <v>0</v>
      </c>
      <c r="N114" s="29">
        <f t="shared" si="50"/>
        <v>0</v>
      </c>
      <c r="O114" s="29">
        <f t="shared" si="50"/>
        <v>0</v>
      </c>
      <c r="P114" s="29">
        <f t="shared" si="50"/>
        <v>0</v>
      </c>
      <c r="Q114" s="29">
        <f t="shared" si="50"/>
        <v>0</v>
      </c>
      <c r="R114" s="29">
        <f t="shared" si="50"/>
        <v>0</v>
      </c>
      <c r="S114" s="29">
        <f t="shared" si="50"/>
        <v>0</v>
      </c>
      <c r="T114" s="29">
        <f t="shared" si="50"/>
        <v>0</v>
      </c>
    </row>
    <row r="115" spans="1:20" ht="22.5" customHeight="1">
      <c r="A115" s="48"/>
      <c r="B115" s="44" t="s">
        <v>690</v>
      </c>
      <c r="C115" s="29">
        <f>C116+C117</f>
        <v>0</v>
      </c>
      <c r="D115" s="29">
        <f>D116+D117</f>
        <v>0</v>
      </c>
      <c r="E115" s="29">
        <f t="shared" si="37"/>
        <v>0</v>
      </c>
      <c r="F115" s="29">
        <f t="shared" ref="F115:T115" si="51">F116+F117</f>
        <v>0</v>
      </c>
      <c r="G115" s="29">
        <f t="shared" si="51"/>
        <v>0</v>
      </c>
      <c r="H115" s="29">
        <f t="shared" si="51"/>
        <v>0</v>
      </c>
      <c r="I115" s="29">
        <f t="shared" si="51"/>
        <v>0</v>
      </c>
      <c r="J115" s="29">
        <f t="shared" si="51"/>
        <v>0</v>
      </c>
      <c r="K115" s="29">
        <f t="shared" si="51"/>
        <v>0</v>
      </c>
      <c r="L115" s="29">
        <f t="shared" si="51"/>
        <v>0</v>
      </c>
      <c r="M115" s="29">
        <f t="shared" si="51"/>
        <v>0</v>
      </c>
      <c r="N115" s="29">
        <f t="shared" si="51"/>
        <v>0</v>
      </c>
      <c r="O115" s="29">
        <f t="shared" si="51"/>
        <v>0</v>
      </c>
      <c r="P115" s="29">
        <f t="shared" si="51"/>
        <v>0</v>
      </c>
      <c r="Q115" s="29">
        <f t="shared" si="51"/>
        <v>0</v>
      </c>
      <c r="R115" s="29">
        <f t="shared" si="51"/>
        <v>0</v>
      </c>
      <c r="S115" s="29">
        <f t="shared" si="51"/>
        <v>0</v>
      </c>
      <c r="T115" s="29">
        <f t="shared" si="51"/>
        <v>0</v>
      </c>
    </row>
    <row r="116" spans="1:20" s="38" customFormat="1" ht="33.75" customHeight="1">
      <c r="A116" s="57"/>
      <c r="B116" s="58" t="s">
        <v>820</v>
      </c>
      <c r="C116" s="29"/>
      <c r="D116" s="29"/>
      <c r="E116" s="29">
        <f t="shared" si="37"/>
        <v>0</v>
      </c>
      <c r="F116" s="29"/>
      <c r="G116" s="29"/>
      <c r="H116" s="29"/>
      <c r="I116" s="29"/>
      <c r="J116" s="29"/>
      <c r="K116" s="29"/>
      <c r="L116" s="29"/>
      <c r="M116" s="29"/>
      <c r="N116" s="29"/>
      <c r="O116" s="29"/>
      <c r="P116" s="29"/>
      <c r="Q116" s="29"/>
      <c r="R116" s="29"/>
      <c r="S116" s="29"/>
      <c r="T116" s="29"/>
    </row>
    <row r="117" spans="1:20" s="38" customFormat="1" ht="22.5" customHeight="1">
      <c r="A117" s="57"/>
      <c r="B117" s="58" t="s">
        <v>821</v>
      </c>
      <c r="C117" s="29"/>
      <c r="D117" s="29"/>
      <c r="E117" s="29">
        <f t="shared" si="37"/>
        <v>0</v>
      </c>
      <c r="F117" s="29"/>
      <c r="G117" s="29"/>
      <c r="H117" s="29"/>
      <c r="I117" s="29"/>
      <c r="J117" s="29"/>
      <c r="K117" s="29"/>
      <c r="L117" s="29"/>
      <c r="M117" s="29"/>
      <c r="N117" s="29"/>
      <c r="O117" s="29"/>
      <c r="P117" s="29"/>
      <c r="Q117" s="29"/>
      <c r="R117" s="29"/>
      <c r="S117" s="29"/>
      <c r="T117" s="29"/>
    </row>
    <row r="118" spans="1:20" ht="22.5" customHeight="1">
      <c r="A118" s="48"/>
      <c r="B118" s="44" t="s">
        <v>691</v>
      </c>
      <c r="C118" s="29">
        <f>C119+C120</f>
        <v>0</v>
      </c>
      <c r="D118" s="29">
        <f t="shared" ref="D118:T118" si="52">D119+D120</f>
        <v>0</v>
      </c>
      <c r="E118" s="29">
        <f t="shared" si="52"/>
        <v>401</v>
      </c>
      <c r="F118" s="29">
        <f t="shared" si="52"/>
        <v>0</v>
      </c>
      <c r="G118" s="29">
        <f t="shared" si="52"/>
        <v>0</v>
      </c>
      <c r="H118" s="29">
        <f t="shared" si="52"/>
        <v>0</v>
      </c>
      <c r="I118" s="29">
        <f t="shared" si="52"/>
        <v>401</v>
      </c>
      <c r="J118" s="29">
        <f t="shared" si="52"/>
        <v>0</v>
      </c>
      <c r="K118" s="29">
        <f t="shared" si="52"/>
        <v>0</v>
      </c>
      <c r="L118" s="29">
        <f t="shared" si="52"/>
        <v>0</v>
      </c>
      <c r="M118" s="29">
        <f t="shared" si="52"/>
        <v>0</v>
      </c>
      <c r="N118" s="29">
        <f t="shared" si="52"/>
        <v>0</v>
      </c>
      <c r="O118" s="29">
        <f t="shared" si="52"/>
        <v>0</v>
      </c>
      <c r="P118" s="29">
        <f t="shared" si="52"/>
        <v>0</v>
      </c>
      <c r="Q118" s="29">
        <f t="shared" si="52"/>
        <v>0</v>
      </c>
      <c r="R118" s="29">
        <f t="shared" si="52"/>
        <v>0</v>
      </c>
      <c r="S118" s="29">
        <f t="shared" si="52"/>
        <v>0</v>
      </c>
      <c r="T118" s="29">
        <f t="shared" si="52"/>
        <v>0</v>
      </c>
    </row>
    <row r="119" spans="1:20" s="38" customFormat="1" ht="22.5" customHeight="1">
      <c r="A119" s="57"/>
      <c r="B119" s="58" t="s">
        <v>820</v>
      </c>
      <c r="C119" s="29"/>
      <c r="D119" s="29"/>
      <c r="E119" s="29">
        <f t="shared" si="37"/>
        <v>0</v>
      </c>
      <c r="F119" s="29"/>
      <c r="G119" s="29"/>
      <c r="H119" s="29"/>
      <c r="I119" s="29"/>
      <c r="J119" s="29"/>
      <c r="K119" s="29"/>
      <c r="L119" s="29"/>
      <c r="M119" s="29"/>
      <c r="N119" s="29"/>
      <c r="O119" s="29"/>
      <c r="P119" s="29"/>
      <c r="Q119" s="29"/>
      <c r="R119" s="29"/>
      <c r="S119" s="29"/>
      <c r="T119" s="29"/>
    </row>
    <row r="120" spans="1:20" s="38" customFormat="1" ht="22.5" customHeight="1">
      <c r="A120" s="57"/>
      <c r="B120" s="58" t="s">
        <v>821</v>
      </c>
      <c r="C120" s="29"/>
      <c r="D120" s="29"/>
      <c r="E120" s="29">
        <f t="shared" si="37"/>
        <v>401</v>
      </c>
      <c r="F120" s="29"/>
      <c r="G120" s="29"/>
      <c r="H120" s="29"/>
      <c r="I120" s="29">
        <v>401</v>
      </c>
      <c r="J120" s="29"/>
      <c r="K120" s="29"/>
      <c r="L120" s="29"/>
      <c r="M120" s="29"/>
      <c r="N120" s="29"/>
      <c r="O120" s="29"/>
      <c r="P120" s="29"/>
      <c r="Q120" s="29"/>
      <c r="R120" s="29"/>
      <c r="S120" s="29"/>
      <c r="T120" s="29"/>
    </row>
    <row r="121" spans="1:20" s="26" customFormat="1" ht="22.5" customHeight="1">
      <c r="A121" s="54" t="s">
        <v>14</v>
      </c>
      <c r="B121" s="55" t="s">
        <v>715</v>
      </c>
      <c r="C121" s="29"/>
      <c r="D121" s="29"/>
      <c r="E121" s="30">
        <f>E122+E170+E181+E190+E199</f>
        <v>9363</v>
      </c>
      <c r="F121" s="30">
        <f t="shared" ref="F121:T121" si="53">F122+F170+F181+F190+F199</f>
        <v>0</v>
      </c>
      <c r="G121" s="30">
        <f t="shared" si="53"/>
        <v>0</v>
      </c>
      <c r="H121" s="30">
        <f t="shared" si="53"/>
        <v>0</v>
      </c>
      <c r="I121" s="30">
        <f t="shared" si="53"/>
        <v>640</v>
      </c>
      <c r="J121" s="30">
        <f t="shared" si="53"/>
        <v>0</v>
      </c>
      <c r="K121" s="30">
        <f t="shared" si="53"/>
        <v>0</v>
      </c>
      <c r="L121" s="30">
        <f t="shared" si="53"/>
        <v>0</v>
      </c>
      <c r="M121" s="30">
        <f t="shared" si="53"/>
        <v>0</v>
      </c>
      <c r="N121" s="30">
        <f t="shared" si="53"/>
        <v>0</v>
      </c>
      <c r="O121" s="30">
        <f t="shared" si="53"/>
        <v>7885</v>
      </c>
      <c r="P121" s="30">
        <f t="shared" si="53"/>
        <v>0</v>
      </c>
      <c r="Q121" s="30">
        <f t="shared" si="53"/>
        <v>0</v>
      </c>
      <c r="R121" s="30">
        <f t="shared" si="53"/>
        <v>838</v>
      </c>
      <c r="S121" s="30">
        <f t="shared" si="53"/>
        <v>0</v>
      </c>
      <c r="T121" s="30">
        <f t="shared" si="53"/>
        <v>0</v>
      </c>
    </row>
    <row r="122" spans="1:20" ht="36" customHeight="1">
      <c r="A122" s="48">
        <v>1</v>
      </c>
      <c r="B122" s="44" t="s">
        <v>716</v>
      </c>
      <c r="C122" s="29">
        <f>C123+C124</f>
        <v>0</v>
      </c>
      <c r="D122" s="29">
        <f t="shared" ref="D122:T122" si="54">D123+D124</f>
        <v>0</v>
      </c>
      <c r="E122" s="29">
        <f t="shared" si="54"/>
        <v>4375</v>
      </c>
      <c r="F122" s="29">
        <f t="shared" si="54"/>
        <v>0</v>
      </c>
      <c r="G122" s="29">
        <f t="shared" si="54"/>
        <v>0</v>
      </c>
      <c r="H122" s="29">
        <f t="shared" si="54"/>
        <v>0</v>
      </c>
      <c r="I122" s="29">
        <f t="shared" si="54"/>
        <v>598</v>
      </c>
      <c r="J122" s="29">
        <f t="shared" si="54"/>
        <v>0</v>
      </c>
      <c r="K122" s="29">
        <f t="shared" si="54"/>
        <v>0</v>
      </c>
      <c r="L122" s="29">
        <f t="shared" si="54"/>
        <v>0</v>
      </c>
      <c r="M122" s="29">
        <f t="shared" si="54"/>
        <v>0</v>
      </c>
      <c r="N122" s="29">
        <f t="shared" si="54"/>
        <v>0</v>
      </c>
      <c r="O122" s="29">
        <f t="shared" si="54"/>
        <v>3527</v>
      </c>
      <c r="P122" s="29">
        <f t="shared" si="54"/>
        <v>0</v>
      </c>
      <c r="Q122" s="29">
        <f t="shared" si="54"/>
        <v>0</v>
      </c>
      <c r="R122" s="29">
        <f t="shared" si="54"/>
        <v>250</v>
      </c>
      <c r="S122" s="29">
        <f t="shared" si="54"/>
        <v>0</v>
      </c>
      <c r="T122" s="29">
        <f t="shared" si="54"/>
        <v>0</v>
      </c>
    </row>
    <row r="123" spans="1:20" s="38" customFormat="1" ht="22.5" customHeight="1">
      <c r="A123" s="57"/>
      <c r="B123" s="58" t="s">
        <v>820</v>
      </c>
      <c r="C123" s="29">
        <f>C126+C135+C144+C153+C162</f>
        <v>0</v>
      </c>
      <c r="D123" s="29">
        <f t="shared" ref="D123:T124" si="55">D126+D135+D144+D153+D162</f>
        <v>0</v>
      </c>
      <c r="E123" s="29">
        <f t="shared" si="55"/>
        <v>3527</v>
      </c>
      <c r="F123" s="29">
        <f t="shared" si="55"/>
        <v>0</v>
      </c>
      <c r="G123" s="29">
        <f t="shared" si="55"/>
        <v>0</v>
      </c>
      <c r="H123" s="29">
        <f t="shared" si="55"/>
        <v>0</v>
      </c>
      <c r="I123" s="29">
        <f t="shared" si="55"/>
        <v>0</v>
      </c>
      <c r="J123" s="29">
        <f t="shared" si="55"/>
        <v>0</v>
      </c>
      <c r="K123" s="29">
        <f t="shared" si="55"/>
        <v>0</v>
      </c>
      <c r="L123" s="29">
        <f t="shared" si="55"/>
        <v>0</v>
      </c>
      <c r="M123" s="29">
        <f t="shared" si="55"/>
        <v>0</v>
      </c>
      <c r="N123" s="29">
        <f t="shared" si="55"/>
        <v>0</v>
      </c>
      <c r="O123" s="29">
        <f t="shared" si="55"/>
        <v>3527</v>
      </c>
      <c r="P123" s="29">
        <f t="shared" si="55"/>
        <v>0</v>
      </c>
      <c r="Q123" s="29">
        <f t="shared" si="55"/>
        <v>0</v>
      </c>
      <c r="R123" s="29">
        <f t="shared" si="55"/>
        <v>0</v>
      </c>
      <c r="S123" s="29">
        <f t="shared" si="55"/>
        <v>0</v>
      </c>
      <c r="T123" s="29">
        <f t="shared" si="55"/>
        <v>0</v>
      </c>
    </row>
    <row r="124" spans="1:20" s="38" customFormat="1" ht="22.5" customHeight="1">
      <c r="A124" s="57"/>
      <c r="B124" s="58" t="s">
        <v>821</v>
      </c>
      <c r="C124" s="29">
        <f>C127+C136+C145+C154+C163</f>
        <v>0</v>
      </c>
      <c r="D124" s="29">
        <f t="shared" si="55"/>
        <v>0</v>
      </c>
      <c r="E124" s="29">
        <f t="shared" si="55"/>
        <v>848</v>
      </c>
      <c r="F124" s="29">
        <f t="shared" si="55"/>
        <v>0</v>
      </c>
      <c r="G124" s="29">
        <f t="shared" si="55"/>
        <v>0</v>
      </c>
      <c r="H124" s="29">
        <f t="shared" si="55"/>
        <v>0</v>
      </c>
      <c r="I124" s="29">
        <f t="shared" si="55"/>
        <v>598</v>
      </c>
      <c r="J124" s="29">
        <f t="shared" si="55"/>
        <v>0</v>
      </c>
      <c r="K124" s="29">
        <f t="shared" si="55"/>
        <v>0</v>
      </c>
      <c r="L124" s="29">
        <f t="shared" si="55"/>
        <v>0</v>
      </c>
      <c r="M124" s="29">
        <f t="shared" si="55"/>
        <v>0</v>
      </c>
      <c r="N124" s="29">
        <f t="shared" si="55"/>
        <v>0</v>
      </c>
      <c r="O124" s="29">
        <f t="shared" si="55"/>
        <v>0</v>
      </c>
      <c r="P124" s="29">
        <f t="shared" si="55"/>
        <v>0</v>
      </c>
      <c r="Q124" s="29">
        <f t="shared" si="55"/>
        <v>0</v>
      </c>
      <c r="R124" s="29">
        <f t="shared" si="55"/>
        <v>250</v>
      </c>
      <c r="S124" s="29">
        <f t="shared" si="55"/>
        <v>0</v>
      </c>
      <c r="T124" s="29">
        <f t="shared" si="55"/>
        <v>0</v>
      </c>
    </row>
    <row r="125" spans="1:20" ht="22.5" customHeight="1">
      <c r="A125" s="461" t="s">
        <v>157</v>
      </c>
      <c r="B125" s="44" t="s">
        <v>717</v>
      </c>
      <c r="C125" s="29">
        <f>C126+C127</f>
        <v>0</v>
      </c>
      <c r="D125" s="29">
        <f t="shared" ref="D125:T125" si="56">D126+D127</f>
        <v>0</v>
      </c>
      <c r="E125" s="29">
        <f t="shared" ref="E125:E188" si="57">F125+G125+H125+I125+J125+K125+L125+M125+N125+O125+R125+S125+T125</f>
        <v>631</v>
      </c>
      <c r="F125" s="29">
        <f t="shared" si="56"/>
        <v>0</v>
      </c>
      <c r="G125" s="29">
        <f t="shared" si="56"/>
        <v>0</v>
      </c>
      <c r="H125" s="29">
        <f t="shared" si="56"/>
        <v>0</v>
      </c>
      <c r="I125" s="29">
        <f t="shared" si="56"/>
        <v>84</v>
      </c>
      <c r="J125" s="29">
        <f t="shared" si="56"/>
        <v>0</v>
      </c>
      <c r="K125" s="29">
        <f t="shared" si="56"/>
        <v>0</v>
      </c>
      <c r="L125" s="29">
        <f t="shared" si="56"/>
        <v>0</v>
      </c>
      <c r="M125" s="29">
        <f t="shared" si="56"/>
        <v>0</v>
      </c>
      <c r="N125" s="29">
        <f t="shared" si="56"/>
        <v>0</v>
      </c>
      <c r="O125" s="29">
        <f t="shared" si="56"/>
        <v>547</v>
      </c>
      <c r="P125" s="29">
        <f t="shared" si="56"/>
        <v>0</v>
      </c>
      <c r="Q125" s="29">
        <f t="shared" si="56"/>
        <v>0</v>
      </c>
      <c r="R125" s="29">
        <f t="shared" si="56"/>
        <v>0</v>
      </c>
      <c r="S125" s="29">
        <f t="shared" si="56"/>
        <v>0</v>
      </c>
      <c r="T125" s="29">
        <f t="shared" si="56"/>
        <v>0</v>
      </c>
    </row>
    <row r="126" spans="1:20" s="38" customFormat="1" ht="28.5" customHeight="1">
      <c r="A126" s="57"/>
      <c r="B126" s="58" t="s">
        <v>820</v>
      </c>
      <c r="C126" s="29">
        <f>C129+C132</f>
        <v>0</v>
      </c>
      <c r="D126" s="29">
        <f t="shared" ref="D126:T127" si="58">D129+D132</f>
        <v>0</v>
      </c>
      <c r="E126" s="29">
        <f t="shared" si="57"/>
        <v>547</v>
      </c>
      <c r="F126" s="29">
        <f t="shared" si="58"/>
        <v>0</v>
      </c>
      <c r="G126" s="29">
        <f t="shared" si="58"/>
        <v>0</v>
      </c>
      <c r="H126" s="29">
        <f t="shared" si="58"/>
        <v>0</v>
      </c>
      <c r="I126" s="29">
        <f t="shared" si="58"/>
        <v>0</v>
      </c>
      <c r="J126" s="29">
        <f t="shared" si="58"/>
        <v>0</v>
      </c>
      <c r="K126" s="29">
        <f t="shared" si="58"/>
        <v>0</v>
      </c>
      <c r="L126" s="29">
        <f t="shared" si="58"/>
        <v>0</v>
      </c>
      <c r="M126" s="29">
        <f t="shared" si="58"/>
        <v>0</v>
      </c>
      <c r="N126" s="29">
        <f t="shared" si="58"/>
        <v>0</v>
      </c>
      <c r="O126" s="29">
        <f t="shared" si="58"/>
        <v>547</v>
      </c>
      <c r="P126" s="29">
        <f t="shared" si="58"/>
        <v>0</v>
      </c>
      <c r="Q126" s="29">
        <f t="shared" si="58"/>
        <v>0</v>
      </c>
      <c r="R126" s="29">
        <f t="shared" si="58"/>
        <v>0</v>
      </c>
      <c r="S126" s="29">
        <f t="shared" si="58"/>
        <v>0</v>
      </c>
      <c r="T126" s="29">
        <f t="shared" si="58"/>
        <v>0</v>
      </c>
    </row>
    <row r="127" spans="1:20" s="38" customFormat="1" ht="22.5" customHeight="1">
      <c r="A127" s="57"/>
      <c r="B127" s="58" t="s">
        <v>821</v>
      </c>
      <c r="C127" s="29">
        <f>C130+C133</f>
        <v>0</v>
      </c>
      <c r="D127" s="29">
        <f t="shared" si="58"/>
        <v>0</v>
      </c>
      <c r="E127" s="29">
        <f t="shared" si="57"/>
        <v>84</v>
      </c>
      <c r="F127" s="29">
        <f t="shared" si="58"/>
        <v>0</v>
      </c>
      <c r="G127" s="29">
        <f t="shared" si="58"/>
        <v>0</v>
      </c>
      <c r="H127" s="29">
        <f t="shared" si="58"/>
        <v>0</v>
      </c>
      <c r="I127" s="29">
        <f t="shared" si="58"/>
        <v>84</v>
      </c>
      <c r="J127" s="29">
        <f t="shared" si="58"/>
        <v>0</v>
      </c>
      <c r="K127" s="29">
        <f t="shared" si="58"/>
        <v>0</v>
      </c>
      <c r="L127" s="29">
        <f t="shared" si="58"/>
        <v>0</v>
      </c>
      <c r="M127" s="29">
        <f t="shared" si="58"/>
        <v>0</v>
      </c>
      <c r="N127" s="29">
        <f t="shared" si="58"/>
        <v>0</v>
      </c>
      <c r="O127" s="29">
        <f t="shared" si="58"/>
        <v>0</v>
      </c>
      <c r="P127" s="29">
        <f t="shared" si="58"/>
        <v>0</v>
      </c>
      <c r="Q127" s="29">
        <f t="shared" si="58"/>
        <v>0</v>
      </c>
      <c r="R127" s="29">
        <f t="shared" si="58"/>
        <v>0</v>
      </c>
      <c r="S127" s="29">
        <f t="shared" si="58"/>
        <v>0</v>
      </c>
      <c r="T127" s="29">
        <f t="shared" si="58"/>
        <v>0</v>
      </c>
    </row>
    <row r="128" spans="1:20" ht="22.5" customHeight="1">
      <c r="A128" s="48"/>
      <c r="B128" s="44" t="s">
        <v>690</v>
      </c>
      <c r="C128" s="29">
        <f>C129+C130</f>
        <v>0</v>
      </c>
      <c r="D128" s="29">
        <f t="shared" ref="D128:T128" si="59">D129+D130</f>
        <v>0</v>
      </c>
      <c r="E128" s="29">
        <f t="shared" si="57"/>
        <v>584</v>
      </c>
      <c r="F128" s="29">
        <f t="shared" si="59"/>
        <v>0</v>
      </c>
      <c r="G128" s="29">
        <f t="shared" si="59"/>
        <v>0</v>
      </c>
      <c r="H128" s="29">
        <f t="shared" si="59"/>
        <v>0</v>
      </c>
      <c r="I128" s="29">
        <f t="shared" si="59"/>
        <v>84</v>
      </c>
      <c r="J128" s="29">
        <f t="shared" si="59"/>
        <v>0</v>
      </c>
      <c r="K128" s="29">
        <f t="shared" si="59"/>
        <v>0</v>
      </c>
      <c r="L128" s="29">
        <f t="shared" si="59"/>
        <v>0</v>
      </c>
      <c r="M128" s="29">
        <f t="shared" si="59"/>
        <v>0</v>
      </c>
      <c r="N128" s="29">
        <f t="shared" si="59"/>
        <v>0</v>
      </c>
      <c r="O128" s="29">
        <f t="shared" si="59"/>
        <v>500</v>
      </c>
      <c r="P128" s="29">
        <f t="shared" si="59"/>
        <v>0</v>
      </c>
      <c r="Q128" s="29">
        <f t="shared" si="59"/>
        <v>0</v>
      </c>
      <c r="R128" s="29">
        <f t="shared" si="59"/>
        <v>0</v>
      </c>
      <c r="S128" s="29">
        <f t="shared" si="59"/>
        <v>0</v>
      </c>
      <c r="T128" s="29">
        <f t="shared" si="59"/>
        <v>0</v>
      </c>
    </row>
    <row r="129" spans="1:20" s="38" customFormat="1" ht="22.5" customHeight="1">
      <c r="A129" s="57"/>
      <c r="B129" s="58" t="s">
        <v>820</v>
      </c>
      <c r="C129" s="29"/>
      <c r="D129" s="29"/>
      <c r="E129" s="29">
        <f t="shared" si="57"/>
        <v>500</v>
      </c>
      <c r="F129" s="29"/>
      <c r="G129" s="29"/>
      <c r="H129" s="29"/>
      <c r="I129" s="29"/>
      <c r="J129" s="29"/>
      <c r="K129" s="29"/>
      <c r="L129" s="29"/>
      <c r="M129" s="29"/>
      <c r="N129" s="29"/>
      <c r="O129" s="29">
        <f>'[4]38.1TW'!J27</f>
        <v>500</v>
      </c>
      <c r="P129" s="29"/>
      <c r="Q129" s="29"/>
      <c r="R129" s="29"/>
      <c r="S129" s="29"/>
      <c r="T129" s="29"/>
    </row>
    <row r="130" spans="1:20" s="38" customFormat="1" ht="22.5" customHeight="1">
      <c r="A130" s="57"/>
      <c r="B130" s="58" t="s">
        <v>821</v>
      </c>
      <c r="C130" s="29"/>
      <c r="D130" s="29"/>
      <c r="E130" s="29">
        <f t="shared" si="57"/>
        <v>84</v>
      </c>
      <c r="F130" s="29"/>
      <c r="G130" s="29"/>
      <c r="H130" s="29"/>
      <c r="I130" s="29">
        <v>84</v>
      </c>
      <c r="J130" s="29"/>
      <c r="K130" s="29"/>
      <c r="L130" s="29"/>
      <c r="M130" s="29"/>
      <c r="N130" s="29"/>
      <c r="O130" s="29"/>
      <c r="P130" s="29"/>
      <c r="Q130" s="29"/>
      <c r="R130" s="29"/>
      <c r="S130" s="29"/>
      <c r="T130" s="29"/>
    </row>
    <row r="131" spans="1:20" ht="22.5" customHeight="1">
      <c r="A131" s="48"/>
      <c r="B131" s="44" t="s">
        <v>691</v>
      </c>
      <c r="C131" s="29">
        <f>C132+C133</f>
        <v>0</v>
      </c>
      <c r="D131" s="29">
        <f t="shared" ref="D131:T131" si="60">D132+D133</f>
        <v>0</v>
      </c>
      <c r="E131" s="29">
        <f t="shared" si="60"/>
        <v>47</v>
      </c>
      <c r="F131" s="29">
        <f t="shared" si="60"/>
        <v>0</v>
      </c>
      <c r="G131" s="29">
        <f t="shared" si="60"/>
        <v>0</v>
      </c>
      <c r="H131" s="29">
        <f t="shared" si="60"/>
        <v>0</v>
      </c>
      <c r="I131" s="29">
        <f t="shared" si="60"/>
        <v>0</v>
      </c>
      <c r="J131" s="29">
        <f t="shared" si="60"/>
        <v>0</v>
      </c>
      <c r="K131" s="29">
        <f t="shared" si="60"/>
        <v>0</v>
      </c>
      <c r="L131" s="29">
        <f t="shared" si="60"/>
        <v>0</v>
      </c>
      <c r="M131" s="29">
        <f t="shared" si="60"/>
        <v>0</v>
      </c>
      <c r="N131" s="29">
        <f t="shared" si="60"/>
        <v>0</v>
      </c>
      <c r="O131" s="29">
        <f t="shared" si="60"/>
        <v>47</v>
      </c>
      <c r="P131" s="29">
        <f t="shared" si="60"/>
        <v>0</v>
      </c>
      <c r="Q131" s="29">
        <f t="shared" si="60"/>
        <v>0</v>
      </c>
      <c r="R131" s="29">
        <f t="shared" si="60"/>
        <v>0</v>
      </c>
      <c r="S131" s="29">
        <f t="shared" si="60"/>
        <v>0</v>
      </c>
      <c r="T131" s="29">
        <f t="shared" si="60"/>
        <v>0</v>
      </c>
    </row>
    <row r="132" spans="1:20" s="38" customFormat="1" ht="22.5" customHeight="1">
      <c r="A132" s="57"/>
      <c r="B132" s="58" t="s">
        <v>820</v>
      </c>
      <c r="C132" s="29"/>
      <c r="D132" s="29"/>
      <c r="E132" s="29">
        <f t="shared" si="57"/>
        <v>47</v>
      </c>
      <c r="F132" s="29"/>
      <c r="G132" s="29"/>
      <c r="H132" s="29"/>
      <c r="I132" s="29"/>
      <c r="J132" s="29"/>
      <c r="K132" s="29"/>
      <c r="L132" s="29"/>
      <c r="M132" s="29"/>
      <c r="N132" s="29"/>
      <c r="O132" s="29">
        <v>47</v>
      </c>
      <c r="P132" s="29"/>
      <c r="Q132" s="29"/>
      <c r="R132" s="29"/>
      <c r="S132" s="29"/>
      <c r="T132" s="29"/>
    </row>
    <row r="133" spans="1:20" s="38" customFormat="1" ht="22.5" customHeight="1">
      <c r="A133" s="57"/>
      <c r="B133" s="58" t="s">
        <v>821</v>
      </c>
      <c r="C133" s="29"/>
      <c r="D133" s="29"/>
      <c r="E133" s="29">
        <f t="shared" si="57"/>
        <v>0</v>
      </c>
      <c r="F133" s="29"/>
      <c r="G133" s="29"/>
      <c r="H133" s="29"/>
      <c r="I133" s="29"/>
      <c r="J133" s="29"/>
      <c r="K133" s="29"/>
      <c r="L133" s="29"/>
      <c r="M133" s="29"/>
      <c r="N133" s="29"/>
      <c r="O133" s="29"/>
      <c r="P133" s="29"/>
      <c r="Q133" s="29"/>
      <c r="R133" s="29"/>
      <c r="S133" s="29"/>
      <c r="T133" s="29"/>
    </row>
    <row r="134" spans="1:20" ht="22.5" customHeight="1">
      <c r="A134" s="461" t="s">
        <v>164</v>
      </c>
      <c r="B134" s="44" t="s">
        <v>718</v>
      </c>
      <c r="C134" s="29">
        <f>C135+C136</f>
        <v>0</v>
      </c>
      <c r="D134" s="29">
        <f t="shared" ref="D134:T134" si="61">D135+D136</f>
        <v>0</v>
      </c>
      <c r="E134" s="29">
        <f t="shared" si="57"/>
        <v>895</v>
      </c>
      <c r="F134" s="29">
        <f t="shared" si="61"/>
        <v>0</v>
      </c>
      <c r="G134" s="29">
        <f t="shared" si="61"/>
        <v>0</v>
      </c>
      <c r="H134" s="29">
        <f t="shared" si="61"/>
        <v>0</v>
      </c>
      <c r="I134" s="29">
        <f t="shared" si="61"/>
        <v>211</v>
      </c>
      <c r="J134" s="29">
        <f t="shared" si="61"/>
        <v>0</v>
      </c>
      <c r="K134" s="29">
        <f t="shared" si="61"/>
        <v>0</v>
      </c>
      <c r="L134" s="29">
        <f t="shared" si="61"/>
        <v>0</v>
      </c>
      <c r="M134" s="29">
        <f t="shared" si="61"/>
        <v>0</v>
      </c>
      <c r="N134" s="29">
        <f t="shared" si="61"/>
        <v>0</v>
      </c>
      <c r="O134" s="29">
        <f t="shared" si="61"/>
        <v>684</v>
      </c>
      <c r="P134" s="29">
        <f t="shared" si="61"/>
        <v>0</v>
      </c>
      <c r="Q134" s="29">
        <f t="shared" si="61"/>
        <v>0</v>
      </c>
      <c r="R134" s="29">
        <f t="shared" si="61"/>
        <v>0</v>
      </c>
      <c r="S134" s="29">
        <f t="shared" si="61"/>
        <v>0</v>
      </c>
      <c r="T134" s="29">
        <f t="shared" si="61"/>
        <v>0</v>
      </c>
    </row>
    <row r="135" spans="1:20" s="38" customFormat="1" ht="22.5" customHeight="1">
      <c r="A135" s="57"/>
      <c r="B135" s="58" t="s">
        <v>820</v>
      </c>
      <c r="C135" s="29">
        <f>C138+C141</f>
        <v>0</v>
      </c>
      <c r="D135" s="29">
        <f t="shared" ref="D135:T136" si="62">D138+D141</f>
        <v>0</v>
      </c>
      <c r="E135" s="29">
        <f t="shared" si="57"/>
        <v>684</v>
      </c>
      <c r="F135" s="29">
        <f t="shared" si="62"/>
        <v>0</v>
      </c>
      <c r="G135" s="29">
        <f t="shared" si="62"/>
        <v>0</v>
      </c>
      <c r="H135" s="29">
        <f t="shared" si="62"/>
        <v>0</v>
      </c>
      <c r="I135" s="29">
        <f t="shared" si="62"/>
        <v>0</v>
      </c>
      <c r="J135" s="29">
        <f t="shared" si="62"/>
        <v>0</v>
      </c>
      <c r="K135" s="29">
        <f t="shared" si="62"/>
        <v>0</v>
      </c>
      <c r="L135" s="29">
        <f t="shared" si="62"/>
        <v>0</v>
      </c>
      <c r="M135" s="29">
        <f t="shared" si="62"/>
        <v>0</v>
      </c>
      <c r="N135" s="29">
        <f t="shared" si="62"/>
        <v>0</v>
      </c>
      <c r="O135" s="29">
        <f t="shared" si="62"/>
        <v>684</v>
      </c>
      <c r="P135" s="29">
        <f t="shared" si="62"/>
        <v>0</v>
      </c>
      <c r="Q135" s="29">
        <f t="shared" si="62"/>
        <v>0</v>
      </c>
      <c r="R135" s="29">
        <f t="shared" si="62"/>
        <v>0</v>
      </c>
      <c r="S135" s="29">
        <f t="shared" si="62"/>
        <v>0</v>
      </c>
      <c r="T135" s="29">
        <f t="shared" si="62"/>
        <v>0</v>
      </c>
    </row>
    <row r="136" spans="1:20" s="38" customFormat="1" ht="22.5" customHeight="1">
      <c r="A136" s="57"/>
      <c r="B136" s="58" t="s">
        <v>821</v>
      </c>
      <c r="C136" s="29">
        <f>C139+C142</f>
        <v>0</v>
      </c>
      <c r="D136" s="29">
        <f t="shared" si="62"/>
        <v>0</v>
      </c>
      <c r="E136" s="29">
        <f t="shared" si="57"/>
        <v>211</v>
      </c>
      <c r="F136" s="29">
        <f t="shared" si="62"/>
        <v>0</v>
      </c>
      <c r="G136" s="29">
        <f t="shared" si="62"/>
        <v>0</v>
      </c>
      <c r="H136" s="29">
        <f t="shared" si="62"/>
        <v>0</v>
      </c>
      <c r="I136" s="29">
        <f t="shared" si="62"/>
        <v>211</v>
      </c>
      <c r="J136" s="29">
        <f t="shared" si="62"/>
        <v>0</v>
      </c>
      <c r="K136" s="29">
        <f t="shared" si="62"/>
        <v>0</v>
      </c>
      <c r="L136" s="29">
        <f t="shared" si="62"/>
        <v>0</v>
      </c>
      <c r="M136" s="29">
        <f t="shared" si="62"/>
        <v>0</v>
      </c>
      <c r="N136" s="29">
        <f t="shared" si="62"/>
        <v>0</v>
      </c>
      <c r="O136" s="29">
        <f t="shared" si="62"/>
        <v>0</v>
      </c>
      <c r="P136" s="29">
        <f t="shared" si="62"/>
        <v>0</v>
      </c>
      <c r="Q136" s="29">
        <f t="shared" si="62"/>
        <v>0</v>
      </c>
      <c r="R136" s="29">
        <f t="shared" si="62"/>
        <v>0</v>
      </c>
      <c r="S136" s="29">
        <f t="shared" si="62"/>
        <v>0</v>
      </c>
      <c r="T136" s="29">
        <f t="shared" si="62"/>
        <v>0</v>
      </c>
    </row>
    <row r="137" spans="1:20" ht="22.5" customHeight="1">
      <c r="A137" s="48"/>
      <c r="B137" s="44" t="s">
        <v>690</v>
      </c>
      <c r="C137" s="29">
        <f>C138+C139</f>
        <v>0</v>
      </c>
      <c r="D137" s="29">
        <f t="shared" ref="D137:T137" si="63">D138+D139</f>
        <v>0</v>
      </c>
      <c r="E137" s="29">
        <f t="shared" si="57"/>
        <v>411</v>
      </c>
      <c r="F137" s="29">
        <f t="shared" si="63"/>
        <v>0</v>
      </c>
      <c r="G137" s="29">
        <f t="shared" si="63"/>
        <v>0</v>
      </c>
      <c r="H137" s="29">
        <f t="shared" si="63"/>
        <v>0</v>
      </c>
      <c r="I137" s="29">
        <f t="shared" si="63"/>
        <v>211</v>
      </c>
      <c r="J137" s="29">
        <f t="shared" si="63"/>
        <v>0</v>
      </c>
      <c r="K137" s="29">
        <f t="shared" si="63"/>
        <v>0</v>
      </c>
      <c r="L137" s="29">
        <f t="shared" si="63"/>
        <v>0</v>
      </c>
      <c r="M137" s="29">
        <f t="shared" si="63"/>
        <v>0</v>
      </c>
      <c r="N137" s="29">
        <f t="shared" si="63"/>
        <v>0</v>
      </c>
      <c r="O137" s="29">
        <f t="shared" si="63"/>
        <v>200</v>
      </c>
      <c r="P137" s="29">
        <f t="shared" si="63"/>
        <v>0</v>
      </c>
      <c r="Q137" s="29">
        <f t="shared" si="63"/>
        <v>0</v>
      </c>
      <c r="R137" s="29">
        <f t="shared" si="63"/>
        <v>0</v>
      </c>
      <c r="S137" s="29">
        <f t="shared" si="63"/>
        <v>0</v>
      </c>
      <c r="T137" s="29">
        <f t="shared" si="63"/>
        <v>0</v>
      </c>
    </row>
    <row r="138" spans="1:20" s="38" customFormat="1" ht="22.5" customHeight="1">
      <c r="A138" s="57"/>
      <c r="B138" s="58" t="s">
        <v>820</v>
      </c>
      <c r="C138" s="29"/>
      <c r="D138" s="29"/>
      <c r="E138" s="29">
        <f t="shared" si="57"/>
        <v>200</v>
      </c>
      <c r="F138" s="29"/>
      <c r="G138" s="29"/>
      <c r="H138" s="29"/>
      <c r="I138" s="29"/>
      <c r="J138" s="29"/>
      <c r="K138" s="29"/>
      <c r="L138" s="29"/>
      <c r="M138" s="29"/>
      <c r="N138" s="29"/>
      <c r="O138" s="29">
        <f>'[4]38.1TW'!J51</f>
        <v>200</v>
      </c>
      <c r="P138" s="29"/>
      <c r="Q138" s="29"/>
      <c r="R138" s="29"/>
      <c r="S138" s="29"/>
      <c r="T138" s="29"/>
    </row>
    <row r="139" spans="1:20" s="38" customFormat="1" ht="22.5" customHeight="1">
      <c r="A139" s="57"/>
      <c r="B139" s="58" t="s">
        <v>821</v>
      </c>
      <c r="C139" s="29"/>
      <c r="D139" s="29"/>
      <c r="E139" s="29">
        <f t="shared" si="57"/>
        <v>211</v>
      </c>
      <c r="F139" s="29"/>
      <c r="G139" s="29"/>
      <c r="H139" s="29"/>
      <c r="I139" s="29">
        <v>211</v>
      </c>
      <c r="J139" s="29"/>
      <c r="K139" s="29"/>
      <c r="L139" s="29"/>
      <c r="M139" s="29"/>
      <c r="N139" s="29"/>
      <c r="O139" s="29"/>
      <c r="P139" s="29"/>
      <c r="Q139" s="29"/>
      <c r="R139" s="29"/>
      <c r="S139" s="29"/>
      <c r="T139" s="29"/>
    </row>
    <row r="140" spans="1:20" ht="22.5" customHeight="1">
      <c r="A140" s="48"/>
      <c r="B140" s="44" t="s">
        <v>691</v>
      </c>
      <c r="C140" s="29">
        <f>C141+C142</f>
        <v>0</v>
      </c>
      <c r="D140" s="29">
        <f t="shared" ref="D140:T140" si="64">D141+D142</f>
        <v>0</v>
      </c>
      <c r="E140" s="29">
        <f t="shared" si="64"/>
        <v>484</v>
      </c>
      <c r="F140" s="29">
        <f t="shared" si="64"/>
        <v>0</v>
      </c>
      <c r="G140" s="29">
        <f t="shared" si="64"/>
        <v>0</v>
      </c>
      <c r="H140" s="29">
        <f t="shared" si="64"/>
        <v>0</v>
      </c>
      <c r="I140" s="29">
        <f t="shared" si="64"/>
        <v>0</v>
      </c>
      <c r="J140" s="29">
        <f t="shared" si="64"/>
        <v>0</v>
      </c>
      <c r="K140" s="29">
        <f t="shared" si="64"/>
        <v>0</v>
      </c>
      <c r="L140" s="29">
        <f t="shared" si="64"/>
        <v>0</v>
      </c>
      <c r="M140" s="29">
        <f t="shared" si="64"/>
        <v>0</v>
      </c>
      <c r="N140" s="29">
        <f t="shared" si="64"/>
        <v>0</v>
      </c>
      <c r="O140" s="29">
        <f t="shared" si="64"/>
        <v>484</v>
      </c>
      <c r="P140" s="29">
        <f t="shared" si="64"/>
        <v>0</v>
      </c>
      <c r="Q140" s="29">
        <f t="shared" si="64"/>
        <v>0</v>
      </c>
      <c r="R140" s="29">
        <f t="shared" si="64"/>
        <v>0</v>
      </c>
      <c r="S140" s="29">
        <f t="shared" si="64"/>
        <v>0</v>
      </c>
      <c r="T140" s="29">
        <f t="shared" si="64"/>
        <v>0</v>
      </c>
    </row>
    <row r="141" spans="1:20" s="38" customFormat="1" ht="22.5" customHeight="1">
      <c r="A141" s="57"/>
      <c r="B141" s="58" t="s">
        <v>820</v>
      </c>
      <c r="C141" s="29"/>
      <c r="D141" s="29"/>
      <c r="E141" s="29">
        <f t="shared" si="57"/>
        <v>484</v>
      </c>
      <c r="F141" s="29"/>
      <c r="G141" s="29"/>
      <c r="H141" s="29"/>
      <c r="I141" s="29"/>
      <c r="J141" s="29"/>
      <c r="K141" s="29"/>
      <c r="L141" s="29"/>
      <c r="M141" s="29"/>
      <c r="N141" s="29"/>
      <c r="O141" s="29">
        <v>484</v>
      </c>
      <c r="P141" s="29"/>
      <c r="Q141" s="29"/>
      <c r="R141" s="29"/>
      <c r="S141" s="29"/>
      <c r="T141" s="29"/>
    </row>
    <row r="142" spans="1:20" s="38" customFormat="1" ht="22.5" customHeight="1">
      <c r="A142" s="57"/>
      <c r="B142" s="58" t="s">
        <v>821</v>
      </c>
      <c r="C142" s="29"/>
      <c r="D142" s="29"/>
      <c r="E142" s="29">
        <f t="shared" si="57"/>
        <v>0</v>
      </c>
      <c r="F142" s="29"/>
      <c r="G142" s="29"/>
      <c r="H142" s="29"/>
      <c r="I142" s="29"/>
      <c r="J142" s="29"/>
      <c r="K142" s="29"/>
      <c r="L142" s="29"/>
      <c r="M142" s="29"/>
      <c r="N142" s="29"/>
      <c r="O142" s="29"/>
      <c r="P142" s="29"/>
      <c r="Q142" s="29"/>
      <c r="R142" s="29"/>
      <c r="S142" s="29"/>
      <c r="T142" s="29"/>
    </row>
    <row r="143" spans="1:20" ht="22.5" customHeight="1">
      <c r="A143" s="461" t="s">
        <v>166</v>
      </c>
      <c r="B143" s="44" t="s">
        <v>719</v>
      </c>
      <c r="C143" s="29">
        <f>C144+C145</f>
        <v>0</v>
      </c>
      <c r="D143" s="29">
        <f t="shared" ref="D143:T143" si="65">D144+D145</f>
        <v>0</v>
      </c>
      <c r="E143" s="29">
        <f t="shared" si="57"/>
        <v>1311</v>
      </c>
      <c r="F143" s="29">
        <f t="shared" si="65"/>
        <v>0</v>
      </c>
      <c r="G143" s="29">
        <f t="shared" si="65"/>
        <v>0</v>
      </c>
      <c r="H143" s="29">
        <f t="shared" si="65"/>
        <v>0</v>
      </c>
      <c r="I143" s="29">
        <f t="shared" si="65"/>
        <v>141</v>
      </c>
      <c r="J143" s="29">
        <f t="shared" si="65"/>
        <v>0</v>
      </c>
      <c r="K143" s="29">
        <f t="shared" si="65"/>
        <v>0</v>
      </c>
      <c r="L143" s="29">
        <f t="shared" si="65"/>
        <v>0</v>
      </c>
      <c r="M143" s="29">
        <f t="shared" si="65"/>
        <v>0</v>
      </c>
      <c r="N143" s="29">
        <f t="shared" si="65"/>
        <v>0</v>
      </c>
      <c r="O143" s="29">
        <f t="shared" si="65"/>
        <v>920</v>
      </c>
      <c r="P143" s="29">
        <f t="shared" si="65"/>
        <v>0</v>
      </c>
      <c r="Q143" s="29">
        <f t="shared" si="65"/>
        <v>0</v>
      </c>
      <c r="R143" s="29">
        <f t="shared" si="65"/>
        <v>250</v>
      </c>
      <c r="S143" s="29">
        <f t="shared" si="65"/>
        <v>0</v>
      </c>
      <c r="T143" s="29">
        <f t="shared" si="65"/>
        <v>0</v>
      </c>
    </row>
    <row r="144" spans="1:20" s="38" customFormat="1" ht="22.5" customHeight="1">
      <c r="A144" s="57"/>
      <c r="B144" s="58" t="s">
        <v>820</v>
      </c>
      <c r="C144" s="29">
        <f>C147+C150</f>
        <v>0</v>
      </c>
      <c r="D144" s="29">
        <f t="shared" ref="D144:T145" si="66">D147+D150</f>
        <v>0</v>
      </c>
      <c r="E144" s="29">
        <f t="shared" si="57"/>
        <v>920</v>
      </c>
      <c r="F144" s="29">
        <f t="shared" si="66"/>
        <v>0</v>
      </c>
      <c r="G144" s="29">
        <f t="shared" si="66"/>
        <v>0</v>
      </c>
      <c r="H144" s="29">
        <f t="shared" si="66"/>
        <v>0</v>
      </c>
      <c r="I144" s="29">
        <f t="shared" si="66"/>
        <v>0</v>
      </c>
      <c r="J144" s="29">
        <f t="shared" si="66"/>
        <v>0</v>
      </c>
      <c r="K144" s="29">
        <f t="shared" si="66"/>
        <v>0</v>
      </c>
      <c r="L144" s="29">
        <f t="shared" si="66"/>
        <v>0</v>
      </c>
      <c r="M144" s="29">
        <f t="shared" si="66"/>
        <v>0</v>
      </c>
      <c r="N144" s="29">
        <f t="shared" si="66"/>
        <v>0</v>
      </c>
      <c r="O144" s="29">
        <f t="shared" si="66"/>
        <v>920</v>
      </c>
      <c r="P144" s="29">
        <f t="shared" si="66"/>
        <v>0</v>
      </c>
      <c r="Q144" s="29">
        <f t="shared" si="66"/>
        <v>0</v>
      </c>
      <c r="R144" s="29">
        <f t="shared" si="66"/>
        <v>0</v>
      </c>
      <c r="S144" s="29">
        <f t="shared" si="66"/>
        <v>0</v>
      </c>
      <c r="T144" s="29">
        <f t="shared" si="66"/>
        <v>0</v>
      </c>
    </row>
    <row r="145" spans="1:20" s="38" customFormat="1" ht="22.5" customHeight="1">
      <c r="A145" s="57"/>
      <c r="B145" s="58" t="s">
        <v>821</v>
      </c>
      <c r="C145" s="29">
        <f>C148+C151</f>
        <v>0</v>
      </c>
      <c r="D145" s="29">
        <f t="shared" si="66"/>
        <v>0</v>
      </c>
      <c r="E145" s="29">
        <f t="shared" si="57"/>
        <v>391</v>
      </c>
      <c r="F145" s="29">
        <f t="shared" si="66"/>
        <v>0</v>
      </c>
      <c r="G145" s="29">
        <f t="shared" si="66"/>
        <v>0</v>
      </c>
      <c r="H145" s="29">
        <f t="shared" si="66"/>
        <v>0</v>
      </c>
      <c r="I145" s="29">
        <f t="shared" si="66"/>
        <v>141</v>
      </c>
      <c r="J145" s="29">
        <f t="shared" si="66"/>
        <v>0</v>
      </c>
      <c r="K145" s="29">
        <f t="shared" si="66"/>
        <v>0</v>
      </c>
      <c r="L145" s="29">
        <f t="shared" si="66"/>
        <v>0</v>
      </c>
      <c r="M145" s="29">
        <f t="shared" si="66"/>
        <v>0</v>
      </c>
      <c r="N145" s="29">
        <f t="shared" si="66"/>
        <v>0</v>
      </c>
      <c r="O145" s="29">
        <f t="shared" si="66"/>
        <v>0</v>
      </c>
      <c r="P145" s="29">
        <f t="shared" si="66"/>
        <v>0</v>
      </c>
      <c r="Q145" s="29">
        <f t="shared" si="66"/>
        <v>0</v>
      </c>
      <c r="R145" s="29">
        <f t="shared" si="66"/>
        <v>250</v>
      </c>
      <c r="S145" s="29">
        <f t="shared" si="66"/>
        <v>0</v>
      </c>
      <c r="T145" s="29">
        <f t="shared" si="66"/>
        <v>0</v>
      </c>
    </row>
    <row r="146" spans="1:20" ht="22.5" customHeight="1">
      <c r="A146" s="48"/>
      <c r="B146" s="44" t="s">
        <v>690</v>
      </c>
      <c r="C146" s="29">
        <f>C147+C148</f>
        <v>0</v>
      </c>
      <c r="D146" s="29">
        <f t="shared" ref="D146:T146" si="67">D147+D148</f>
        <v>0</v>
      </c>
      <c r="E146" s="29">
        <f t="shared" si="57"/>
        <v>941</v>
      </c>
      <c r="F146" s="29">
        <f t="shared" si="67"/>
        <v>0</v>
      </c>
      <c r="G146" s="29">
        <f t="shared" si="67"/>
        <v>0</v>
      </c>
      <c r="H146" s="29">
        <f t="shared" si="67"/>
        <v>0</v>
      </c>
      <c r="I146" s="29">
        <f t="shared" si="67"/>
        <v>141</v>
      </c>
      <c r="J146" s="29">
        <f t="shared" si="67"/>
        <v>0</v>
      </c>
      <c r="K146" s="29">
        <f t="shared" si="67"/>
        <v>0</v>
      </c>
      <c r="L146" s="29">
        <f t="shared" si="67"/>
        <v>0</v>
      </c>
      <c r="M146" s="29">
        <f t="shared" si="67"/>
        <v>0</v>
      </c>
      <c r="N146" s="29">
        <f t="shared" si="67"/>
        <v>0</v>
      </c>
      <c r="O146" s="29">
        <f t="shared" si="67"/>
        <v>800</v>
      </c>
      <c r="P146" s="29">
        <f t="shared" si="67"/>
        <v>0</v>
      </c>
      <c r="Q146" s="29">
        <f t="shared" si="67"/>
        <v>0</v>
      </c>
      <c r="R146" s="29">
        <f t="shared" si="67"/>
        <v>0</v>
      </c>
      <c r="S146" s="29">
        <f t="shared" si="67"/>
        <v>0</v>
      </c>
      <c r="T146" s="29">
        <f t="shared" si="67"/>
        <v>0</v>
      </c>
    </row>
    <row r="147" spans="1:20" s="38" customFormat="1" ht="22.5" customHeight="1">
      <c r="A147" s="57"/>
      <c r="B147" s="58" t="s">
        <v>820</v>
      </c>
      <c r="C147" s="29"/>
      <c r="D147" s="29"/>
      <c r="E147" s="29">
        <f t="shared" si="57"/>
        <v>800</v>
      </c>
      <c r="F147" s="29"/>
      <c r="G147" s="29"/>
      <c r="H147" s="29"/>
      <c r="I147" s="29"/>
      <c r="J147" s="29"/>
      <c r="K147" s="29"/>
      <c r="L147" s="29"/>
      <c r="M147" s="29"/>
      <c r="N147" s="29"/>
      <c r="O147" s="29">
        <f>'[4]38.1TW'!J30</f>
        <v>800</v>
      </c>
      <c r="P147" s="29"/>
      <c r="Q147" s="29"/>
      <c r="R147" s="29"/>
      <c r="S147" s="29"/>
      <c r="T147" s="29"/>
    </row>
    <row r="148" spans="1:20" s="38" customFormat="1" ht="22.5" customHeight="1">
      <c r="A148" s="57"/>
      <c r="B148" s="58" t="s">
        <v>821</v>
      </c>
      <c r="C148" s="29"/>
      <c r="D148" s="29"/>
      <c r="E148" s="29">
        <f t="shared" si="57"/>
        <v>141</v>
      </c>
      <c r="F148" s="29"/>
      <c r="G148" s="29"/>
      <c r="H148" s="29"/>
      <c r="I148" s="29">
        <v>141</v>
      </c>
      <c r="J148" s="29"/>
      <c r="K148" s="29"/>
      <c r="L148" s="29"/>
      <c r="M148" s="29"/>
      <c r="N148" s="29"/>
      <c r="O148" s="29"/>
      <c r="P148" s="29"/>
      <c r="Q148" s="29"/>
      <c r="R148" s="29"/>
      <c r="S148" s="29"/>
      <c r="T148" s="29"/>
    </row>
    <row r="149" spans="1:20" ht="22.5" customHeight="1">
      <c r="A149" s="48"/>
      <c r="B149" s="44" t="s">
        <v>691</v>
      </c>
      <c r="C149" s="29">
        <f>C150+C151</f>
        <v>0</v>
      </c>
      <c r="D149" s="29">
        <f t="shared" ref="D149:T149" si="68">D150+D151</f>
        <v>0</v>
      </c>
      <c r="E149" s="29">
        <f t="shared" si="68"/>
        <v>370</v>
      </c>
      <c r="F149" s="29">
        <f t="shared" si="68"/>
        <v>0</v>
      </c>
      <c r="G149" s="29">
        <f t="shared" si="68"/>
        <v>0</v>
      </c>
      <c r="H149" s="29">
        <f t="shared" si="68"/>
        <v>0</v>
      </c>
      <c r="I149" s="29">
        <f t="shared" si="68"/>
        <v>0</v>
      </c>
      <c r="J149" s="29">
        <f t="shared" si="68"/>
        <v>0</v>
      </c>
      <c r="K149" s="29">
        <f t="shared" si="68"/>
        <v>0</v>
      </c>
      <c r="L149" s="29">
        <f t="shared" si="68"/>
        <v>0</v>
      </c>
      <c r="M149" s="29">
        <f t="shared" si="68"/>
        <v>0</v>
      </c>
      <c r="N149" s="29">
        <f t="shared" si="68"/>
        <v>0</v>
      </c>
      <c r="O149" s="29">
        <f t="shared" si="68"/>
        <v>120</v>
      </c>
      <c r="P149" s="29">
        <f t="shared" si="68"/>
        <v>0</v>
      </c>
      <c r="Q149" s="29">
        <f t="shared" si="68"/>
        <v>0</v>
      </c>
      <c r="R149" s="29">
        <f t="shared" si="68"/>
        <v>250</v>
      </c>
      <c r="S149" s="29">
        <f t="shared" si="68"/>
        <v>0</v>
      </c>
      <c r="T149" s="29">
        <f t="shared" si="68"/>
        <v>0</v>
      </c>
    </row>
    <row r="150" spans="1:20" s="38" customFormat="1" ht="22.5" customHeight="1">
      <c r="A150" s="57"/>
      <c r="B150" s="58" t="s">
        <v>820</v>
      </c>
      <c r="C150" s="29"/>
      <c r="D150" s="29"/>
      <c r="E150" s="29">
        <f t="shared" si="57"/>
        <v>120</v>
      </c>
      <c r="F150" s="29"/>
      <c r="G150" s="29"/>
      <c r="H150" s="29"/>
      <c r="I150" s="29"/>
      <c r="J150" s="29"/>
      <c r="K150" s="29"/>
      <c r="L150" s="29"/>
      <c r="M150" s="29"/>
      <c r="N150" s="29"/>
      <c r="O150" s="29">
        <v>120</v>
      </c>
      <c r="P150" s="29"/>
      <c r="Q150" s="29"/>
      <c r="R150" s="29"/>
      <c r="S150" s="29"/>
      <c r="T150" s="29"/>
    </row>
    <row r="151" spans="1:20" s="39" customFormat="1" ht="22.5" customHeight="1">
      <c r="A151" s="63"/>
      <c r="B151" s="64" t="s">
        <v>821</v>
      </c>
      <c r="C151" s="65"/>
      <c r="D151" s="65"/>
      <c r="E151" s="65">
        <f t="shared" si="57"/>
        <v>250</v>
      </c>
      <c r="F151" s="65"/>
      <c r="G151" s="65"/>
      <c r="H151" s="65"/>
      <c r="I151" s="65"/>
      <c r="J151" s="65"/>
      <c r="K151" s="65"/>
      <c r="L151" s="65"/>
      <c r="M151" s="65"/>
      <c r="N151" s="65"/>
      <c r="O151" s="65"/>
      <c r="P151" s="65"/>
      <c r="Q151" s="65"/>
      <c r="R151" s="65">
        <v>250</v>
      </c>
      <c r="S151" s="65"/>
      <c r="T151" s="65"/>
    </row>
    <row r="152" spans="1:20" ht="22.5" customHeight="1">
      <c r="A152" s="461" t="s">
        <v>168</v>
      </c>
      <c r="B152" s="44" t="s">
        <v>720</v>
      </c>
      <c r="C152" s="29">
        <f>C153+C154</f>
        <v>0</v>
      </c>
      <c r="D152" s="29">
        <f t="shared" ref="D152:T152" si="69">D153+D154</f>
        <v>0</v>
      </c>
      <c r="E152" s="29">
        <f t="shared" si="57"/>
        <v>1496</v>
      </c>
      <c r="F152" s="29">
        <f t="shared" si="69"/>
        <v>0</v>
      </c>
      <c r="G152" s="29">
        <f t="shared" si="69"/>
        <v>0</v>
      </c>
      <c r="H152" s="29">
        <f t="shared" si="69"/>
        <v>0</v>
      </c>
      <c r="I152" s="29">
        <f t="shared" si="69"/>
        <v>120</v>
      </c>
      <c r="J152" s="29">
        <f t="shared" si="69"/>
        <v>0</v>
      </c>
      <c r="K152" s="29">
        <f t="shared" si="69"/>
        <v>0</v>
      </c>
      <c r="L152" s="29">
        <f t="shared" si="69"/>
        <v>0</v>
      </c>
      <c r="M152" s="29">
        <f t="shared" si="69"/>
        <v>0</v>
      </c>
      <c r="N152" s="29">
        <f t="shared" si="69"/>
        <v>0</v>
      </c>
      <c r="O152" s="29">
        <f t="shared" si="69"/>
        <v>1376</v>
      </c>
      <c r="P152" s="29">
        <f t="shared" si="69"/>
        <v>0</v>
      </c>
      <c r="Q152" s="29">
        <f t="shared" si="69"/>
        <v>0</v>
      </c>
      <c r="R152" s="29">
        <f t="shared" si="69"/>
        <v>0</v>
      </c>
      <c r="S152" s="29">
        <f t="shared" si="69"/>
        <v>0</v>
      </c>
      <c r="T152" s="29">
        <f t="shared" si="69"/>
        <v>0</v>
      </c>
    </row>
    <row r="153" spans="1:20" s="38" customFormat="1" ht="22.5" customHeight="1">
      <c r="A153" s="57"/>
      <c r="B153" s="58" t="s">
        <v>820</v>
      </c>
      <c r="C153" s="29">
        <f>C156+C159</f>
        <v>0</v>
      </c>
      <c r="D153" s="29">
        <f t="shared" ref="D153:T154" si="70">D156+D159</f>
        <v>0</v>
      </c>
      <c r="E153" s="29">
        <f t="shared" si="57"/>
        <v>1376</v>
      </c>
      <c r="F153" s="29">
        <f t="shared" si="70"/>
        <v>0</v>
      </c>
      <c r="G153" s="29">
        <f t="shared" si="70"/>
        <v>0</v>
      </c>
      <c r="H153" s="29">
        <f t="shared" si="70"/>
        <v>0</v>
      </c>
      <c r="I153" s="29">
        <f t="shared" si="70"/>
        <v>0</v>
      </c>
      <c r="J153" s="29">
        <f t="shared" si="70"/>
        <v>0</v>
      </c>
      <c r="K153" s="29">
        <f t="shared" si="70"/>
        <v>0</v>
      </c>
      <c r="L153" s="29">
        <f t="shared" si="70"/>
        <v>0</v>
      </c>
      <c r="M153" s="29">
        <f t="shared" si="70"/>
        <v>0</v>
      </c>
      <c r="N153" s="29">
        <f t="shared" si="70"/>
        <v>0</v>
      </c>
      <c r="O153" s="29">
        <f t="shared" si="70"/>
        <v>1376</v>
      </c>
      <c r="P153" s="29">
        <f t="shared" si="70"/>
        <v>0</v>
      </c>
      <c r="Q153" s="29">
        <f t="shared" si="70"/>
        <v>0</v>
      </c>
      <c r="R153" s="29">
        <f t="shared" si="70"/>
        <v>0</v>
      </c>
      <c r="S153" s="29">
        <f t="shared" si="70"/>
        <v>0</v>
      </c>
      <c r="T153" s="29">
        <f t="shared" si="70"/>
        <v>0</v>
      </c>
    </row>
    <row r="154" spans="1:20" s="38" customFormat="1" ht="22.5" customHeight="1">
      <c r="A154" s="57"/>
      <c r="B154" s="58" t="s">
        <v>821</v>
      </c>
      <c r="C154" s="29">
        <f>C157+C160</f>
        <v>0</v>
      </c>
      <c r="D154" s="29">
        <f t="shared" si="70"/>
        <v>0</v>
      </c>
      <c r="E154" s="29">
        <f t="shared" si="57"/>
        <v>120</v>
      </c>
      <c r="F154" s="29">
        <f t="shared" si="70"/>
        <v>0</v>
      </c>
      <c r="G154" s="29">
        <f t="shared" si="70"/>
        <v>0</v>
      </c>
      <c r="H154" s="29">
        <f t="shared" si="70"/>
        <v>0</v>
      </c>
      <c r="I154" s="29">
        <f t="shared" si="70"/>
        <v>120</v>
      </c>
      <c r="J154" s="29">
        <f t="shared" si="70"/>
        <v>0</v>
      </c>
      <c r="K154" s="29">
        <f t="shared" si="70"/>
        <v>0</v>
      </c>
      <c r="L154" s="29">
        <f t="shared" si="70"/>
        <v>0</v>
      </c>
      <c r="M154" s="29">
        <f t="shared" si="70"/>
        <v>0</v>
      </c>
      <c r="N154" s="29">
        <f t="shared" si="70"/>
        <v>0</v>
      </c>
      <c r="O154" s="29">
        <f t="shared" si="70"/>
        <v>0</v>
      </c>
      <c r="P154" s="29">
        <f t="shared" si="70"/>
        <v>0</v>
      </c>
      <c r="Q154" s="29">
        <f t="shared" si="70"/>
        <v>0</v>
      </c>
      <c r="R154" s="29">
        <f t="shared" si="70"/>
        <v>0</v>
      </c>
      <c r="S154" s="29">
        <f t="shared" si="70"/>
        <v>0</v>
      </c>
      <c r="T154" s="29">
        <f t="shared" si="70"/>
        <v>0</v>
      </c>
    </row>
    <row r="155" spans="1:20" ht="22.5" customHeight="1">
      <c r="A155" s="48"/>
      <c r="B155" s="44" t="s">
        <v>690</v>
      </c>
      <c r="C155" s="29">
        <f>C156+C157</f>
        <v>0</v>
      </c>
      <c r="D155" s="29">
        <f t="shared" ref="D155:T155" si="71">D156+D157</f>
        <v>0</v>
      </c>
      <c r="E155" s="29">
        <f t="shared" si="57"/>
        <v>1320</v>
      </c>
      <c r="F155" s="29">
        <f t="shared" si="71"/>
        <v>0</v>
      </c>
      <c r="G155" s="29">
        <f t="shared" si="71"/>
        <v>0</v>
      </c>
      <c r="H155" s="29">
        <f t="shared" si="71"/>
        <v>0</v>
      </c>
      <c r="I155" s="29">
        <f t="shared" si="71"/>
        <v>120</v>
      </c>
      <c r="J155" s="29">
        <f t="shared" si="71"/>
        <v>0</v>
      </c>
      <c r="K155" s="29">
        <f t="shared" si="71"/>
        <v>0</v>
      </c>
      <c r="L155" s="29">
        <f t="shared" si="71"/>
        <v>0</v>
      </c>
      <c r="M155" s="29">
        <f t="shared" si="71"/>
        <v>0</v>
      </c>
      <c r="N155" s="29">
        <f t="shared" si="71"/>
        <v>0</v>
      </c>
      <c r="O155" s="29">
        <f t="shared" si="71"/>
        <v>1200</v>
      </c>
      <c r="P155" s="29">
        <f t="shared" si="71"/>
        <v>0</v>
      </c>
      <c r="Q155" s="29">
        <f t="shared" si="71"/>
        <v>0</v>
      </c>
      <c r="R155" s="29">
        <f t="shared" si="71"/>
        <v>0</v>
      </c>
      <c r="S155" s="29">
        <f t="shared" si="71"/>
        <v>0</v>
      </c>
      <c r="T155" s="29">
        <f t="shared" si="71"/>
        <v>0</v>
      </c>
    </row>
    <row r="156" spans="1:20" s="38" customFormat="1" ht="22.5" customHeight="1">
      <c r="A156" s="57"/>
      <c r="B156" s="58" t="s">
        <v>820</v>
      </c>
      <c r="C156" s="29"/>
      <c r="D156" s="29"/>
      <c r="E156" s="29">
        <f t="shared" si="57"/>
        <v>1200</v>
      </c>
      <c r="F156" s="29"/>
      <c r="G156" s="29"/>
      <c r="H156" s="29"/>
      <c r="I156" s="29"/>
      <c r="J156" s="29"/>
      <c r="K156" s="29"/>
      <c r="L156" s="29"/>
      <c r="M156" s="29"/>
      <c r="N156" s="29"/>
      <c r="O156" s="29">
        <f>'[4]38.1TW'!J33</f>
        <v>1200</v>
      </c>
      <c r="P156" s="29"/>
      <c r="Q156" s="29"/>
      <c r="R156" s="29"/>
      <c r="S156" s="29"/>
      <c r="T156" s="29"/>
    </row>
    <row r="157" spans="1:20" s="38" customFormat="1" ht="22.5" customHeight="1">
      <c r="A157" s="57"/>
      <c r="B157" s="58" t="s">
        <v>821</v>
      </c>
      <c r="C157" s="29"/>
      <c r="D157" s="29"/>
      <c r="E157" s="29">
        <f t="shared" si="57"/>
        <v>120</v>
      </c>
      <c r="F157" s="29"/>
      <c r="G157" s="29"/>
      <c r="H157" s="29"/>
      <c r="I157" s="29">
        <v>120</v>
      </c>
      <c r="J157" s="29"/>
      <c r="K157" s="29"/>
      <c r="L157" s="29"/>
      <c r="M157" s="29"/>
      <c r="N157" s="29"/>
      <c r="O157" s="29"/>
      <c r="P157" s="29"/>
      <c r="Q157" s="29"/>
      <c r="R157" s="29"/>
      <c r="S157" s="29"/>
      <c r="T157" s="29"/>
    </row>
    <row r="158" spans="1:20" ht="22.5" customHeight="1">
      <c r="A158" s="48"/>
      <c r="B158" s="44" t="s">
        <v>691</v>
      </c>
      <c r="C158" s="29"/>
      <c r="D158" s="29"/>
      <c r="E158" s="29">
        <f t="shared" si="57"/>
        <v>176</v>
      </c>
      <c r="F158" s="29"/>
      <c r="G158" s="29"/>
      <c r="H158" s="29"/>
      <c r="I158" s="29">
        <f>I159+I160</f>
        <v>0</v>
      </c>
      <c r="J158" s="29">
        <f t="shared" ref="J158:T158" si="72">J159+J160</f>
        <v>0</v>
      </c>
      <c r="K158" s="29">
        <f t="shared" si="72"/>
        <v>0</v>
      </c>
      <c r="L158" s="29">
        <f t="shared" si="72"/>
        <v>0</v>
      </c>
      <c r="M158" s="29">
        <f t="shared" si="72"/>
        <v>0</v>
      </c>
      <c r="N158" s="29">
        <f t="shared" si="72"/>
        <v>0</v>
      </c>
      <c r="O158" s="29">
        <f t="shared" si="72"/>
        <v>176</v>
      </c>
      <c r="P158" s="29">
        <f t="shared" si="72"/>
        <v>0</v>
      </c>
      <c r="Q158" s="29">
        <f t="shared" si="72"/>
        <v>0</v>
      </c>
      <c r="R158" s="29">
        <f t="shared" si="72"/>
        <v>0</v>
      </c>
      <c r="S158" s="29">
        <f t="shared" si="72"/>
        <v>0</v>
      </c>
      <c r="T158" s="29">
        <f t="shared" si="72"/>
        <v>0</v>
      </c>
    </row>
    <row r="159" spans="1:20" s="38" customFormat="1" ht="22.5" customHeight="1">
      <c r="A159" s="57"/>
      <c r="B159" s="58" t="s">
        <v>820</v>
      </c>
      <c r="C159" s="29"/>
      <c r="D159" s="29"/>
      <c r="E159" s="29">
        <f t="shared" si="57"/>
        <v>176</v>
      </c>
      <c r="F159" s="29"/>
      <c r="G159" s="29"/>
      <c r="H159" s="29"/>
      <c r="I159" s="29"/>
      <c r="J159" s="29"/>
      <c r="K159" s="29"/>
      <c r="L159" s="29"/>
      <c r="M159" s="29"/>
      <c r="N159" s="29"/>
      <c r="O159" s="29">
        <v>176</v>
      </c>
      <c r="P159" s="29"/>
      <c r="Q159" s="29"/>
      <c r="R159" s="29"/>
      <c r="S159" s="29"/>
      <c r="T159" s="29"/>
    </row>
    <row r="160" spans="1:20" s="38" customFormat="1" ht="22.5" customHeight="1">
      <c r="A160" s="57"/>
      <c r="B160" s="58" t="s">
        <v>821</v>
      </c>
      <c r="C160" s="29"/>
      <c r="D160" s="29"/>
      <c r="E160" s="29">
        <f t="shared" si="57"/>
        <v>0</v>
      </c>
      <c r="F160" s="29"/>
      <c r="G160" s="29"/>
      <c r="H160" s="29"/>
      <c r="I160" s="29"/>
      <c r="J160" s="29"/>
      <c r="K160" s="29"/>
      <c r="L160" s="29"/>
      <c r="M160" s="29"/>
      <c r="N160" s="29"/>
      <c r="O160" s="29"/>
      <c r="P160" s="29"/>
      <c r="Q160" s="29"/>
      <c r="R160" s="29"/>
      <c r="S160" s="29"/>
      <c r="T160" s="29"/>
    </row>
    <row r="161" spans="1:20" ht="22.5" customHeight="1">
      <c r="A161" s="461" t="s">
        <v>721</v>
      </c>
      <c r="B161" s="44" t="s">
        <v>722</v>
      </c>
      <c r="C161" s="29">
        <f>C162+C163</f>
        <v>0</v>
      </c>
      <c r="D161" s="29">
        <f t="shared" ref="D161:T161" si="73">D162+D163</f>
        <v>0</v>
      </c>
      <c r="E161" s="29">
        <f t="shared" si="57"/>
        <v>42</v>
      </c>
      <c r="F161" s="29">
        <f t="shared" si="73"/>
        <v>0</v>
      </c>
      <c r="G161" s="29">
        <f t="shared" si="73"/>
        <v>0</v>
      </c>
      <c r="H161" s="29">
        <f t="shared" si="73"/>
        <v>0</v>
      </c>
      <c r="I161" s="29">
        <f t="shared" si="73"/>
        <v>42</v>
      </c>
      <c r="J161" s="29">
        <f t="shared" si="73"/>
        <v>0</v>
      </c>
      <c r="K161" s="29">
        <f t="shared" si="73"/>
        <v>0</v>
      </c>
      <c r="L161" s="29">
        <f t="shared" si="73"/>
        <v>0</v>
      </c>
      <c r="M161" s="29">
        <f t="shared" si="73"/>
        <v>0</v>
      </c>
      <c r="N161" s="29">
        <f t="shared" si="73"/>
        <v>0</v>
      </c>
      <c r="O161" s="29">
        <f t="shared" si="73"/>
        <v>0</v>
      </c>
      <c r="P161" s="29">
        <f t="shared" si="73"/>
        <v>0</v>
      </c>
      <c r="Q161" s="29">
        <f t="shared" si="73"/>
        <v>0</v>
      </c>
      <c r="R161" s="29">
        <f t="shared" si="73"/>
        <v>0</v>
      </c>
      <c r="S161" s="29">
        <f t="shared" si="73"/>
        <v>0</v>
      </c>
      <c r="T161" s="29">
        <f t="shared" si="73"/>
        <v>0</v>
      </c>
    </row>
    <row r="162" spans="1:20" s="38" customFormat="1" ht="22.5" customHeight="1">
      <c r="A162" s="57"/>
      <c r="B162" s="58" t="s">
        <v>820</v>
      </c>
      <c r="C162" s="29">
        <f>C165+C168</f>
        <v>0</v>
      </c>
      <c r="D162" s="29">
        <f t="shared" ref="D162:T163" si="74">D165+D168</f>
        <v>0</v>
      </c>
      <c r="E162" s="29">
        <f t="shared" si="57"/>
        <v>0</v>
      </c>
      <c r="F162" s="29">
        <f t="shared" si="74"/>
        <v>0</v>
      </c>
      <c r="G162" s="29">
        <f t="shared" si="74"/>
        <v>0</v>
      </c>
      <c r="H162" s="29">
        <f t="shared" si="74"/>
        <v>0</v>
      </c>
      <c r="I162" s="29">
        <f t="shared" si="74"/>
        <v>0</v>
      </c>
      <c r="J162" s="29">
        <f t="shared" si="74"/>
        <v>0</v>
      </c>
      <c r="K162" s="29">
        <f t="shared" si="74"/>
        <v>0</v>
      </c>
      <c r="L162" s="29">
        <f t="shared" si="74"/>
        <v>0</v>
      </c>
      <c r="M162" s="29">
        <f t="shared" si="74"/>
        <v>0</v>
      </c>
      <c r="N162" s="29">
        <f t="shared" si="74"/>
        <v>0</v>
      </c>
      <c r="O162" s="29">
        <f t="shared" si="74"/>
        <v>0</v>
      </c>
      <c r="P162" s="29">
        <f t="shared" si="74"/>
        <v>0</v>
      </c>
      <c r="Q162" s="29">
        <f t="shared" si="74"/>
        <v>0</v>
      </c>
      <c r="R162" s="29">
        <f t="shared" si="74"/>
        <v>0</v>
      </c>
      <c r="S162" s="29">
        <f t="shared" si="74"/>
        <v>0</v>
      </c>
      <c r="T162" s="29">
        <f t="shared" si="74"/>
        <v>0</v>
      </c>
    </row>
    <row r="163" spans="1:20" s="38" customFormat="1" ht="22.5" customHeight="1">
      <c r="A163" s="57"/>
      <c r="B163" s="58" t="s">
        <v>821</v>
      </c>
      <c r="C163" s="29">
        <f>C166+C169</f>
        <v>0</v>
      </c>
      <c r="D163" s="29">
        <f t="shared" si="74"/>
        <v>0</v>
      </c>
      <c r="E163" s="29">
        <f t="shared" si="57"/>
        <v>42</v>
      </c>
      <c r="F163" s="29">
        <f t="shared" si="74"/>
        <v>0</v>
      </c>
      <c r="G163" s="29">
        <f t="shared" si="74"/>
        <v>0</v>
      </c>
      <c r="H163" s="29">
        <f t="shared" si="74"/>
        <v>0</v>
      </c>
      <c r="I163" s="29">
        <f t="shared" si="74"/>
        <v>42</v>
      </c>
      <c r="J163" s="29">
        <f t="shared" si="74"/>
        <v>0</v>
      </c>
      <c r="K163" s="29">
        <f t="shared" si="74"/>
        <v>0</v>
      </c>
      <c r="L163" s="29">
        <f t="shared" si="74"/>
        <v>0</v>
      </c>
      <c r="M163" s="29">
        <f t="shared" si="74"/>
        <v>0</v>
      </c>
      <c r="N163" s="29">
        <f t="shared" si="74"/>
        <v>0</v>
      </c>
      <c r="O163" s="29">
        <f t="shared" si="74"/>
        <v>0</v>
      </c>
      <c r="P163" s="29">
        <f t="shared" si="74"/>
        <v>0</v>
      </c>
      <c r="Q163" s="29">
        <f t="shared" si="74"/>
        <v>0</v>
      </c>
      <c r="R163" s="29">
        <f t="shared" si="74"/>
        <v>0</v>
      </c>
      <c r="S163" s="29">
        <f t="shared" si="74"/>
        <v>0</v>
      </c>
      <c r="T163" s="29">
        <f t="shared" si="74"/>
        <v>0</v>
      </c>
    </row>
    <row r="164" spans="1:20" ht="22.5" customHeight="1">
      <c r="A164" s="48"/>
      <c r="B164" s="44" t="s">
        <v>690</v>
      </c>
      <c r="C164" s="29">
        <f>C165+C166</f>
        <v>0</v>
      </c>
      <c r="D164" s="29">
        <f t="shared" ref="D164:T164" si="75">D165+D166</f>
        <v>0</v>
      </c>
      <c r="E164" s="29">
        <f t="shared" si="57"/>
        <v>42</v>
      </c>
      <c r="F164" s="29">
        <f t="shared" si="75"/>
        <v>0</v>
      </c>
      <c r="G164" s="29">
        <f t="shared" si="75"/>
        <v>0</v>
      </c>
      <c r="H164" s="29">
        <f t="shared" si="75"/>
        <v>0</v>
      </c>
      <c r="I164" s="29">
        <f t="shared" si="75"/>
        <v>42</v>
      </c>
      <c r="J164" s="29">
        <f t="shared" si="75"/>
        <v>0</v>
      </c>
      <c r="K164" s="29">
        <f t="shared" si="75"/>
        <v>0</v>
      </c>
      <c r="L164" s="29">
        <f t="shared" si="75"/>
        <v>0</v>
      </c>
      <c r="M164" s="29">
        <f t="shared" si="75"/>
        <v>0</v>
      </c>
      <c r="N164" s="29">
        <f t="shared" si="75"/>
        <v>0</v>
      </c>
      <c r="O164" s="29">
        <f t="shared" si="75"/>
        <v>0</v>
      </c>
      <c r="P164" s="29">
        <f t="shared" si="75"/>
        <v>0</v>
      </c>
      <c r="Q164" s="29">
        <f t="shared" si="75"/>
        <v>0</v>
      </c>
      <c r="R164" s="29">
        <f t="shared" si="75"/>
        <v>0</v>
      </c>
      <c r="S164" s="29">
        <f t="shared" si="75"/>
        <v>0</v>
      </c>
      <c r="T164" s="29">
        <f t="shared" si="75"/>
        <v>0</v>
      </c>
    </row>
    <row r="165" spans="1:20" s="38" customFormat="1" ht="22.5" customHeight="1">
      <c r="A165" s="57"/>
      <c r="B165" s="58" t="s">
        <v>820</v>
      </c>
      <c r="C165" s="29"/>
      <c r="D165" s="29"/>
      <c r="E165" s="29">
        <f t="shared" si="57"/>
        <v>0</v>
      </c>
      <c r="F165" s="29"/>
      <c r="G165" s="29"/>
      <c r="H165" s="29"/>
      <c r="I165" s="29"/>
      <c r="J165" s="29"/>
      <c r="K165" s="29"/>
      <c r="L165" s="29"/>
      <c r="M165" s="29"/>
      <c r="N165" s="29"/>
      <c r="O165" s="29"/>
      <c r="P165" s="29"/>
      <c r="Q165" s="29"/>
      <c r="R165" s="29"/>
      <c r="S165" s="29"/>
      <c r="T165" s="29"/>
    </row>
    <row r="166" spans="1:20" s="38" customFormat="1" ht="22.5" customHeight="1">
      <c r="A166" s="57"/>
      <c r="B166" s="58" t="s">
        <v>821</v>
      </c>
      <c r="C166" s="29"/>
      <c r="D166" s="29"/>
      <c r="E166" s="29">
        <f t="shared" si="57"/>
        <v>42</v>
      </c>
      <c r="F166" s="29"/>
      <c r="G166" s="29"/>
      <c r="H166" s="29"/>
      <c r="I166" s="29">
        <v>42</v>
      </c>
      <c r="J166" s="29"/>
      <c r="K166" s="29"/>
      <c r="L166" s="29"/>
      <c r="M166" s="29"/>
      <c r="N166" s="29"/>
      <c r="O166" s="29"/>
      <c r="P166" s="29"/>
      <c r="Q166" s="29"/>
      <c r="R166" s="29"/>
      <c r="S166" s="29"/>
      <c r="T166" s="29"/>
    </row>
    <row r="167" spans="1:20" ht="22.5" customHeight="1">
      <c r="A167" s="48"/>
      <c r="B167" s="44" t="s">
        <v>691</v>
      </c>
      <c r="C167" s="29"/>
      <c r="D167" s="29"/>
      <c r="E167" s="29">
        <f t="shared" si="57"/>
        <v>0</v>
      </c>
      <c r="F167" s="29"/>
      <c r="G167" s="29"/>
      <c r="H167" s="29"/>
      <c r="I167" s="29"/>
      <c r="J167" s="29"/>
      <c r="K167" s="29"/>
      <c r="L167" s="29"/>
      <c r="M167" s="29"/>
      <c r="N167" s="29"/>
      <c r="O167" s="29"/>
      <c r="P167" s="29"/>
      <c r="Q167" s="29"/>
      <c r="R167" s="29"/>
      <c r="S167" s="29"/>
      <c r="T167" s="29"/>
    </row>
    <row r="168" spans="1:20" s="38" customFormat="1" ht="22.5" customHeight="1">
      <c r="A168" s="57"/>
      <c r="B168" s="58" t="s">
        <v>820</v>
      </c>
      <c r="C168" s="29"/>
      <c r="D168" s="29"/>
      <c r="E168" s="29">
        <f t="shared" si="57"/>
        <v>0</v>
      </c>
      <c r="F168" s="29"/>
      <c r="G168" s="29"/>
      <c r="H168" s="29"/>
      <c r="I168" s="29"/>
      <c r="J168" s="29"/>
      <c r="K168" s="29"/>
      <c r="L168" s="29"/>
      <c r="M168" s="29"/>
      <c r="N168" s="29"/>
      <c r="O168" s="29"/>
      <c r="P168" s="29"/>
      <c r="Q168" s="29"/>
      <c r="R168" s="29"/>
      <c r="S168" s="29"/>
      <c r="T168" s="29"/>
    </row>
    <row r="169" spans="1:20" s="38" customFormat="1" ht="22.5" customHeight="1">
      <c r="A169" s="57"/>
      <c r="B169" s="58" t="s">
        <v>821</v>
      </c>
      <c r="C169" s="29"/>
      <c r="D169" s="29"/>
      <c r="E169" s="29">
        <f t="shared" si="57"/>
        <v>0</v>
      </c>
      <c r="F169" s="29"/>
      <c r="G169" s="29"/>
      <c r="H169" s="29"/>
      <c r="I169" s="29"/>
      <c r="J169" s="29"/>
      <c r="K169" s="29"/>
      <c r="L169" s="29"/>
      <c r="M169" s="29"/>
      <c r="N169" s="29"/>
      <c r="O169" s="29"/>
      <c r="P169" s="29"/>
      <c r="Q169" s="29"/>
      <c r="R169" s="29"/>
      <c r="S169" s="29"/>
      <c r="T169" s="29"/>
    </row>
    <row r="170" spans="1:20" ht="22.5" customHeight="1">
      <c r="A170" s="48">
        <v>2</v>
      </c>
      <c r="B170" s="44" t="s">
        <v>723</v>
      </c>
      <c r="C170" s="29">
        <f>C171+C172</f>
        <v>0</v>
      </c>
      <c r="D170" s="29">
        <f t="shared" ref="D170:T170" si="76">D171+D172</f>
        <v>0</v>
      </c>
      <c r="E170" s="29">
        <f t="shared" si="57"/>
        <v>3658</v>
      </c>
      <c r="F170" s="29">
        <f t="shared" si="76"/>
        <v>0</v>
      </c>
      <c r="G170" s="29">
        <f t="shared" si="76"/>
        <v>0</v>
      </c>
      <c r="H170" s="29">
        <f t="shared" si="76"/>
        <v>0</v>
      </c>
      <c r="I170" s="29">
        <f t="shared" si="76"/>
        <v>0</v>
      </c>
      <c r="J170" s="29">
        <f t="shared" si="76"/>
        <v>0</v>
      </c>
      <c r="K170" s="29">
        <f t="shared" si="76"/>
        <v>0</v>
      </c>
      <c r="L170" s="29">
        <f t="shared" si="76"/>
        <v>0</v>
      </c>
      <c r="M170" s="29">
        <f t="shared" si="76"/>
        <v>0</v>
      </c>
      <c r="N170" s="29">
        <f t="shared" si="76"/>
        <v>0</v>
      </c>
      <c r="O170" s="29">
        <f t="shared" si="76"/>
        <v>3658</v>
      </c>
      <c r="P170" s="29">
        <f t="shared" si="76"/>
        <v>0</v>
      </c>
      <c r="Q170" s="29">
        <f t="shared" si="76"/>
        <v>0</v>
      </c>
      <c r="R170" s="29">
        <f t="shared" si="76"/>
        <v>0</v>
      </c>
      <c r="S170" s="29">
        <f t="shared" si="76"/>
        <v>0</v>
      </c>
      <c r="T170" s="29">
        <f t="shared" si="76"/>
        <v>0</v>
      </c>
    </row>
    <row r="171" spans="1:20" s="38" customFormat="1" ht="30.75" customHeight="1">
      <c r="A171" s="57"/>
      <c r="B171" s="58" t="s">
        <v>820</v>
      </c>
      <c r="C171" s="29">
        <f>C174+C177</f>
        <v>0</v>
      </c>
      <c r="D171" s="29">
        <f t="shared" ref="D171:T172" si="77">D174+D177</f>
        <v>0</v>
      </c>
      <c r="E171" s="29">
        <f t="shared" si="57"/>
        <v>2738</v>
      </c>
      <c r="F171" s="29">
        <f t="shared" si="77"/>
        <v>0</v>
      </c>
      <c r="G171" s="29">
        <f t="shared" si="77"/>
        <v>0</v>
      </c>
      <c r="H171" s="29">
        <f t="shared" si="77"/>
        <v>0</v>
      </c>
      <c r="I171" s="29">
        <f t="shared" si="77"/>
        <v>0</v>
      </c>
      <c r="J171" s="29">
        <f t="shared" si="77"/>
        <v>0</v>
      </c>
      <c r="K171" s="29">
        <f t="shared" si="77"/>
        <v>0</v>
      </c>
      <c r="L171" s="29">
        <f t="shared" si="77"/>
        <v>0</v>
      </c>
      <c r="M171" s="29">
        <f t="shared" si="77"/>
        <v>0</v>
      </c>
      <c r="N171" s="29">
        <f t="shared" si="77"/>
        <v>0</v>
      </c>
      <c r="O171" s="29">
        <f t="shared" si="77"/>
        <v>2738</v>
      </c>
      <c r="P171" s="29">
        <f t="shared" si="77"/>
        <v>0</v>
      </c>
      <c r="Q171" s="29">
        <f t="shared" si="77"/>
        <v>0</v>
      </c>
      <c r="R171" s="29">
        <f t="shared" si="77"/>
        <v>0</v>
      </c>
      <c r="S171" s="29">
        <f t="shared" si="77"/>
        <v>0</v>
      </c>
      <c r="T171" s="29">
        <f t="shared" si="77"/>
        <v>0</v>
      </c>
    </row>
    <row r="172" spans="1:20" s="38" customFormat="1" ht="22.5" customHeight="1">
      <c r="A172" s="57"/>
      <c r="B172" s="58" t="s">
        <v>821</v>
      </c>
      <c r="C172" s="29">
        <f>C175+C178</f>
        <v>0</v>
      </c>
      <c r="D172" s="29">
        <f t="shared" si="77"/>
        <v>0</v>
      </c>
      <c r="E172" s="29">
        <f t="shared" si="57"/>
        <v>920</v>
      </c>
      <c r="F172" s="29">
        <f t="shared" si="77"/>
        <v>0</v>
      </c>
      <c r="G172" s="29">
        <f t="shared" si="77"/>
        <v>0</v>
      </c>
      <c r="H172" s="29">
        <f t="shared" si="77"/>
        <v>0</v>
      </c>
      <c r="I172" s="29">
        <f t="shared" si="77"/>
        <v>0</v>
      </c>
      <c r="J172" s="29">
        <f t="shared" si="77"/>
        <v>0</v>
      </c>
      <c r="K172" s="29">
        <f t="shared" si="77"/>
        <v>0</v>
      </c>
      <c r="L172" s="29">
        <f t="shared" si="77"/>
        <v>0</v>
      </c>
      <c r="M172" s="29">
        <f t="shared" si="77"/>
        <v>0</v>
      </c>
      <c r="N172" s="29">
        <f t="shared" si="77"/>
        <v>0</v>
      </c>
      <c r="O172" s="29">
        <f t="shared" si="77"/>
        <v>920</v>
      </c>
      <c r="P172" s="29">
        <f t="shared" si="77"/>
        <v>0</v>
      </c>
      <c r="Q172" s="29">
        <f t="shared" si="77"/>
        <v>0</v>
      </c>
      <c r="R172" s="29">
        <f t="shared" si="77"/>
        <v>0</v>
      </c>
      <c r="S172" s="29">
        <f t="shared" si="77"/>
        <v>0</v>
      </c>
      <c r="T172" s="29">
        <f t="shared" si="77"/>
        <v>0</v>
      </c>
    </row>
    <row r="173" spans="1:20" ht="22.5" customHeight="1">
      <c r="A173" s="48"/>
      <c r="B173" s="44" t="s">
        <v>690</v>
      </c>
      <c r="C173" s="29">
        <f>C174+C175</f>
        <v>0</v>
      </c>
      <c r="D173" s="29">
        <f t="shared" ref="D173:T173" si="78">D174+D175</f>
        <v>0</v>
      </c>
      <c r="E173" s="29">
        <f t="shared" si="57"/>
        <v>2500</v>
      </c>
      <c r="F173" s="29">
        <f t="shared" si="78"/>
        <v>0</v>
      </c>
      <c r="G173" s="29">
        <f t="shared" si="78"/>
        <v>0</v>
      </c>
      <c r="H173" s="29">
        <f t="shared" si="78"/>
        <v>0</v>
      </c>
      <c r="I173" s="29">
        <f t="shared" si="78"/>
        <v>0</v>
      </c>
      <c r="J173" s="29">
        <f t="shared" si="78"/>
        <v>0</v>
      </c>
      <c r="K173" s="29">
        <f t="shared" si="78"/>
        <v>0</v>
      </c>
      <c r="L173" s="29">
        <f t="shared" si="78"/>
        <v>0</v>
      </c>
      <c r="M173" s="29">
        <f t="shared" si="78"/>
        <v>0</v>
      </c>
      <c r="N173" s="29">
        <f t="shared" si="78"/>
        <v>0</v>
      </c>
      <c r="O173" s="29">
        <f t="shared" si="78"/>
        <v>2500</v>
      </c>
      <c r="P173" s="29">
        <f t="shared" si="78"/>
        <v>0</v>
      </c>
      <c r="Q173" s="29">
        <f t="shared" si="78"/>
        <v>0</v>
      </c>
      <c r="R173" s="29">
        <f t="shared" si="78"/>
        <v>0</v>
      </c>
      <c r="S173" s="29">
        <f t="shared" si="78"/>
        <v>0</v>
      </c>
      <c r="T173" s="29">
        <f t="shared" si="78"/>
        <v>0</v>
      </c>
    </row>
    <row r="174" spans="1:20" s="38" customFormat="1" ht="22.5" customHeight="1">
      <c r="A174" s="57"/>
      <c r="B174" s="58" t="s">
        <v>820</v>
      </c>
      <c r="C174" s="29"/>
      <c r="D174" s="29"/>
      <c r="E174" s="29">
        <f t="shared" si="57"/>
        <v>2500</v>
      </c>
      <c r="F174" s="29"/>
      <c r="G174" s="29"/>
      <c r="H174" s="29"/>
      <c r="I174" s="29"/>
      <c r="J174" s="29"/>
      <c r="K174" s="29"/>
      <c r="L174" s="29"/>
      <c r="M174" s="29"/>
      <c r="N174" s="29"/>
      <c r="O174" s="29">
        <f>'[4]38.1TW'!J36</f>
        <v>2500</v>
      </c>
      <c r="P174" s="29"/>
      <c r="Q174" s="29"/>
      <c r="R174" s="29"/>
      <c r="S174" s="29"/>
      <c r="T174" s="29"/>
    </row>
    <row r="175" spans="1:20" s="38" customFormat="1" ht="22.5" customHeight="1">
      <c r="A175" s="57"/>
      <c r="B175" s="58" t="s">
        <v>821</v>
      </c>
      <c r="C175" s="29"/>
      <c r="D175" s="29"/>
      <c r="E175" s="29">
        <f t="shared" si="57"/>
        <v>0</v>
      </c>
      <c r="F175" s="29"/>
      <c r="G175" s="29"/>
      <c r="H175" s="29"/>
      <c r="I175" s="29"/>
      <c r="J175" s="29"/>
      <c r="K175" s="29"/>
      <c r="L175" s="29"/>
      <c r="M175" s="29"/>
      <c r="N175" s="29"/>
      <c r="O175" s="29"/>
      <c r="P175" s="29"/>
      <c r="Q175" s="29"/>
      <c r="R175" s="29"/>
      <c r="S175" s="29"/>
      <c r="T175" s="29"/>
    </row>
    <row r="176" spans="1:20" ht="22.5" customHeight="1">
      <c r="A176" s="48"/>
      <c r="B176" s="44" t="s">
        <v>691</v>
      </c>
      <c r="C176" s="29">
        <f>C177+C178</f>
        <v>0</v>
      </c>
      <c r="D176" s="29">
        <f t="shared" ref="D176:T176" si="79">D177+D178</f>
        <v>0</v>
      </c>
      <c r="E176" s="29">
        <f t="shared" si="79"/>
        <v>1158</v>
      </c>
      <c r="F176" s="29">
        <f t="shared" si="79"/>
        <v>0</v>
      </c>
      <c r="G176" s="29">
        <f t="shared" si="79"/>
        <v>0</v>
      </c>
      <c r="H176" s="29">
        <f t="shared" si="79"/>
        <v>0</v>
      </c>
      <c r="I176" s="29">
        <f t="shared" si="79"/>
        <v>0</v>
      </c>
      <c r="J176" s="29">
        <f t="shared" si="79"/>
        <v>0</v>
      </c>
      <c r="K176" s="29">
        <f t="shared" si="79"/>
        <v>0</v>
      </c>
      <c r="L176" s="29">
        <f t="shared" si="79"/>
        <v>0</v>
      </c>
      <c r="M176" s="29">
        <f t="shared" si="79"/>
        <v>0</v>
      </c>
      <c r="N176" s="29">
        <f t="shared" si="79"/>
        <v>0</v>
      </c>
      <c r="O176" s="29">
        <f t="shared" si="79"/>
        <v>1158</v>
      </c>
      <c r="P176" s="29">
        <f t="shared" si="79"/>
        <v>0</v>
      </c>
      <c r="Q176" s="29">
        <f t="shared" si="79"/>
        <v>0</v>
      </c>
      <c r="R176" s="29">
        <f t="shared" si="79"/>
        <v>0</v>
      </c>
      <c r="S176" s="29">
        <f t="shared" si="79"/>
        <v>0</v>
      </c>
      <c r="T176" s="29">
        <f t="shared" si="79"/>
        <v>0</v>
      </c>
    </row>
    <row r="177" spans="1:20" s="38" customFormat="1" ht="22.5" customHeight="1">
      <c r="A177" s="57"/>
      <c r="B177" s="58" t="s">
        <v>820</v>
      </c>
      <c r="C177" s="29"/>
      <c r="D177" s="29"/>
      <c r="E177" s="29">
        <f t="shared" si="57"/>
        <v>238</v>
      </c>
      <c r="F177" s="29"/>
      <c r="G177" s="29"/>
      <c r="H177" s="29"/>
      <c r="I177" s="29"/>
      <c r="J177" s="29"/>
      <c r="K177" s="29"/>
      <c r="L177" s="29"/>
      <c r="M177" s="29"/>
      <c r="N177" s="29"/>
      <c r="O177" s="29">
        <v>238</v>
      </c>
      <c r="P177" s="29"/>
      <c r="Q177" s="29"/>
      <c r="R177" s="29"/>
      <c r="S177" s="29"/>
      <c r="T177" s="29"/>
    </row>
    <row r="178" spans="1:20" s="38" customFormat="1" ht="22.5" customHeight="1">
      <c r="A178" s="57"/>
      <c r="B178" s="58" t="s">
        <v>821</v>
      </c>
      <c r="C178" s="29"/>
      <c r="D178" s="29"/>
      <c r="E178" s="29">
        <f t="shared" si="57"/>
        <v>920</v>
      </c>
      <c r="F178" s="29"/>
      <c r="G178" s="29"/>
      <c r="H178" s="29"/>
      <c r="I178" s="29"/>
      <c r="J178" s="29"/>
      <c r="K178" s="29"/>
      <c r="L178" s="29"/>
      <c r="M178" s="29"/>
      <c r="N178" s="29"/>
      <c r="O178" s="29">
        <v>920</v>
      </c>
      <c r="P178" s="29"/>
      <c r="Q178" s="29"/>
      <c r="R178" s="29"/>
      <c r="S178" s="29"/>
      <c r="T178" s="29"/>
    </row>
    <row r="179" spans="1:20" ht="22.5" customHeight="1">
      <c r="A179" s="48">
        <v>8</v>
      </c>
      <c r="B179" s="44" t="s">
        <v>725</v>
      </c>
      <c r="C179" s="29"/>
      <c r="D179" s="29"/>
      <c r="E179" s="29">
        <f t="shared" si="57"/>
        <v>0</v>
      </c>
      <c r="F179" s="29"/>
      <c r="G179" s="29"/>
      <c r="H179" s="29"/>
      <c r="I179" s="29"/>
      <c r="J179" s="29"/>
      <c r="K179" s="29"/>
      <c r="L179" s="29"/>
      <c r="M179" s="29"/>
      <c r="N179" s="29"/>
      <c r="O179" s="29"/>
      <c r="P179" s="29"/>
      <c r="Q179" s="29"/>
      <c r="R179" s="29"/>
      <c r="S179" s="29"/>
      <c r="T179" s="29"/>
    </row>
    <row r="180" spans="1:20" s="38" customFormat="1" ht="22.5" customHeight="1">
      <c r="A180" s="57"/>
      <c r="B180" s="58" t="s">
        <v>690</v>
      </c>
      <c r="C180" s="29"/>
      <c r="D180" s="29"/>
      <c r="E180" s="29">
        <f t="shared" si="57"/>
        <v>0</v>
      </c>
      <c r="F180" s="29"/>
      <c r="G180" s="29"/>
      <c r="H180" s="29"/>
      <c r="I180" s="29"/>
      <c r="J180" s="29"/>
      <c r="K180" s="29"/>
      <c r="L180" s="29"/>
      <c r="M180" s="29"/>
      <c r="N180" s="29"/>
      <c r="O180" s="29"/>
      <c r="P180" s="29"/>
      <c r="Q180" s="29"/>
      <c r="R180" s="29"/>
      <c r="S180" s="29"/>
      <c r="T180" s="29"/>
    </row>
    <row r="181" spans="1:20" ht="22.5" customHeight="1">
      <c r="A181" s="48">
        <v>3</v>
      </c>
      <c r="B181" s="44" t="s">
        <v>727</v>
      </c>
      <c r="C181" s="29">
        <f>C182+C183</f>
        <v>0</v>
      </c>
      <c r="D181" s="29">
        <f t="shared" ref="D181:T181" si="80">D182+D183</f>
        <v>0</v>
      </c>
      <c r="E181" s="29">
        <f t="shared" si="57"/>
        <v>928</v>
      </c>
      <c r="F181" s="29">
        <f t="shared" si="80"/>
        <v>0</v>
      </c>
      <c r="G181" s="29">
        <f t="shared" si="80"/>
        <v>0</v>
      </c>
      <c r="H181" s="29">
        <f t="shared" si="80"/>
        <v>0</v>
      </c>
      <c r="I181" s="29">
        <f t="shared" si="80"/>
        <v>0</v>
      </c>
      <c r="J181" s="29">
        <f t="shared" si="80"/>
        <v>0</v>
      </c>
      <c r="K181" s="29">
        <f t="shared" si="80"/>
        <v>0</v>
      </c>
      <c r="L181" s="29">
        <f t="shared" si="80"/>
        <v>0</v>
      </c>
      <c r="M181" s="29">
        <f t="shared" si="80"/>
        <v>0</v>
      </c>
      <c r="N181" s="29">
        <f t="shared" si="80"/>
        <v>0</v>
      </c>
      <c r="O181" s="29">
        <f t="shared" si="80"/>
        <v>500</v>
      </c>
      <c r="P181" s="29">
        <f t="shared" si="80"/>
        <v>0</v>
      </c>
      <c r="Q181" s="29">
        <f t="shared" si="80"/>
        <v>0</v>
      </c>
      <c r="R181" s="29">
        <f t="shared" si="80"/>
        <v>428</v>
      </c>
      <c r="S181" s="29">
        <f t="shared" si="80"/>
        <v>0</v>
      </c>
      <c r="T181" s="29">
        <f t="shared" si="80"/>
        <v>0</v>
      </c>
    </row>
    <row r="182" spans="1:20" s="38" customFormat="1" ht="22.5" customHeight="1">
      <c r="A182" s="57"/>
      <c r="B182" s="58" t="s">
        <v>820</v>
      </c>
      <c r="C182" s="29">
        <f>C185+C188</f>
        <v>0</v>
      </c>
      <c r="D182" s="29">
        <f t="shared" ref="D182:T183" si="81">D185+D188</f>
        <v>0</v>
      </c>
      <c r="E182" s="29">
        <f t="shared" si="57"/>
        <v>0</v>
      </c>
      <c r="F182" s="29">
        <f t="shared" si="81"/>
        <v>0</v>
      </c>
      <c r="G182" s="29">
        <f t="shared" si="81"/>
        <v>0</v>
      </c>
      <c r="H182" s="29">
        <f t="shared" si="81"/>
        <v>0</v>
      </c>
      <c r="I182" s="29">
        <f t="shared" si="81"/>
        <v>0</v>
      </c>
      <c r="J182" s="29">
        <f t="shared" si="81"/>
        <v>0</v>
      </c>
      <c r="K182" s="29">
        <f t="shared" si="81"/>
        <v>0</v>
      </c>
      <c r="L182" s="29">
        <f t="shared" si="81"/>
        <v>0</v>
      </c>
      <c r="M182" s="29">
        <f t="shared" si="81"/>
        <v>0</v>
      </c>
      <c r="N182" s="29">
        <f t="shared" si="81"/>
        <v>0</v>
      </c>
      <c r="O182" s="29">
        <f t="shared" si="81"/>
        <v>0</v>
      </c>
      <c r="P182" s="29">
        <f t="shared" si="81"/>
        <v>0</v>
      </c>
      <c r="Q182" s="29">
        <f t="shared" si="81"/>
        <v>0</v>
      </c>
      <c r="R182" s="29">
        <f t="shared" si="81"/>
        <v>0</v>
      </c>
      <c r="S182" s="29">
        <f t="shared" si="81"/>
        <v>0</v>
      </c>
      <c r="T182" s="29">
        <f t="shared" si="81"/>
        <v>0</v>
      </c>
    </row>
    <row r="183" spans="1:20" s="38" customFormat="1" ht="22.5" customHeight="1">
      <c r="A183" s="57"/>
      <c r="B183" s="58" t="s">
        <v>821</v>
      </c>
      <c r="C183" s="29">
        <f>C186+C189</f>
        <v>0</v>
      </c>
      <c r="D183" s="29">
        <f t="shared" si="81"/>
        <v>0</v>
      </c>
      <c r="E183" s="29">
        <f t="shared" si="57"/>
        <v>928</v>
      </c>
      <c r="F183" s="29">
        <f t="shared" si="81"/>
        <v>0</v>
      </c>
      <c r="G183" s="29">
        <f t="shared" si="81"/>
        <v>0</v>
      </c>
      <c r="H183" s="29">
        <f t="shared" si="81"/>
        <v>0</v>
      </c>
      <c r="I183" s="29">
        <f t="shared" si="81"/>
        <v>0</v>
      </c>
      <c r="J183" s="29">
        <f t="shared" si="81"/>
        <v>0</v>
      </c>
      <c r="K183" s="29">
        <f t="shared" si="81"/>
        <v>0</v>
      </c>
      <c r="L183" s="29">
        <f t="shared" si="81"/>
        <v>0</v>
      </c>
      <c r="M183" s="29">
        <f t="shared" si="81"/>
        <v>0</v>
      </c>
      <c r="N183" s="29">
        <f t="shared" si="81"/>
        <v>0</v>
      </c>
      <c r="O183" s="29">
        <f t="shared" si="81"/>
        <v>500</v>
      </c>
      <c r="P183" s="29">
        <f t="shared" si="81"/>
        <v>0</v>
      </c>
      <c r="Q183" s="29">
        <f t="shared" si="81"/>
        <v>0</v>
      </c>
      <c r="R183" s="29">
        <f t="shared" si="81"/>
        <v>428</v>
      </c>
      <c r="S183" s="29">
        <f t="shared" si="81"/>
        <v>0</v>
      </c>
      <c r="T183" s="29">
        <f t="shared" si="81"/>
        <v>0</v>
      </c>
    </row>
    <row r="184" spans="1:20" ht="22.5" customHeight="1">
      <c r="A184" s="48"/>
      <c r="B184" s="44" t="s">
        <v>690</v>
      </c>
      <c r="C184" s="29">
        <f>C185+C186</f>
        <v>0</v>
      </c>
      <c r="D184" s="29">
        <f t="shared" ref="D184:T184" si="82">D185+D186</f>
        <v>0</v>
      </c>
      <c r="E184" s="29">
        <f t="shared" si="57"/>
        <v>500</v>
      </c>
      <c r="F184" s="29">
        <f t="shared" si="82"/>
        <v>0</v>
      </c>
      <c r="G184" s="29">
        <f t="shared" si="82"/>
        <v>0</v>
      </c>
      <c r="H184" s="29">
        <f t="shared" si="82"/>
        <v>0</v>
      </c>
      <c r="I184" s="29">
        <f t="shared" si="82"/>
        <v>0</v>
      </c>
      <c r="J184" s="29">
        <f t="shared" si="82"/>
        <v>0</v>
      </c>
      <c r="K184" s="29">
        <f t="shared" si="82"/>
        <v>0</v>
      </c>
      <c r="L184" s="29">
        <f t="shared" si="82"/>
        <v>0</v>
      </c>
      <c r="M184" s="29">
        <f t="shared" si="82"/>
        <v>0</v>
      </c>
      <c r="N184" s="29">
        <f t="shared" si="82"/>
        <v>0</v>
      </c>
      <c r="O184" s="29">
        <f t="shared" si="82"/>
        <v>500</v>
      </c>
      <c r="P184" s="29">
        <f t="shared" si="82"/>
        <v>0</v>
      </c>
      <c r="Q184" s="29">
        <f t="shared" si="82"/>
        <v>0</v>
      </c>
      <c r="R184" s="29">
        <f t="shared" si="82"/>
        <v>0</v>
      </c>
      <c r="S184" s="29">
        <f t="shared" si="82"/>
        <v>0</v>
      </c>
      <c r="T184" s="29">
        <f t="shared" si="82"/>
        <v>0</v>
      </c>
    </row>
    <row r="185" spans="1:20" s="38" customFormat="1" ht="22.5" customHeight="1">
      <c r="A185" s="57"/>
      <c r="B185" s="58" t="s">
        <v>820</v>
      </c>
      <c r="C185" s="29"/>
      <c r="D185" s="29"/>
      <c r="E185" s="29">
        <f t="shared" si="57"/>
        <v>0</v>
      </c>
      <c r="F185" s="29"/>
      <c r="G185" s="29"/>
      <c r="H185" s="29"/>
      <c r="I185" s="29"/>
      <c r="J185" s="29"/>
      <c r="K185" s="29"/>
      <c r="L185" s="29"/>
      <c r="M185" s="29"/>
      <c r="N185" s="29"/>
      <c r="O185" s="29"/>
      <c r="P185" s="29"/>
      <c r="Q185" s="29"/>
      <c r="R185" s="29"/>
      <c r="S185" s="29"/>
      <c r="T185" s="29"/>
    </row>
    <row r="186" spans="1:20" s="38" customFormat="1" ht="22.5" customHeight="1">
      <c r="A186" s="57"/>
      <c r="B186" s="58" t="s">
        <v>821</v>
      </c>
      <c r="C186" s="29"/>
      <c r="D186" s="29"/>
      <c r="E186" s="29">
        <f t="shared" si="57"/>
        <v>500</v>
      </c>
      <c r="F186" s="29"/>
      <c r="G186" s="29"/>
      <c r="H186" s="29"/>
      <c r="I186" s="29"/>
      <c r="J186" s="29"/>
      <c r="K186" s="29"/>
      <c r="L186" s="29"/>
      <c r="M186" s="29"/>
      <c r="N186" s="29"/>
      <c r="O186" s="29">
        <v>500</v>
      </c>
      <c r="P186" s="29"/>
      <c r="Q186" s="29"/>
      <c r="R186" s="29"/>
      <c r="S186" s="29"/>
      <c r="T186" s="29"/>
    </row>
    <row r="187" spans="1:20" ht="22.5" customHeight="1">
      <c r="A187" s="48"/>
      <c r="B187" s="44" t="s">
        <v>691</v>
      </c>
      <c r="C187" s="29"/>
      <c r="D187" s="29">
        <f>D188+D189</f>
        <v>0</v>
      </c>
      <c r="E187" s="29">
        <f t="shared" ref="E187:T187" si="83">E188+E189</f>
        <v>428</v>
      </c>
      <c r="F187" s="29">
        <f t="shared" si="83"/>
        <v>0</v>
      </c>
      <c r="G187" s="29">
        <f t="shared" si="83"/>
        <v>0</v>
      </c>
      <c r="H187" s="29">
        <f t="shared" si="83"/>
        <v>0</v>
      </c>
      <c r="I187" s="29">
        <f t="shared" si="83"/>
        <v>0</v>
      </c>
      <c r="J187" s="29">
        <f t="shared" si="83"/>
        <v>0</v>
      </c>
      <c r="K187" s="29">
        <f t="shared" si="83"/>
        <v>0</v>
      </c>
      <c r="L187" s="29">
        <f t="shared" si="83"/>
        <v>0</v>
      </c>
      <c r="M187" s="29">
        <f t="shared" si="83"/>
        <v>0</v>
      </c>
      <c r="N187" s="29">
        <f t="shared" si="83"/>
        <v>0</v>
      </c>
      <c r="O187" s="29">
        <f t="shared" si="83"/>
        <v>0</v>
      </c>
      <c r="P187" s="29">
        <f t="shared" si="83"/>
        <v>0</v>
      </c>
      <c r="Q187" s="29">
        <f t="shared" si="83"/>
        <v>0</v>
      </c>
      <c r="R187" s="29">
        <f t="shared" si="83"/>
        <v>428</v>
      </c>
      <c r="S187" s="29">
        <f t="shared" si="83"/>
        <v>0</v>
      </c>
      <c r="T187" s="29">
        <f t="shared" si="83"/>
        <v>0</v>
      </c>
    </row>
    <row r="188" spans="1:20" s="38" customFormat="1" ht="22.5" customHeight="1">
      <c r="A188" s="57"/>
      <c r="B188" s="58" t="s">
        <v>820</v>
      </c>
      <c r="C188" s="29"/>
      <c r="D188" s="29"/>
      <c r="E188" s="29">
        <f t="shared" si="57"/>
        <v>0</v>
      </c>
      <c r="F188" s="29"/>
      <c r="G188" s="29"/>
      <c r="H188" s="29"/>
      <c r="I188" s="29"/>
      <c r="J188" s="29"/>
      <c r="K188" s="29"/>
      <c r="L188" s="29"/>
      <c r="M188" s="29"/>
      <c r="N188" s="29"/>
      <c r="O188" s="29"/>
      <c r="P188" s="29"/>
      <c r="Q188" s="29"/>
      <c r="R188" s="29"/>
      <c r="S188" s="29"/>
      <c r="T188" s="29"/>
    </row>
    <row r="189" spans="1:20" s="39" customFormat="1" ht="22.5" customHeight="1">
      <c r="A189" s="63"/>
      <c r="B189" s="64" t="s">
        <v>821</v>
      </c>
      <c r="C189" s="65"/>
      <c r="D189" s="65"/>
      <c r="E189" s="65">
        <f t="shared" ref="E189:E208" si="84">F189+G189+H189+I189+J189+K189+L189+M189+N189+O189+R189+S189+T189</f>
        <v>428</v>
      </c>
      <c r="F189" s="65"/>
      <c r="G189" s="65"/>
      <c r="H189" s="65"/>
      <c r="I189" s="65"/>
      <c r="J189" s="65"/>
      <c r="K189" s="65"/>
      <c r="L189" s="65"/>
      <c r="M189" s="65"/>
      <c r="N189" s="65"/>
      <c r="O189" s="65"/>
      <c r="P189" s="65"/>
      <c r="Q189" s="65"/>
      <c r="R189" s="65">
        <v>428</v>
      </c>
      <c r="S189" s="65"/>
      <c r="T189" s="65"/>
    </row>
    <row r="190" spans="1:20" ht="22.5" customHeight="1">
      <c r="A190" s="48">
        <v>4</v>
      </c>
      <c r="B190" s="44" t="s">
        <v>728</v>
      </c>
      <c r="C190" s="29">
        <f>C191+C192</f>
        <v>0</v>
      </c>
      <c r="D190" s="29">
        <f>D191+D192</f>
        <v>0</v>
      </c>
      <c r="E190" s="29">
        <f t="shared" si="84"/>
        <v>360</v>
      </c>
      <c r="F190" s="29">
        <f t="shared" ref="F190:T190" si="85">F191+F192</f>
        <v>0</v>
      </c>
      <c r="G190" s="29">
        <f t="shared" si="85"/>
        <v>0</v>
      </c>
      <c r="H190" s="29">
        <f t="shared" si="85"/>
        <v>0</v>
      </c>
      <c r="I190" s="29">
        <f t="shared" si="85"/>
        <v>0</v>
      </c>
      <c r="J190" s="29">
        <f t="shared" si="85"/>
        <v>0</v>
      </c>
      <c r="K190" s="29">
        <f t="shared" si="85"/>
        <v>0</v>
      </c>
      <c r="L190" s="29">
        <f t="shared" si="85"/>
        <v>0</v>
      </c>
      <c r="M190" s="29">
        <f t="shared" si="85"/>
        <v>0</v>
      </c>
      <c r="N190" s="29">
        <f t="shared" si="85"/>
        <v>0</v>
      </c>
      <c r="O190" s="29">
        <f t="shared" si="85"/>
        <v>200</v>
      </c>
      <c r="P190" s="29">
        <f t="shared" si="85"/>
        <v>0</v>
      </c>
      <c r="Q190" s="29">
        <f t="shared" si="85"/>
        <v>0</v>
      </c>
      <c r="R190" s="29">
        <f t="shared" si="85"/>
        <v>160</v>
      </c>
      <c r="S190" s="29">
        <f t="shared" si="85"/>
        <v>0</v>
      </c>
      <c r="T190" s="29">
        <f t="shared" si="85"/>
        <v>0</v>
      </c>
    </row>
    <row r="191" spans="1:20" s="38" customFormat="1" ht="22.5" customHeight="1">
      <c r="A191" s="57"/>
      <c r="B191" s="58" t="s">
        <v>820</v>
      </c>
      <c r="C191" s="29">
        <f>C194+C197</f>
        <v>0</v>
      </c>
      <c r="D191" s="29">
        <f>D194+D197</f>
        <v>0</v>
      </c>
      <c r="E191" s="29">
        <f t="shared" si="84"/>
        <v>0</v>
      </c>
      <c r="F191" s="29">
        <f t="shared" ref="F191:T192" si="86">F194+F197</f>
        <v>0</v>
      </c>
      <c r="G191" s="29">
        <f t="shared" si="86"/>
        <v>0</v>
      </c>
      <c r="H191" s="29">
        <f t="shared" si="86"/>
        <v>0</v>
      </c>
      <c r="I191" s="29">
        <f t="shared" si="86"/>
        <v>0</v>
      </c>
      <c r="J191" s="29">
        <f t="shared" si="86"/>
        <v>0</v>
      </c>
      <c r="K191" s="29">
        <f t="shared" si="86"/>
        <v>0</v>
      </c>
      <c r="L191" s="29">
        <f t="shared" si="86"/>
        <v>0</v>
      </c>
      <c r="M191" s="29">
        <f t="shared" si="86"/>
        <v>0</v>
      </c>
      <c r="N191" s="29">
        <f t="shared" si="86"/>
        <v>0</v>
      </c>
      <c r="O191" s="29">
        <f t="shared" si="86"/>
        <v>0</v>
      </c>
      <c r="P191" s="29">
        <f t="shared" si="86"/>
        <v>0</v>
      </c>
      <c r="Q191" s="29">
        <f t="shared" si="86"/>
        <v>0</v>
      </c>
      <c r="R191" s="29">
        <f t="shared" si="86"/>
        <v>0</v>
      </c>
      <c r="S191" s="29">
        <f t="shared" si="86"/>
        <v>0</v>
      </c>
      <c r="T191" s="29">
        <f t="shared" si="86"/>
        <v>0</v>
      </c>
    </row>
    <row r="192" spans="1:20" s="38" customFormat="1" ht="22.5" customHeight="1">
      <c r="A192" s="57"/>
      <c r="B192" s="58" t="s">
        <v>821</v>
      </c>
      <c r="C192" s="29">
        <f>C195+C198</f>
        <v>0</v>
      </c>
      <c r="D192" s="29">
        <f>D195+D198</f>
        <v>0</v>
      </c>
      <c r="E192" s="29">
        <f t="shared" si="84"/>
        <v>360</v>
      </c>
      <c r="F192" s="29">
        <f t="shared" si="86"/>
        <v>0</v>
      </c>
      <c r="G192" s="29">
        <f t="shared" si="86"/>
        <v>0</v>
      </c>
      <c r="H192" s="29">
        <f t="shared" si="86"/>
        <v>0</v>
      </c>
      <c r="I192" s="29">
        <f t="shared" si="86"/>
        <v>0</v>
      </c>
      <c r="J192" s="29">
        <f t="shared" si="86"/>
        <v>0</v>
      </c>
      <c r="K192" s="29">
        <f t="shared" si="86"/>
        <v>0</v>
      </c>
      <c r="L192" s="29">
        <f t="shared" si="86"/>
        <v>0</v>
      </c>
      <c r="M192" s="29">
        <f t="shared" si="86"/>
        <v>0</v>
      </c>
      <c r="N192" s="29">
        <f t="shared" si="86"/>
        <v>0</v>
      </c>
      <c r="O192" s="29">
        <f t="shared" si="86"/>
        <v>200</v>
      </c>
      <c r="P192" s="29">
        <f t="shared" si="86"/>
        <v>0</v>
      </c>
      <c r="Q192" s="29">
        <f t="shared" si="86"/>
        <v>0</v>
      </c>
      <c r="R192" s="29">
        <f t="shared" si="86"/>
        <v>160</v>
      </c>
      <c r="S192" s="29">
        <f t="shared" si="86"/>
        <v>0</v>
      </c>
      <c r="T192" s="29">
        <f t="shared" si="86"/>
        <v>0</v>
      </c>
    </row>
    <row r="193" spans="1:22" ht="22.5" customHeight="1">
      <c r="A193" s="48"/>
      <c r="B193" s="44" t="s">
        <v>690</v>
      </c>
      <c r="C193" s="29">
        <f>C194+C195</f>
        <v>0</v>
      </c>
      <c r="D193" s="29">
        <f>D194+D195</f>
        <v>0</v>
      </c>
      <c r="E193" s="29">
        <f t="shared" si="84"/>
        <v>200</v>
      </c>
      <c r="F193" s="29">
        <f t="shared" ref="F193:T193" si="87">F194+F195</f>
        <v>0</v>
      </c>
      <c r="G193" s="29">
        <f t="shared" si="87"/>
        <v>0</v>
      </c>
      <c r="H193" s="29">
        <f t="shared" si="87"/>
        <v>0</v>
      </c>
      <c r="I193" s="29">
        <f t="shared" si="87"/>
        <v>0</v>
      </c>
      <c r="J193" s="29">
        <f t="shared" si="87"/>
        <v>0</v>
      </c>
      <c r="K193" s="29">
        <f t="shared" si="87"/>
        <v>0</v>
      </c>
      <c r="L193" s="29">
        <f t="shared" si="87"/>
        <v>0</v>
      </c>
      <c r="M193" s="29">
        <f t="shared" si="87"/>
        <v>0</v>
      </c>
      <c r="N193" s="29">
        <f t="shared" si="87"/>
        <v>0</v>
      </c>
      <c r="O193" s="29">
        <f t="shared" si="87"/>
        <v>200</v>
      </c>
      <c r="P193" s="29">
        <f t="shared" si="87"/>
        <v>0</v>
      </c>
      <c r="Q193" s="29">
        <f t="shared" si="87"/>
        <v>0</v>
      </c>
      <c r="R193" s="29">
        <f t="shared" si="87"/>
        <v>0</v>
      </c>
      <c r="S193" s="29">
        <f t="shared" si="87"/>
        <v>0</v>
      </c>
      <c r="T193" s="29">
        <f t="shared" si="87"/>
        <v>0</v>
      </c>
    </row>
    <row r="194" spans="1:22" s="38" customFormat="1" ht="22.5" customHeight="1">
      <c r="A194" s="57"/>
      <c r="B194" s="58" t="s">
        <v>820</v>
      </c>
      <c r="C194" s="29"/>
      <c r="D194" s="29"/>
      <c r="E194" s="29">
        <f t="shared" si="84"/>
        <v>0</v>
      </c>
      <c r="F194" s="29"/>
      <c r="G194" s="29"/>
      <c r="H194" s="29"/>
      <c r="I194" s="29"/>
      <c r="J194" s="29"/>
      <c r="K194" s="29"/>
      <c r="L194" s="29"/>
      <c r="M194" s="29"/>
      <c r="N194" s="29"/>
      <c r="O194" s="29"/>
      <c r="P194" s="29"/>
      <c r="Q194" s="29"/>
      <c r="R194" s="29"/>
      <c r="S194" s="29"/>
      <c r="T194" s="29"/>
    </row>
    <row r="195" spans="1:22" s="38" customFormat="1" ht="22.5" customHeight="1">
      <c r="A195" s="57"/>
      <c r="B195" s="58" t="s">
        <v>821</v>
      </c>
      <c r="C195" s="29"/>
      <c r="D195" s="29"/>
      <c r="E195" s="29">
        <f t="shared" si="84"/>
        <v>200</v>
      </c>
      <c r="F195" s="29"/>
      <c r="G195" s="29"/>
      <c r="H195" s="29"/>
      <c r="I195" s="29"/>
      <c r="J195" s="29"/>
      <c r="K195" s="29"/>
      <c r="L195" s="29"/>
      <c r="M195" s="29"/>
      <c r="N195" s="29"/>
      <c r="O195" s="29">
        <v>200</v>
      </c>
      <c r="P195" s="29"/>
      <c r="Q195" s="29"/>
      <c r="R195" s="29"/>
      <c r="S195" s="29"/>
      <c r="T195" s="29"/>
    </row>
    <row r="196" spans="1:22" ht="22.5" customHeight="1">
      <c r="A196" s="48"/>
      <c r="B196" s="44" t="s">
        <v>691</v>
      </c>
      <c r="C196" s="29">
        <f>C197+C198</f>
        <v>0</v>
      </c>
      <c r="D196" s="29">
        <f t="shared" ref="D196:T196" si="88">D197+D198</f>
        <v>0</v>
      </c>
      <c r="E196" s="29">
        <f t="shared" si="88"/>
        <v>160</v>
      </c>
      <c r="F196" s="29">
        <f t="shared" si="88"/>
        <v>0</v>
      </c>
      <c r="G196" s="29">
        <f t="shared" si="88"/>
        <v>0</v>
      </c>
      <c r="H196" s="29">
        <f t="shared" si="88"/>
        <v>0</v>
      </c>
      <c r="I196" s="29">
        <f t="shared" si="88"/>
        <v>0</v>
      </c>
      <c r="J196" s="29">
        <f t="shared" si="88"/>
        <v>0</v>
      </c>
      <c r="K196" s="29">
        <f t="shared" si="88"/>
        <v>0</v>
      </c>
      <c r="L196" s="29">
        <f t="shared" si="88"/>
        <v>0</v>
      </c>
      <c r="M196" s="29">
        <f t="shared" si="88"/>
        <v>0</v>
      </c>
      <c r="N196" s="29">
        <f t="shared" si="88"/>
        <v>0</v>
      </c>
      <c r="O196" s="29">
        <f t="shared" si="88"/>
        <v>0</v>
      </c>
      <c r="P196" s="29">
        <f t="shared" si="88"/>
        <v>0</v>
      </c>
      <c r="Q196" s="29">
        <f t="shared" si="88"/>
        <v>0</v>
      </c>
      <c r="R196" s="29">
        <f t="shared" si="88"/>
        <v>160</v>
      </c>
      <c r="S196" s="29">
        <f t="shared" si="88"/>
        <v>0</v>
      </c>
      <c r="T196" s="29">
        <f t="shared" si="88"/>
        <v>0</v>
      </c>
    </row>
    <row r="197" spans="1:22" s="38" customFormat="1" ht="22.5" customHeight="1">
      <c r="A197" s="57"/>
      <c r="B197" s="58" t="s">
        <v>820</v>
      </c>
      <c r="C197" s="29"/>
      <c r="D197" s="29"/>
      <c r="E197" s="29">
        <f t="shared" si="84"/>
        <v>0</v>
      </c>
      <c r="F197" s="29"/>
      <c r="G197" s="29"/>
      <c r="H197" s="29"/>
      <c r="I197" s="29"/>
      <c r="J197" s="29"/>
      <c r="K197" s="29"/>
      <c r="L197" s="29"/>
      <c r="M197" s="29"/>
      <c r="N197" s="29"/>
      <c r="O197" s="29"/>
      <c r="P197" s="29"/>
      <c r="Q197" s="29"/>
      <c r="R197" s="29"/>
      <c r="S197" s="29"/>
      <c r="T197" s="29"/>
    </row>
    <row r="198" spans="1:22" s="39" customFormat="1" ht="22.5" customHeight="1">
      <c r="A198" s="63"/>
      <c r="B198" s="64" t="s">
        <v>821</v>
      </c>
      <c r="C198" s="65"/>
      <c r="D198" s="65"/>
      <c r="E198" s="65">
        <f t="shared" si="84"/>
        <v>160</v>
      </c>
      <c r="F198" s="65"/>
      <c r="G198" s="65"/>
      <c r="H198" s="65"/>
      <c r="I198" s="65"/>
      <c r="J198" s="65"/>
      <c r="K198" s="65"/>
      <c r="L198" s="65"/>
      <c r="M198" s="65"/>
      <c r="N198" s="65"/>
      <c r="O198" s="65"/>
      <c r="P198" s="65"/>
      <c r="Q198" s="65"/>
      <c r="R198" s="65">
        <v>160</v>
      </c>
      <c r="S198" s="65"/>
      <c r="T198" s="65"/>
    </row>
    <row r="199" spans="1:22" ht="22.5" customHeight="1">
      <c r="A199" s="48">
        <v>5</v>
      </c>
      <c r="B199" s="44" t="s">
        <v>730</v>
      </c>
      <c r="C199" s="29">
        <f>C200+C201</f>
        <v>0</v>
      </c>
      <c r="D199" s="29">
        <f t="shared" ref="D199:T199" si="89">D200+D201</f>
        <v>0</v>
      </c>
      <c r="E199" s="29">
        <f t="shared" si="84"/>
        <v>42</v>
      </c>
      <c r="F199" s="29">
        <f t="shared" si="89"/>
        <v>0</v>
      </c>
      <c r="G199" s="29">
        <f t="shared" si="89"/>
        <v>0</v>
      </c>
      <c r="H199" s="29">
        <f t="shared" si="89"/>
        <v>0</v>
      </c>
      <c r="I199" s="29">
        <f t="shared" si="89"/>
        <v>42</v>
      </c>
      <c r="J199" s="29">
        <f t="shared" si="89"/>
        <v>0</v>
      </c>
      <c r="K199" s="29">
        <f t="shared" si="89"/>
        <v>0</v>
      </c>
      <c r="L199" s="29">
        <f t="shared" si="89"/>
        <v>0</v>
      </c>
      <c r="M199" s="29">
        <f t="shared" si="89"/>
        <v>0</v>
      </c>
      <c r="N199" s="29">
        <f t="shared" si="89"/>
        <v>0</v>
      </c>
      <c r="O199" s="29">
        <f t="shared" si="89"/>
        <v>0</v>
      </c>
      <c r="P199" s="29">
        <f t="shared" si="89"/>
        <v>0</v>
      </c>
      <c r="Q199" s="29">
        <f t="shared" si="89"/>
        <v>0</v>
      </c>
      <c r="R199" s="29">
        <f t="shared" si="89"/>
        <v>0</v>
      </c>
      <c r="S199" s="29">
        <f t="shared" si="89"/>
        <v>0</v>
      </c>
      <c r="T199" s="29">
        <f t="shared" si="89"/>
        <v>0</v>
      </c>
    </row>
    <row r="200" spans="1:22" s="38" customFormat="1" ht="22.5" customHeight="1">
      <c r="A200" s="57"/>
      <c r="B200" s="58" t="s">
        <v>820</v>
      </c>
      <c r="C200" s="29">
        <f>C203+C206</f>
        <v>0</v>
      </c>
      <c r="D200" s="29">
        <f t="shared" ref="D200:T201" si="90">D203+D206</f>
        <v>0</v>
      </c>
      <c r="E200" s="29">
        <f t="shared" si="84"/>
        <v>0</v>
      </c>
      <c r="F200" s="29">
        <f t="shared" si="90"/>
        <v>0</v>
      </c>
      <c r="G200" s="29">
        <f t="shared" si="90"/>
        <v>0</v>
      </c>
      <c r="H200" s="29">
        <f t="shared" si="90"/>
        <v>0</v>
      </c>
      <c r="I200" s="29">
        <f t="shared" si="90"/>
        <v>0</v>
      </c>
      <c r="J200" s="29">
        <f t="shared" si="90"/>
        <v>0</v>
      </c>
      <c r="K200" s="29">
        <f t="shared" si="90"/>
        <v>0</v>
      </c>
      <c r="L200" s="29">
        <f t="shared" si="90"/>
        <v>0</v>
      </c>
      <c r="M200" s="29">
        <f t="shared" si="90"/>
        <v>0</v>
      </c>
      <c r="N200" s="29">
        <f t="shared" si="90"/>
        <v>0</v>
      </c>
      <c r="O200" s="29">
        <f t="shared" si="90"/>
        <v>0</v>
      </c>
      <c r="P200" s="29">
        <f t="shared" si="90"/>
        <v>0</v>
      </c>
      <c r="Q200" s="29">
        <f t="shared" si="90"/>
        <v>0</v>
      </c>
      <c r="R200" s="29">
        <f t="shared" si="90"/>
        <v>0</v>
      </c>
      <c r="S200" s="29">
        <f t="shared" si="90"/>
        <v>0</v>
      </c>
      <c r="T200" s="29">
        <f t="shared" si="90"/>
        <v>0</v>
      </c>
    </row>
    <row r="201" spans="1:22" s="38" customFormat="1" ht="22.5" customHeight="1">
      <c r="A201" s="57"/>
      <c r="B201" s="58" t="s">
        <v>821</v>
      </c>
      <c r="C201" s="29">
        <f>C204+C207</f>
        <v>0</v>
      </c>
      <c r="D201" s="29">
        <f t="shared" si="90"/>
        <v>0</v>
      </c>
      <c r="E201" s="29">
        <f t="shared" si="84"/>
        <v>42</v>
      </c>
      <c r="F201" s="29">
        <f t="shared" si="90"/>
        <v>0</v>
      </c>
      <c r="G201" s="29">
        <f t="shared" si="90"/>
        <v>0</v>
      </c>
      <c r="H201" s="29">
        <f t="shared" si="90"/>
        <v>0</v>
      </c>
      <c r="I201" s="29">
        <f t="shared" si="90"/>
        <v>42</v>
      </c>
      <c r="J201" s="29">
        <f t="shared" si="90"/>
        <v>0</v>
      </c>
      <c r="K201" s="29">
        <f t="shared" si="90"/>
        <v>0</v>
      </c>
      <c r="L201" s="29">
        <f t="shared" si="90"/>
        <v>0</v>
      </c>
      <c r="M201" s="29">
        <f t="shared" si="90"/>
        <v>0</v>
      </c>
      <c r="N201" s="29">
        <f t="shared" si="90"/>
        <v>0</v>
      </c>
      <c r="O201" s="29">
        <f t="shared" si="90"/>
        <v>0</v>
      </c>
      <c r="P201" s="29">
        <f t="shared" si="90"/>
        <v>0</v>
      </c>
      <c r="Q201" s="29">
        <f t="shared" si="90"/>
        <v>0</v>
      </c>
      <c r="R201" s="29">
        <f t="shared" si="90"/>
        <v>0</v>
      </c>
      <c r="S201" s="29">
        <f t="shared" si="90"/>
        <v>0</v>
      </c>
      <c r="T201" s="29">
        <f t="shared" si="90"/>
        <v>0</v>
      </c>
    </row>
    <row r="202" spans="1:22" ht="22.5" customHeight="1">
      <c r="A202" s="48"/>
      <c r="B202" s="44" t="s">
        <v>690</v>
      </c>
      <c r="C202" s="29">
        <f>C203+C204</f>
        <v>0</v>
      </c>
      <c r="D202" s="29">
        <f t="shared" ref="D202:T202" si="91">D203+D204</f>
        <v>0</v>
      </c>
      <c r="E202" s="29">
        <f t="shared" si="84"/>
        <v>42</v>
      </c>
      <c r="F202" s="29">
        <f t="shared" si="91"/>
        <v>0</v>
      </c>
      <c r="G202" s="29">
        <f t="shared" si="91"/>
        <v>0</v>
      </c>
      <c r="H202" s="29">
        <f t="shared" si="91"/>
        <v>0</v>
      </c>
      <c r="I202" s="29">
        <f t="shared" si="91"/>
        <v>42</v>
      </c>
      <c r="J202" s="29">
        <f t="shared" si="91"/>
        <v>0</v>
      </c>
      <c r="K202" s="29">
        <f t="shared" si="91"/>
        <v>0</v>
      </c>
      <c r="L202" s="29">
        <f t="shared" si="91"/>
        <v>0</v>
      </c>
      <c r="M202" s="29">
        <f t="shared" si="91"/>
        <v>0</v>
      </c>
      <c r="N202" s="29">
        <f t="shared" si="91"/>
        <v>0</v>
      </c>
      <c r="O202" s="29">
        <f t="shared" si="91"/>
        <v>0</v>
      </c>
      <c r="P202" s="29">
        <f t="shared" si="91"/>
        <v>0</v>
      </c>
      <c r="Q202" s="29">
        <f t="shared" si="91"/>
        <v>0</v>
      </c>
      <c r="R202" s="29">
        <f t="shared" si="91"/>
        <v>0</v>
      </c>
      <c r="S202" s="29">
        <f t="shared" si="91"/>
        <v>0</v>
      </c>
      <c r="T202" s="29">
        <f t="shared" si="91"/>
        <v>0</v>
      </c>
    </row>
    <row r="203" spans="1:22" s="38" customFormat="1" ht="22.5" customHeight="1">
      <c r="A203" s="57"/>
      <c r="B203" s="58" t="s">
        <v>820</v>
      </c>
      <c r="C203" s="29"/>
      <c r="D203" s="29"/>
      <c r="E203" s="29">
        <f t="shared" si="84"/>
        <v>0</v>
      </c>
      <c r="F203" s="29"/>
      <c r="G203" s="29"/>
      <c r="H203" s="29"/>
      <c r="I203" s="29"/>
      <c r="J203" s="29"/>
      <c r="K203" s="29"/>
      <c r="L203" s="29"/>
      <c r="M203" s="29"/>
      <c r="N203" s="29"/>
      <c r="O203" s="29"/>
      <c r="P203" s="29"/>
      <c r="Q203" s="29"/>
      <c r="R203" s="29"/>
      <c r="S203" s="29"/>
      <c r="T203" s="29"/>
    </row>
    <row r="204" spans="1:22" s="38" customFormat="1" ht="22.5" customHeight="1">
      <c r="A204" s="57"/>
      <c r="B204" s="58" t="s">
        <v>821</v>
      </c>
      <c r="C204" s="29"/>
      <c r="D204" s="29"/>
      <c r="E204" s="29">
        <f t="shared" si="84"/>
        <v>42</v>
      </c>
      <c r="F204" s="29"/>
      <c r="G204" s="29"/>
      <c r="H204" s="29"/>
      <c r="I204" s="29">
        <v>42</v>
      </c>
      <c r="J204" s="29"/>
      <c r="K204" s="29"/>
      <c r="L204" s="29"/>
      <c r="M204" s="29"/>
      <c r="N204" s="29"/>
      <c r="O204" s="29"/>
      <c r="P204" s="29"/>
      <c r="Q204" s="29"/>
      <c r="R204" s="29"/>
      <c r="S204" s="29"/>
      <c r="T204" s="29"/>
    </row>
    <row r="205" spans="1:22" ht="22.5" customHeight="1">
      <c r="A205" s="48"/>
      <c r="B205" s="44" t="s">
        <v>691</v>
      </c>
      <c r="C205" s="29"/>
      <c r="D205" s="29"/>
      <c r="E205" s="29">
        <f t="shared" si="84"/>
        <v>0</v>
      </c>
      <c r="F205" s="29"/>
      <c r="G205" s="29"/>
      <c r="H205" s="29"/>
      <c r="I205" s="29"/>
      <c r="J205" s="29"/>
      <c r="K205" s="29"/>
      <c r="L205" s="29"/>
      <c r="M205" s="29"/>
      <c r="N205" s="29"/>
      <c r="O205" s="29"/>
      <c r="P205" s="29"/>
      <c r="Q205" s="29"/>
      <c r="R205" s="29"/>
      <c r="S205" s="29"/>
      <c r="T205" s="29"/>
    </row>
    <row r="206" spans="1:22" s="38" customFormat="1" ht="22.5" customHeight="1">
      <c r="A206" s="57"/>
      <c r="B206" s="58" t="s">
        <v>820</v>
      </c>
      <c r="C206" s="29"/>
      <c r="D206" s="29"/>
      <c r="E206" s="29">
        <f t="shared" si="84"/>
        <v>0</v>
      </c>
      <c r="F206" s="29"/>
      <c r="G206" s="29"/>
      <c r="H206" s="29"/>
      <c r="I206" s="29"/>
      <c r="J206" s="29"/>
      <c r="K206" s="29"/>
      <c r="L206" s="29"/>
      <c r="M206" s="29"/>
      <c r="N206" s="29"/>
      <c r="O206" s="29"/>
      <c r="P206" s="29"/>
      <c r="Q206" s="29"/>
      <c r="R206" s="29"/>
      <c r="S206" s="29"/>
      <c r="T206" s="29"/>
    </row>
    <row r="207" spans="1:22" s="38" customFormat="1" ht="22.5" customHeight="1">
      <c r="A207" s="57"/>
      <c r="B207" s="58" t="s">
        <v>821</v>
      </c>
      <c r="C207" s="29"/>
      <c r="D207" s="29"/>
      <c r="E207" s="29">
        <f t="shared" si="84"/>
        <v>0</v>
      </c>
      <c r="F207" s="29"/>
      <c r="G207" s="29"/>
      <c r="H207" s="29"/>
      <c r="I207" s="29"/>
      <c r="J207" s="29"/>
      <c r="K207" s="29"/>
      <c r="L207" s="29"/>
      <c r="M207" s="29"/>
      <c r="N207" s="29"/>
      <c r="O207" s="29"/>
      <c r="P207" s="29"/>
      <c r="Q207" s="29"/>
      <c r="R207" s="29"/>
      <c r="S207" s="29"/>
      <c r="T207" s="29"/>
    </row>
    <row r="208" spans="1:22" s="26" customFormat="1" ht="22.5" customHeight="1">
      <c r="A208" s="54" t="s">
        <v>18</v>
      </c>
      <c r="B208" s="66" t="s">
        <v>815</v>
      </c>
      <c r="C208" s="30">
        <f>SUM(C209:C257)</f>
        <v>0</v>
      </c>
      <c r="D208" s="30">
        <f>SUM(D209:D257)</f>
        <v>0</v>
      </c>
      <c r="E208" s="30">
        <f t="shared" si="84"/>
        <v>177108</v>
      </c>
      <c r="F208" s="30">
        <f>F209+F218+F227+F236+F245</f>
        <v>0</v>
      </c>
      <c r="G208" s="30">
        <f t="shared" ref="G208:T208" si="92">G209+G218+G227+G236+G245</f>
        <v>0</v>
      </c>
      <c r="H208" s="30">
        <f t="shared" si="92"/>
        <v>12800</v>
      </c>
      <c r="I208" s="30">
        <f t="shared" si="92"/>
        <v>1500</v>
      </c>
      <c r="J208" s="30">
        <f t="shared" si="92"/>
        <v>161303</v>
      </c>
      <c r="K208" s="30">
        <f t="shared" si="92"/>
        <v>0</v>
      </c>
      <c r="L208" s="30">
        <f t="shared" si="92"/>
        <v>0</v>
      </c>
      <c r="M208" s="30">
        <f t="shared" si="92"/>
        <v>0</v>
      </c>
      <c r="N208" s="30">
        <f t="shared" si="92"/>
        <v>0</v>
      </c>
      <c r="O208" s="30">
        <f t="shared" si="92"/>
        <v>1505</v>
      </c>
      <c r="P208" s="30">
        <f t="shared" si="92"/>
        <v>0</v>
      </c>
      <c r="Q208" s="30">
        <f t="shared" si="92"/>
        <v>0</v>
      </c>
      <c r="R208" s="30">
        <f t="shared" si="92"/>
        <v>0</v>
      </c>
      <c r="S208" s="30">
        <f t="shared" si="92"/>
        <v>0</v>
      </c>
      <c r="T208" s="30">
        <f t="shared" si="92"/>
        <v>0</v>
      </c>
      <c r="U208" s="30"/>
      <c r="V208" s="30"/>
    </row>
    <row r="209" spans="1:20" ht="22.5" customHeight="1">
      <c r="A209" s="48">
        <v>1</v>
      </c>
      <c r="B209" s="44" t="s">
        <v>759</v>
      </c>
      <c r="C209" s="29">
        <f>C210+C211</f>
        <v>0</v>
      </c>
      <c r="D209" s="29">
        <f>D210+D211</f>
        <v>0</v>
      </c>
      <c r="E209" s="29">
        <f t="shared" ref="E209:E253" si="93">F209+G209+H209+I209+J209+K209+L209+M209+N209+O209+R209+S209+T209</f>
        <v>2085</v>
      </c>
      <c r="F209" s="29">
        <f t="shared" ref="F209:T209" si="94">F210+F211</f>
        <v>0</v>
      </c>
      <c r="G209" s="29">
        <f t="shared" si="94"/>
        <v>0</v>
      </c>
      <c r="H209" s="29">
        <f t="shared" si="94"/>
        <v>0</v>
      </c>
      <c r="I209" s="29">
        <f t="shared" si="94"/>
        <v>1500</v>
      </c>
      <c r="J209" s="29">
        <f t="shared" si="94"/>
        <v>0</v>
      </c>
      <c r="K209" s="29">
        <f t="shared" si="94"/>
        <v>0</v>
      </c>
      <c r="L209" s="29">
        <f t="shared" si="94"/>
        <v>0</v>
      </c>
      <c r="M209" s="29">
        <f t="shared" si="94"/>
        <v>0</v>
      </c>
      <c r="N209" s="29">
        <f t="shared" si="94"/>
        <v>0</v>
      </c>
      <c r="O209" s="29">
        <f t="shared" si="94"/>
        <v>585</v>
      </c>
      <c r="P209" s="29">
        <f t="shared" si="94"/>
        <v>0</v>
      </c>
      <c r="Q209" s="29">
        <f t="shared" si="94"/>
        <v>0</v>
      </c>
      <c r="R209" s="29">
        <f t="shared" si="94"/>
        <v>0</v>
      </c>
      <c r="S209" s="29">
        <f t="shared" si="94"/>
        <v>0</v>
      </c>
      <c r="T209" s="29">
        <f t="shared" si="94"/>
        <v>0</v>
      </c>
    </row>
    <row r="210" spans="1:20" s="38" customFormat="1" ht="31.2">
      <c r="A210" s="57"/>
      <c r="B210" s="58" t="s">
        <v>820</v>
      </c>
      <c r="C210" s="29">
        <f>C213+C216</f>
        <v>0</v>
      </c>
      <c r="D210" s="29">
        <f>D213+D216</f>
        <v>0</v>
      </c>
      <c r="E210" s="29">
        <f>E213+E216</f>
        <v>2085</v>
      </c>
      <c r="F210" s="29">
        <f t="shared" ref="F210:T210" si="95">F213+F216</f>
        <v>0</v>
      </c>
      <c r="G210" s="29">
        <f t="shared" si="95"/>
        <v>0</v>
      </c>
      <c r="H210" s="29">
        <f t="shared" si="95"/>
        <v>0</v>
      </c>
      <c r="I210" s="29">
        <f t="shared" si="95"/>
        <v>1500</v>
      </c>
      <c r="J210" s="29">
        <f t="shared" si="95"/>
        <v>0</v>
      </c>
      <c r="K210" s="29">
        <f t="shared" si="95"/>
        <v>0</v>
      </c>
      <c r="L210" s="29">
        <f t="shared" si="95"/>
        <v>0</v>
      </c>
      <c r="M210" s="29">
        <f t="shared" si="95"/>
        <v>0</v>
      </c>
      <c r="N210" s="29">
        <f t="shared" si="95"/>
        <v>0</v>
      </c>
      <c r="O210" s="29">
        <f t="shared" si="95"/>
        <v>585</v>
      </c>
      <c r="P210" s="29">
        <f t="shared" si="95"/>
        <v>0</v>
      </c>
      <c r="Q210" s="29">
        <f t="shared" si="95"/>
        <v>0</v>
      </c>
      <c r="R210" s="29">
        <f t="shared" si="95"/>
        <v>0</v>
      </c>
      <c r="S210" s="29">
        <f t="shared" si="95"/>
        <v>0</v>
      </c>
      <c r="T210" s="29">
        <f t="shared" si="95"/>
        <v>0</v>
      </c>
    </row>
    <row r="211" spans="1:20" s="38" customFormat="1" ht="22.5" customHeight="1">
      <c r="A211" s="57"/>
      <c r="B211" s="58" t="s">
        <v>821</v>
      </c>
      <c r="C211" s="29">
        <f>C214+C217</f>
        <v>0</v>
      </c>
      <c r="D211" s="29">
        <f>D214+D217</f>
        <v>0</v>
      </c>
      <c r="E211" s="29">
        <f t="shared" si="93"/>
        <v>0</v>
      </c>
      <c r="F211" s="29">
        <f t="shared" ref="F211:T211" si="96">F214+F217</f>
        <v>0</v>
      </c>
      <c r="G211" s="29">
        <f t="shared" si="96"/>
        <v>0</v>
      </c>
      <c r="H211" s="29">
        <f t="shared" si="96"/>
        <v>0</v>
      </c>
      <c r="I211" s="29">
        <f t="shared" si="96"/>
        <v>0</v>
      </c>
      <c r="J211" s="29">
        <f t="shared" si="96"/>
        <v>0</v>
      </c>
      <c r="K211" s="29">
        <f t="shared" si="96"/>
        <v>0</v>
      </c>
      <c r="L211" s="29">
        <f t="shared" si="96"/>
        <v>0</v>
      </c>
      <c r="M211" s="29">
        <f t="shared" si="96"/>
        <v>0</v>
      </c>
      <c r="N211" s="29">
        <f t="shared" si="96"/>
        <v>0</v>
      </c>
      <c r="O211" s="29">
        <f t="shared" si="96"/>
        <v>0</v>
      </c>
      <c r="P211" s="29">
        <f t="shared" si="96"/>
        <v>0</v>
      </c>
      <c r="Q211" s="29">
        <f t="shared" si="96"/>
        <v>0</v>
      </c>
      <c r="R211" s="29">
        <f t="shared" si="96"/>
        <v>0</v>
      </c>
      <c r="S211" s="29">
        <f t="shared" si="96"/>
        <v>0</v>
      </c>
      <c r="T211" s="29">
        <f t="shared" si="96"/>
        <v>0</v>
      </c>
    </row>
    <row r="212" spans="1:20" ht="22.5" customHeight="1">
      <c r="A212" s="48"/>
      <c r="B212" s="44" t="s">
        <v>690</v>
      </c>
      <c r="C212" s="29">
        <f>C213+C214</f>
        <v>0</v>
      </c>
      <c r="D212" s="29">
        <f>D213+D214</f>
        <v>0</v>
      </c>
      <c r="E212" s="29">
        <f t="shared" si="93"/>
        <v>1500</v>
      </c>
      <c r="F212" s="29">
        <f t="shared" ref="F212:T212" si="97">F213+F214</f>
        <v>0</v>
      </c>
      <c r="G212" s="29">
        <f t="shared" si="97"/>
        <v>0</v>
      </c>
      <c r="H212" s="29">
        <f t="shared" si="97"/>
        <v>0</v>
      </c>
      <c r="I212" s="29">
        <f t="shared" si="97"/>
        <v>1500</v>
      </c>
      <c r="J212" s="29">
        <f t="shared" si="97"/>
        <v>0</v>
      </c>
      <c r="K212" s="29">
        <f t="shared" si="97"/>
        <v>0</v>
      </c>
      <c r="L212" s="29">
        <f t="shared" si="97"/>
        <v>0</v>
      </c>
      <c r="M212" s="29">
        <f t="shared" si="97"/>
        <v>0</v>
      </c>
      <c r="N212" s="29">
        <f t="shared" si="97"/>
        <v>0</v>
      </c>
      <c r="O212" s="29">
        <f t="shared" si="97"/>
        <v>0</v>
      </c>
      <c r="P212" s="29">
        <f t="shared" si="97"/>
        <v>0</v>
      </c>
      <c r="Q212" s="29">
        <f t="shared" si="97"/>
        <v>0</v>
      </c>
      <c r="R212" s="29">
        <f t="shared" si="97"/>
        <v>0</v>
      </c>
      <c r="S212" s="29">
        <f t="shared" si="97"/>
        <v>0</v>
      </c>
      <c r="T212" s="29">
        <f t="shared" si="97"/>
        <v>0</v>
      </c>
    </row>
    <row r="213" spans="1:20" s="38" customFormat="1" ht="22.5" customHeight="1">
      <c r="A213" s="57"/>
      <c r="B213" s="58" t="s">
        <v>820</v>
      </c>
      <c r="C213" s="29"/>
      <c r="D213" s="29"/>
      <c r="E213" s="29">
        <f t="shared" si="93"/>
        <v>1500</v>
      </c>
      <c r="F213" s="29"/>
      <c r="G213" s="29"/>
      <c r="H213" s="29"/>
      <c r="I213" s="29">
        <v>1500</v>
      </c>
      <c r="J213" s="29"/>
      <c r="K213" s="29"/>
      <c r="L213" s="29"/>
      <c r="M213" s="29"/>
      <c r="N213" s="29"/>
      <c r="O213" s="29"/>
      <c r="P213" s="29"/>
      <c r="Q213" s="29"/>
      <c r="R213" s="29"/>
      <c r="S213" s="29"/>
      <c r="T213" s="29"/>
    </row>
    <row r="214" spans="1:20" s="38" customFormat="1" ht="22.5" customHeight="1">
      <c r="A214" s="57"/>
      <c r="B214" s="58" t="s">
        <v>821</v>
      </c>
      <c r="C214" s="29"/>
      <c r="D214" s="29"/>
      <c r="E214" s="29">
        <f t="shared" si="93"/>
        <v>0</v>
      </c>
      <c r="F214" s="29"/>
      <c r="G214" s="29"/>
      <c r="H214" s="29"/>
      <c r="I214" s="29"/>
      <c r="J214" s="29"/>
      <c r="K214" s="29"/>
      <c r="L214" s="29"/>
      <c r="M214" s="29"/>
      <c r="N214" s="29"/>
      <c r="O214" s="29"/>
      <c r="P214" s="29"/>
      <c r="Q214" s="29"/>
      <c r="R214" s="29"/>
      <c r="S214" s="29"/>
      <c r="T214" s="29"/>
    </row>
    <row r="215" spans="1:20" ht="22.5" customHeight="1">
      <c r="A215" s="48"/>
      <c r="B215" s="44" t="s">
        <v>691</v>
      </c>
      <c r="C215" s="29"/>
      <c r="D215" s="29"/>
      <c r="E215" s="29">
        <f t="shared" ref="E215:T215" si="98">E216</f>
        <v>585</v>
      </c>
      <c r="F215" s="29">
        <f t="shared" si="98"/>
        <v>0</v>
      </c>
      <c r="G215" s="29">
        <f t="shared" si="98"/>
        <v>0</v>
      </c>
      <c r="H215" s="29">
        <f t="shared" si="98"/>
        <v>0</v>
      </c>
      <c r="I215" s="29">
        <f t="shared" si="98"/>
        <v>0</v>
      </c>
      <c r="J215" s="29">
        <f t="shared" si="98"/>
        <v>0</v>
      </c>
      <c r="K215" s="29">
        <f t="shared" si="98"/>
        <v>0</v>
      </c>
      <c r="L215" s="29">
        <f t="shared" si="98"/>
        <v>0</v>
      </c>
      <c r="M215" s="29">
        <f t="shared" si="98"/>
        <v>0</v>
      </c>
      <c r="N215" s="29">
        <f t="shared" si="98"/>
        <v>0</v>
      </c>
      <c r="O215" s="29">
        <f t="shared" si="98"/>
        <v>585</v>
      </c>
      <c r="P215" s="29">
        <f t="shared" si="98"/>
        <v>0</v>
      </c>
      <c r="Q215" s="29">
        <f t="shared" si="98"/>
        <v>0</v>
      </c>
      <c r="R215" s="29">
        <f t="shared" si="98"/>
        <v>0</v>
      </c>
      <c r="S215" s="29">
        <f t="shared" si="98"/>
        <v>0</v>
      </c>
      <c r="T215" s="29">
        <f t="shared" si="98"/>
        <v>0</v>
      </c>
    </row>
    <row r="216" spans="1:20" s="38" customFormat="1" ht="22.5" customHeight="1">
      <c r="A216" s="57"/>
      <c r="B216" s="58" t="s">
        <v>820</v>
      </c>
      <c r="C216" s="29"/>
      <c r="D216" s="29"/>
      <c r="E216" s="29">
        <f t="shared" si="93"/>
        <v>585</v>
      </c>
      <c r="F216" s="29"/>
      <c r="G216" s="29"/>
      <c r="H216" s="29"/>
      <c r="I216" s="29"/>
      <c r="J216" s="29"/>
      <c r="K216" s="29"/>
      <c r="L216" s="29"/>
      <c r="M216" s="29"/>
      <c r="N216" s="29"/>
      <c r="O216" s="29">
        <v>585</v>
      </c>
      <c r="P216" s="29"/>
      <c r="Q216" s="29"/>
      <c r="R216" s="29"/>
      <c r="S216" s="29"/>
      <c r="T216" s="29"/>
    </row>
    <row r="217" spans="1:20" s="38" customFormat="1" ht="22.5" customHeight="1">
      <c r="A217" s="57"/>
      <c r="B217" s="58" t="s">
        <v>821</v>
      </c>
      <c r="C217" s="29"/>
      <c r="D217" s="29"/>
      <c r="E217" s="29">
        <f t="shared" si="93"/>
        <v>0</v>
      </c>
      <c r="F217" s="29"/>
      <c r="G217" s="29"/>
      <c r="H217" s="29"/>
      <c r="I217" s="29"/>
      <c r="J217" s="29"/>
      <c r="K217" s="29"/>
      <c r="L217" s="29"/>
      <c r="M217" s="29"/>
      <c r="N217" s="29"/>
      <c r="O217" s="29"/>
      <c r="P217" s="29"/>
      <c r="Q217" s="29"/>
      <c r="R217" s="29"/>
      <c r="S217" s="29"/>
      <c r="T217" s="29"/>
    </row>
    <row r="218" spans="1:20" ht="22.5" customHeight="1">
      <c r="A218" s="48">
        <v>2</v>
      </c>
      <c r="B218" s="44" t="s">
        <v>760</v>
      </c>
      <c r="C218" s="29">
        <f>C219+C220</f>
        <v>0</v>
      </c>
      <c r="D218" s="29">
        <f>D219+D220</f>
        <v>0</v>
      </c>
      <c r="E218" s="29">
        <f t="shared" si="93"/>
        <v>12815</v>
      </c>
      <c r="F218" s="29">
        <f t="shared" ref="F218:T218" si="99">F219+F220</f>
        <v>0</v>
      </c>
      <c r="G218" s="29">
        <f t="shared" si="99"/>
        <v>0</v>
      </c>
      <c r="H218" s="29">
        <f t="shared" si="99"/>
        <v>12800</v>
      </c>
      <c r="I218" s="29">
        <f t="shared" si="99"/>
        <v>0</v>
      </c>
      <c r="J218" s="29">
        <f t="shared" si="99"/>
        <v>0</v>
      </c>
      <c r="K218" s="29">
        <f t="shared" si="99"/>
        <v>0</v>
      </c>
      <c r="L218" s="29">
        <f t="shared" si="99"/>
        <v>0</v>
      </c>
      <c r="M218" s="29">
        <f t="shared" si="99"/>
        <v>0</v>
      </c>
      <c r="N218" s="29">
        <f t="shared" si="99"/>
        <v>0</v>
      </c>
      <c r="O218" s="29">
        <f t="shared" si="99"/>
        <v>15</v>
      </c>
      <c r="P218" s="29">
        <f t="shared" si="99"/>
        <v>0</v>
      </c>
      <c r="Q218" s="29">
        <f t="shared" si="99"/>
        <v>0</v>
      </c>
      <c r="R218" s="29">
        <f t="shared" si="99"/>
        <v>0</v>
      </c>
      <c r="S218" s="29">
        <f t="shared" si="99"/>
        <v>0</v>
      </c>
      <c r="T218" s="29">
        <f t="shared" si="99"/>
        <v>0</v>
      </c>
    </row>
    <row r="219" spans="1:20" s="38" customFormat="1" ht="31.2">
      <c r="A219" s="57"/>
      <c r="B219" s="58" t="s">
        <v>820</v>
      </c>
      <c r="C219" s="29">
        <f>C222+C225</f>
        <v>0</v>
      </c>
      <c r="D219" s="29">
        <f>D222+D225</f>
        <v>0</v>
      </c>
      <c r="E219" s="29">
        <f>E222+E225</f>
        <v>815</v>
      </c>
      <c r="F219" s="29">
        <f t="shared" ref="F219:T219" si="100">F222+F225</f>
        <v>0</v>
      </c>
      <c r="G219" s="29">
        <f t="shared" si="100"/>
        <v>0</v>
      </c>
      <c r="H219" s="29">
        <f t="shared" si="100"/>
        <v>800</v>
      </c>
      <c r="I219" s="29">
        <f t="shared" si="100"/>
        <v>0</v>
      </c>
      <c r="J219" s="29">
        <f t="shared" si="100"/>
        <v>0</v>
      </c>
      <c r="K219" s="29">
        <f t="shared" si="100"/>
        <v>0</v>
      </c>
      <c r="L219" s="29">
        <f t="shared" si="100"/>
        <v>0</v>
      </c>
      <c r="M219" s="29">
        <f t="shared" si="100"/>
        <v>0</v>
      </c>
      <c r="N219" s="29">
        <f t="shared" si="100"/>
        <v>0</v>
      </c>
      <c r="O219" s="29">
        <f t="shared" si="100"/>
        <v>15</v>
      </c>
      <c r="P219" s="29">
        <f t="shared" si="100"/>
        <v>0</v>
      </c>
      <c r="Q219" s="29">
        <f t="shared" si="100"/>
        <v>0</v>
      </c>
      <c r="R219" s="29">
        <f t="shared" si="100"/>
        <v>0</v>
      </c>
      <c r="S219" s="29">
        <f t="shared" si="100"/>
        <v>0</v>
      </c>
      <c r="T219" s="29">
        <f t="shared" si="100"/>
        <v>0</v>
      </c>
    </row>
    <row r="220" spans="1:20" s="38" customFormat="1" ht="22.5" customHeight="1">
      <c r="A220" s="57"/>
      <c r="B220" s="58" t="s">
        <v>821</v>
      </c>
      <c r="C220" s="29">
        <f>C223+C226</f>
        <v>0</v>
      </c>
      <c r="D220" s="29">
        <f>D223+D226</f>
        <v>0</v>
      </c>
      <c r="E220" s="29">
        <f t="shared" si="93"/>
        <v>12000</v>
      </c>
      <c r="F220" s="29">
        <f t="shared" ref="F220:T220" si="101">F223+F226</f>
        <v>0</v>
      </c>
      <c r="G220" s="29">
        <f t="shared" si="101"/>
        <v>0</v>
      </c>
      <c r="H220" s="29">
        <f t="shared" si="101"/>
        <v>12000</v>
      </c>
      <c r="I220" s="29">
        <f t="shared" si="101"/>
        <v>0</v>
      </c>
      <c r="J220" s="29">
        <f t="shared" si="101"/>
        <v>0</v>
      </c>
      <c r="K220" s="29">
        <f t="shared" si="101"/>
        <v>0</v>
      </c>
      <c r="L220" s="29">
        <f t="shared" si="101"/>
        <v>0</v>
      </c>
      <c r="M220" s="29">
        <f t="shared" si="101"/>
        <v>0</v>
      </c>
      <c r="N220" s="29">
        <f t="shared" si="101"/>
        <v>0</v>
      </c>
      <c r="O220" s="29"/>
      <c r="P220" s="29">
        <f t="shared" si="101"/>
        <v>0</v>
      </c>
      <c r="Q220" s="29">
        <f t="shared" si="101"/>
        <v>0</v>
      </c>
      <c r="R220" s="29">
        <f t="shared" si="101"/>
        <v>0</v>
      </c>
      <c r="S220" s="29">
        <f t="shared" si="101"/>
        <v>0</v>
      </c>
      <c r="T220" s="29">
        <f t="shared" si="101"/>
        <v>0</v>
      </c>
    </row>
    <row r="221" spans="1:20" ht="22.5" customHeight="1">
      <c r="A221" s="48"/>
      <c r="B221" s="44" t="s">
        <v>690</v>
      </c>
      <c r="C221" s="29">
        <f>C222+C223</f>
        <v>0</v>
      </c>
      <c r="D221" s="29">
        <f>D222+D223</f>
        <v>0</v>
      </c>
      <c r="E221" s="29">
        <f t="shared" si="93"/>
        <v>800</v>
      </c>
      <c r="F221" s="29">
        <f t="shared" ref="F221:T221" si="102">F222+F223</f>
        <v>0</v>
      </c>
      <c r="G221" s="29">
        <f t="shared" si="102"/>
        <v>0</v>
      </c>
      <c r="H221" s="29">
        <f t="shared" si="102"/>
        <v>800</v>
      </c>
      <c r="I221" s="29">
        <f t="shared" si="102"/>
        <v>0</v>
      </c>
      <c r="J221" s="29">
        <f t="shared" si="102"/>
        <v>0</v>
      </c>
      <c r="K221" s="29">
        <f t="shared" si="102"/>
        <v>0</v>
      </c>
      <c r="L221" s="29">
        <f t="shared" si="102"/>
        <v>0</v>
      </c>
      <c r="M221" s="29">
        <f t="shared" si="102"/>
        <v>0</v>
      </c>
      <c r="N221" s="29">
        <f t="shared" si="102"/>
        <v>0</v>
      </c>
      <c r="O221" s="29">
        <f t="shared" si="102"/>
        <v>0</v>
      </c>
      <c r="P221" s="29">
        <f t="shared" si="102"/>
        <v>0</v>
      </c>
      <c r="Q221" s="29">
        <f t="shared" si="102"/>
        <v>0</v>
      </c>
      <c r="R221" s="29">
        <f t="shared" si="102"/>
        <v>0</v>
      </c>
      <c r="S221" s="29">
        <f t="shared" si="102"/>
        <v>0</v>
      </c>
      <c r="T221" s="29">
        <f t="shared" si="102"/>
        <v>0</v>
      </c>
    </row>
    <row r="222" spans="1:20" s="38" customFormat="1" ht="22.5" customHeight="1">
      <c r="A222" s="57"/>
      <c r="B222" s="58" t="s">
        <v>820</v>
      </c>
      <c r="C222" s="29"/>
      <c r="D222" s="29"/>
      <c r="E222" s="29">
        <f t="shared" si="93"/>
        <v>800</v>
      </c>
      <c r="F222" s="29"/>
      <c r="G222" s="29"/>
      <c r="H222" s="29">
        <v>800</v>
      </c>
      <c r="I222" s="29"/>
      <c r="J222" s="29"/>
      <c r="K222" s="29"/>
      <c r="L222" s="29"/>
      <c r="M222" s="29"/>
      <c r="N222" s="29"/>
      <c r="O222" s="29"/>
      <c r="P222" s="29"/>
      <c r="Q222" s="29"/>
      <c r="R222" s="29"/>
      <c r="S222" s="29"/>
      <c r="T222" s="29"/>
    </row>
    <row r="223" spans="1:20" s="38" customFormat="1" ht="22.5" customHeight="1">
      <c r="A223" s="57"/>
      <c r="B223" s="58" t="s">
        <v>821</v>
      </c>
      <c r="C223" s="29"/>
      <c r="D223" s="29"/>
      <c r="E223" s="29">
        <f t="shared" si="93"/>
        <v>0</v>
      </c>
      <c r="F223" s="29"/>
      <c r="G223" s="29"/>
      <c r="H223" s="29"/>
      <c r="I223" s="29"/>
      <c r="J223" s="29"/>
      <c r="K223" s="29"/>
      <c r="L223" s="29"/>
      <c r="M223" s="29"/>
      <c r="N223" s="29"/>
      <c r="O223" s="29"/>
      <c r="P223" s="29"/>
      <c r="Q223" s="29"/>
      <c r="R223" s="29"/>
      <c r="S223" s="29"/>
      <c r="T223" s="29"/>
    </row>
    <row r="224" spans="1:20" ht="22.5" customHeight="1">
      <c r="A224" s="48"/>
      <c r="B224" s="44" t="s">
        <v>691</v>
      </c>
      <c r="C224" s="29"/>
      <c r="D224" s="29"/>
      <c r="E224" s="29">
        <f t="shared" si="93"/>
        <v>12015</v>
      </c>
      <c r="F224" s="29">
        <f>F225+F226</f>
        <v>0</v>
      </c>
      <c r="G224" s="29">
        <f t="shared" ref="G224:T224" si="103">G225+G226</f>
        <v>0</v>
      </c>
      <c r="H224" s="29">
        <f t="shared" si="103"/>
        <v>12000</v>
      </c>
      <c r="I224" s="29">
        <f t="shared" si="103"/>
        <v>0</v>
      </c>
      <c r="J224" s="29">
        <f t="shared" si="103"/>
        <v>0</v>
      </c>
      <c r="K224" s="29">
        <f t="shared" si="103"/>
        <v>0</v>
      </c>
      <c r="L224" s="29">
        <f t="shared" si="103"/>
        <v>0</v>
      </c>
      <c r="M224" s="29">
        <f t="shared" si="103"/>
        <v>0</v>
      </c>
      <c r="N224" s="29">
        <f t="shared" si="103"/>
        <v>0</v>
      </c>
      <c r="O224" s="29">
        <f t="shared" si="103"/>
        <v>15</v>
      </c>
      <c r="P224" s="29">
        <f t="shared" si="103"/>
        <v>0</v>
      </c>
      <c r="Q224" s="29">
        <f t="shared" si="103"/>
        <v>0</v>
      </c>
      <c r="R224" s="29">
        <f t="shared" si="103"/>
        <v>0</v>
      </c>
      <c r="S224" s="29">
        <f t="shared" si="103"/>
        <v>0</v>
      </c>
      <c r="T224" s="29">
        <f t="shared" si="103"/>
        <v>0</v>
      </c>
    </row>
    <row r="225" spans="1:20" s="38" customFormat="1" ht="22.5" customHeight="1">
      <c r="A225" s="57"/>
      <c r="B225" s="58" t="s">
        <v>820</v>
      </c>
      <c r="C225" s="29"/>
      <c r="D225" s="29"/>
      <c r="E225" s="29">
        <f t="shared" si="93"/>
        <v>15</v>
      </c>
      <c r="F225" s="29"/>
      <c r="G225" s="29"/>
      <c r="H225" s="29"/>
      <c r="I225" s="29"/>
      <c r="J225" s="29"/>
      <c r="K225" s="29"/>
      <c r="L225" s="29"/>
      <c r="M225" s="29"/>
      <c r="N225" s="29"/>
      <c r="O225" s="29">
        <v>15</v>
      </c>
      <c r="P225" s="29"/>
      <c r="Q225" s="29"/>
      <c r="R225" s="29"/>
      <c r="S225" s="29"/>
      <c r="T225" s="29"/>
    </row>
    <row r="226" spans="1:20" s="38" customFormat="1" ht="22.5" customHeight="1">
      <c r="A226" s="57"/>
      <c r="B226" s="58" t="s">
        <v>821</v>
      </c>
      <c r="C226" s="29"/>
      <c r="D226" s="29"/>
      <c r="E226" s="29">
        <f t="shared" si="93"/>
        <v>12000</v>
      </c>
      <c r="F226" s="29"/>
      <c r="G226" s="29"/>
      <c r="H226" s="29">
        <v>12000</v>
      </c>
      <c r="I226" s="29"/>
      <c r="J226" s="29"/>
      <c r="K226" s="29"/>
      <c r="L226" s="29"/>
      <c r="M226" s="29"/>
      <c r="N226" s="29"/>
      <c r="O226" s="29"/>
      <c r="P226" s="29"/>
      <c r="Q226" s="29"/>
      <c r="R226" s="29"/>
      <c r="S226" s="29"/>
      <c r="T226" s="29"/>
    </row>
    <row r="227" spans="1:20" ht="22.5" customHeight="1">
      <c r="A227" s="48">
        <v>3</v>
      </c>
      <c r="B227" s="44" t="s">
        <v>822</v>
      </c>
      <c r="C227" s="29">
        <f>C228+C229</f>
        <v>0</v>
      </c>
      <c r="D227" s="29">
        <f>D228+D229</f>
        <v>0</v>
      </c>
      <c r="E227" s="29">
        <f t="shared" si="93"/>
        <v>205</v>
      </c>
      <c r="F227" s="29">
        <f t="shared" ref="F227:T227" si="104">F228+F229</f>
        <v>0</v>
      </c>
      <c r="G227" s="29">
        <f t="shared" si="104"/>
        <v>0</v>
      </c>
      <c r="H227" s="29">
        <f t="shared" si="104"/>
        <v>0</v>
      </c>
      <c r="I227" s="29">
        <f t="shared" si="104"/>
        <v>0</v>
      </c>
      <c r="J227" s="29">
        <f t="shared" si="104"/>
        <v>0</v>
      </c>
      <c r="K227" s="29">
        <f t="shared" si="104"/>
        <v>0</v>
      </c>
      <c r="L227" s="29">
        <f t="shared" si="104"/>
        <v>0</v>
      </c>
      <c r="M227" s="29">
        <f t="shared" si="104"/>
        <v>0</v>
      </c>
      <c r="N227" s="29">
        <f t="shared" si="104"/>
        <v>0</v>
      </c>
      <c r="O227" s="29">
        <f t="shared" si="104"/>
        <v>205</v>
      </c>
      <c r="P227" s="29">
        <f t="shared" si="104"/>
        <v>0</v>
      </c>
      <c r="Q227" s="29">
        <f t="shared" si="104"/>
        <v>0</v>
      </c>
      <c r="R227" s="29">
        <f t="shared" si="104"/>
        <v>0</v>
      </c>
      <c r="S227" s="29">
        <f t="shared" si="104"/>
        <v>0</v>
      </c>
      <c r="T227" s="29">
        <f t="shared" si="104"/>
        <v>0</v>
      </c>
    </row>
    <row r="228" spans="1:20" s="38" customFormat="1" ht="31.2">
      <c r="A228" s="57"/>
      <c r="B228" s="58" t="s">
        <v>820</v>
      </c>
      <c r="C228" s="29">
        <f>C231+C234</f>
        <v>0</v>
      </c>
      <c r="D228" s="29">
        <f>D231+D234</f>
        <v>0</v>
      </c>
      <c r="E228" s="29">
        <f t="shared" si="93"/>
        <v>205</v>
      </c>
      <c r="F228" s="29">
        <f t="shared" ref="F228:T229" si="105">F231+F234</f>
        <v>0</v>
      </c>
      <c r="G228" s="29">
        <f t="shared" si="105"/>
        <v>0</v>
      </c>
      <c r="H228" s="29">
        <f t="shared" si="105"/>
        <v>0</v>
      </c>
      <c r="I228" s="29">
        <f t="shared" si="105"/>
        <v>0</v>
      </c>
      <c r="J228" s="29">
        <f t="shared" si="105"/>
        <v>0</v>
      </c>
      <c r="K228" s="29">
        <f t="shared" si="105"/>
        <v>0</v>
      </c>
      <c r="L228" s="29">
        <f t="shared" si="105"/>
        <v>0</v>
      </c>
      <c r="M228" s="29">
        <f t="shared" si="105"/>
        <v>0</v>
      </c>
      <c r="N228" s="29">
        <f t="shared" si="105"/>
        <v>0</v>
      </c>
      <c r="O228" s="29">
        <f t="shared" si="105"/>
        <v>205</v>
      </c>
      <c r="P228" s="29">
        <f t="shared" si="105"/>
        <v>0</v>
      </c>
      <c r="Q228" s="29">
        <f t="shared" si="105"/>
        <v>0</v>
      </c>
      <c r="R228" s="29">
        <f t="shared" si="105"/>
        <v>0</v>
      </c>
      <c r="S228" s="29">
        <f t="shared" si="105"/>
        <v>0</v>
      </c>
      <c r="T228" s="29">
        <f t="shared" si="105"/>
        <v>0</v>
      </c>
    </row>
    <row r="229" spans="1:20" s="38" customFormat="1" ht="22.5" customHeight="1">
      <c r="A229" s="57"/>
      <c r="B229" s="58" t="s">
        <v>821</v>
      </c>
      <c r="C229" s="29">
        <f>C232+C235</f>
        <v>0</v>
      </c>
      <c r="D229" s="29">
        <f>D232+D235</f>
        <v>0</v>
      </c>
      <c r="E229" s="29">
        <f t="shared" si="93"/>
        <v>0</v>
      </c>
      <c r="F229" s="29">
        <f t="shared" si="105"/>
        <v>0</v>
      </c>
      <c r="G229" s="29">
        <f t="shared" si="105"/>
        <v>0</v>
      </c>
      <c r="H229" s="29">
        <f t="shared" si="105"/>
        <v>0</v>
      </c>
      <c r="I229" s="29">
        <f t="shared" si="105"/>
        <v>0</v>
      </c>
      <c r="J229" s="29">
        <f t="shared" si="105"/>
        <v>0</v>
      </c>
      <c r="K229" s="29">
        <f t="shared" si="105"/>
        <v>0</v>
      </c>
      <c r="L229" s="29">
        <f t="shared" si="105"/>
        <v>0</v>
      </c>
      <c r="M229" s="29">
        <f t="shared" si="105"/>
        <v>0</v>
      </c>
      <c r="N229" s="29">
        <f t="shared" si="105"/>
        <v>0</v>
      </c>
      <c r="O229" s="29">
        <f>O232+O235</f>
        <v>0</v>
      </c>
      <c r="P229" s="29">
        <f t="shared" si="105"/>
        <v>0</v>
      </c>
      <c r="Q229" s="29">
        <f t="shared" si="105"/>
        <v>0</v>
      </c>
      <c r="R229" s="29">
        <f t="shared" si="105"/>
        <v>0</v>
      </c>
      <c r="S229" s="29">
        <f t="shared" si="105"/>
        <v>0</v>
      </c>
      <c r="T229" s="29">
        <f t="shared" si="105"/>
        <v>0</v>
      </c>
    </row>
    <row r="230" spans="1:20" ht="22.5" customHeight="1">
      <c r="A230" s="48"/>
      <c r="B230" s="44" t="s">
        <v>690</v>
      </c>
      <c r="C230" s="29">
        <f>C231+C232</f>
        <v>0</v>
      </c>
      <c r="D230" s="29">
        <f>D231+D232</f>
        <v>0</v>
      </c>
      <c r="E230" s="29">
        <f t="shared" si="93"/>
        <v>0</v>
      </c>
      <c r="F230" s="29">
        <f t="shared" ref="F230:T230" si="106">F231+F232</f>
        <v>0</v>
      </c>
      <c r="G230" s="29">
        <f t="shared" si="106"/>
        <v>0</v>
      </c>
      <c r="H230" s="29">
        <f t="shared" si="106"/>
        <v>0</v>
      </c>
      <c r="I230" s="29">
        <f t="shared" si="106"/>
        <v>0</v>
      </c>
      <c r="J230" s="29">
        <f t="shared" si="106"/>
        <v>0</v>
      </c>
      <c r="K230" s="29">
        <f t="shared" si="106"/>
        <v>0</v>
      </c>
      <c r="L230" s="29">
        <f t="shared" si="106"/>
        <v>0</v>
      </c>
      <c r="M230" s="29">
        <f t="shared" si="106"/>
        <v>0</v>
      </c>
      <c r="N230" s="29">
        <f t="shared" si="106"/>
        <v>0</v>
      </c>
      <c r="O230" s="29">
        <f t="shared" si="106"/>
        <v>0</v>
      </c>
      <c r="P230" s="29">
        <f t="shared" si="106"/>
        <v>0</v>
      </c>
      <c r="Q230" s="29">
        <f t="shared" si="106"/>
        <v>0</v>
      </c>
      <c r="R230" s="29">
        <f t="shared" si="106"/>
        <v>0</v>
      </c>
      <c r="S230" s="29">
        <f t="shared" si="106"/>
        <v>0</v>
      </c>
      <c r="T230" s="29">
        <f t="shared" si="106"/>
        <v>0</v>
      </c>
    </row>
    <row r="231" spans="1:20" s="38" customFormat="1" ht="22.5" customHeight="1">
      <c r="A231" s="57"/>
      <c r="B231" s="58" t="s">
        <v>820</v>
      </c>
      <c r="C231" s="29"/>
      <c r="D231" s="29"/>
      <c r="E231" s="29">
        <f t="shared" si="93"/>
        <v>0</v>
      </c>
      <c r="F231" s="29"/>
      <c r="G231" s="29"/>
      <c r="H231" s="29"/>
      <c r="I231" s="29"/>
      <c r="J231" s="29"/>
      <c r="K231" s="29"/>
      <c r="L231" s="29"/>
      <c r="M231" s="29"/>
      <c r="N231" s="29"/>
      <c r="O231" s="29"/>
      <c r="P231" s="29"/>
      <c r="Q231" s="29"/>
      <c r="R231" s="29"/>
      <c r="S231" s="29"/>
      <c r="T231" s="29"/>
    </row>
    <row r="232" spans="1:20" s="38" customFormat="1" ht="22.5" customHeight="1">
      <c r="A232" s="57"/>
      <c r="B232" s="58" t="s">
        <v>821</v>
      </c>
      <c r="C232" s="29"/>
      <c r="D232" s="29"/>
      <c r="E232" s="29">
        <f t="shared" si="93"/>
        <v>0</v>
      </c>
      <c r="F232" s="29"/>
      <c r="G232" s="29"/>
      <c r="H232" s="29"/>
      <c r="I232" s="29"/>
      <c r="J232" s="29"/>
      <c r="K232" s="29"/>
      <c r="L232" s="29"/>
      <c r="M232" s="29"/>
      <c r="N232" s="29"/>
      <c r="O232" s="29"/>
      <c r="P232" s="29"/>
      <c r="Q232" s="29"/>
      <c r="R232" s="29"/>
      <c r="S232" s="29"/>
      <c r="T232" s="29"/>
    </row>
    <row r="233" spans="1:20" ht="22.5" customHeight="1">
      <c r="A233" s="48"/>
      <c r="B233" s="44" t="s">
        <v>691</v>
      </c>
      <c r="C233" s="29"/>
      <c r="D233" s="29"/>
      <c r="E233" s="29">
        <f t="shared" si="93"/>
        <v>0</v>
      </c>
      <c r="F233" s="29"/>
      <c r="G233" s="29"/>
      <c r="H233" s="29"/>
      <c r="I233" s="29"/>
      <c r="J233" s="29"/>
      <c r="K233" s="29"/>
      <c r="L233" s="29"/>
      <c r="M233" s="29"/>
      <c r="N233" s="29"/>
      <c r="O233" s="29"/>
      <c r="P233" s="29"/>
      <c r="Q233" s="29"/>
      <c r="R233" s="29"/>
      <c r="S233" s="29"/>
      <c r="T233" s="29"/>
    </row>
    <row r="234" spans="1:20" s="38" customFormat="1" ht="22.5" customHeight="1">
      <c r="A234" s="57"/>
      <c r="B234" s="58" t="s">
        <v>820</v>
      </c>
      <c r="C234" s="29"/>
      <c r="D234" s="29"/>
      <c r="E234" s="29">
        <f t="shared" si="93"/>
        <v>205</v>
      </c>
      <c r="F234" s="29"/>
      <c r="G234" s="29"/>
      <c r="H234" s="29"/>
      <c r="I234" s="29"/>
      <c r="J234" s="29"/>
      <c r="K234" s="29"/>
      <c r="L234" s="29"/>
      <c r="M234" s="29"/>
      <c r="N234" s="29"/>
      <c r="O234" s="29">
        <v>205</v>
      </c>
      <c r="P234" s="29"/>
      <c r="Q234" s="29"/>
      <c r="R234" s="29"/>
      <c r="S234" s="29"/>
      <c r="T234" s="29"/>
    </row>
    <row r="235" spans="1:20" s="38" customFormat="1" ht="22.5" customHeight="1">
      <c r="A235" s="57"/>
      <c r="B235" s="58" t="s">
        <v>821</v>
      </c>
      <c r="C235" s="29"/>
      <c r="D235" s="29"/>
      <c r="E235" s="29">
        <f t="shared" si="93"/>
        <v>0</v>
      </c>
      <c r="F235" s="29"/>
      <c r="G235" s="29"/>
      <c r="H235" s="29"/>
      <c r="I235" s="29"/>
      <c r="J235" s="29"/>
      <c r="K235" s="29"/>
      <c r="L235" s="29"/>
      <c r="M235" s="29"/>
      <c r="N235" s="29"/>
      <c r="O235" s="29"/>
      <c r="P235" s="29"/>
      <c r="Q235" s="29"/>
      <c r="R235" s="29"/>
      <c r="S235" s="29"/>
      <c r="T235" s="29"/>
    </row>
    <row r="236" spans="1:20" ht="22.5" customHeight="1">
      <c r="A236" s="48">
        <v>4</v>
      </c>
      <c r="B236" s="67" t="s">
        <v>773</v>
      </c>
      <c r="C236" s="29">
        <f>C237+C238</f>
        <v>0</v>
      </c>
      <c r="D236" s="29">
        <f>D237+D238</f>
        <v>0</v>
      </c>
      <c r="E236" s="29">
        <f t="shared" si="93"/>
        <v>700</v>
      </c>
      <c r="F236" s="29">
        <f t="shared" ref="F236:T236" si="107">F237+F238</f>
        <v>0</v>
      </c>
      <c r="G236" s="29">
        <f t="shared" si="107"/>
        <v>0</v>
      </c>
      <c r="H236" s="29">
        <f t="shared" si="107"/>
        <v>0</v>
      </c>
      <c r="I236" s="29">
        <f t="shared" si="107"/>
        <v>0</v>
      </c>
      <c r="J236" s="29">
        <f t="shared" si="107"/>
        <v>0</v>
      </c>
      <c r="K236" s="29">
        <f t="shared" si="107"/>
        <v>0</v>
      </c>
      <c r="L236" s="29">
        <f t="shared" si="107"/>
        <v>0</v>
      </c>
      <c r="M236" s="29">
        <f t="shared" si="107"/>
        <v>0</v>
      </c>
      <c r="N236" s="29">
        <f t="shared" si="107"/>
        <v>0</v>
      </c>
      <c r="O236" s="29">
        <f t="shared" si="107"/>
        <v>700</v>
      </c>
      <c r="P236" s="29">
        <f t="shared" si="107"/>
        <v>0</v>
      </c>
      <c r="Q236" s="29">
        <f t="shared" si="107"/>
        <v>0</v>
      </c>
      <c r="R236" s="29">
        <f t="shared" si="107"/>
        <v>0</v>
      </c>
      <c r="S236" s="29">
        <f t="shared" si="107"/>
        <v>0</v>
      </c>
      <c r="T236" s="29">
        <f t="shared" si="107"/>
        <v>0</v>
      </c>
    </row>
    <row r="237" spans="1:20" s="38" customFormat="1" ht="31.2">
      <c r="A237" s="57"/>
      <c r="B237" s="58" t="s">
        <v>820</v>
      </c>
      <c r="C237" s="29">
        <f>C240+C243</f>
        <v>0</v>
      </c>
      <c r="D237" s="29">
        <f>D240+D243</f>
        <v>0</v>
      </c>
      <c r="E237" s="29">
        <f t="shared" si="93"/>
        <v>0</v>
      </c>
      <c r="F237" s="29">
        <f t="shared" ref="F237:T238" si="108">F240+F243</f>
        <v>0</v>
      </c>
      <c r="G237" s="29">
        <f t="shared" si="108"/>
        <v>0</v>
      </c>
      <c r="H237" s="29">
        <f t="shared" si="108"/>
        <v>0</v>
      </c>
      <c r="I237" s="29">
        <f t="shared" si="108"/>
        <v>0</v>
      </c>
      <c r="J237" s="29">
        <f t="shared" si="108"/>
        <v>0</v>
      </c>
      <c r="K237" s="29">
        <f t="shared" si="108"/>
        <v>0</v>
      </c>
      <c r="L237" s="29">
        <f t="shared" si="108"/>
        <v>0</v>
      </c>
      <c r="M237" s="29">
        <f t="shared" si="108"/>
        <v>0</v>
      </c>
      <c r="N237" s="29">
        <f t="shared" si="108"/>
        <v>0</v>
      </c>
      <c r="O237" s="29">
        <f t="shared" si="108"/>
        <v>0</v>
      </c>
      <c r="P237" s="29">
        <f t="shared" si="108"/>
        <v>0</v>
      </c>
      <c r="Q237" s="29">
        <f t="shared" si="108"/>
        <v>0</v>
      </c>
      <c r="R237" s="29">
        <f t="shared" si="108"/>
        <v>0</v>
      </c>
      <c r="S237" s="29">
        <f t="shared" si="108"/>
        <v>0</v>
      </c>
      <c r="T237" s="29">
        <f t="shared" si="108"/>
        <v>0</v>
      </c>
    </row>
    <row r="238" spans="1:20" s="38" customFormat="1" ht="22.5" customHeight="1">
      <c r="A238" s="57"/>
      <c r="B238" s="58" t="s">
        <v>821</v>
      </c>
      <c r="C238" s="29">
        <f>C241+C244</f>
        <v>0</v>
      </c>
      <c r="D238" s="29">
        <f>D241+D244</f>
        <v>0</v>
      </c>
      <c r="E238" s="29">
        <f t="shared" si="93"/>
        <v>700</v>
      </c>
      <c r="F238" s="29">
        <f t="shared" si="108"/>
        <v>0</v>
      </c>
      <c r="G238" s="29">
        <f t="shared" si="108"/>
        <v>0</v>
      </c>
      <c r="H238" s="29">
        <f t="shared" si="108"/>
        <v>0</v>
      </c>
      <c r="I238" s="29">
        <f t="shared" si="108"/>
        <v>0</v>
      </c>
      <c r="J238" s="29">
        <f t="shared" si="108"/>
        <v>0</v>
      </c>
      <c r="K238" s="29">
        <f t="shared" si="108"/>
        <v>0</v>
      </c>
      <c r="L238" s="29">
        <f t="shared" si="108"/>
        <v>0</v>
      </c>
      <c r="M238" s="29">
        <f t="shared" si="108"/>
        <v>0</v>
      </c>
      <c r="N238" s="29">
        <f t="shared" si="108"/>
        <v>0</v>
      </c>
      <c r="O238" s="29">
        <f>O241+O244</f>
        <v>700</v>
      </c>
      <c r="P238" s="29">
        <f t="shared" si="108"/>
        <v>0</v>
      </c>
      <c r="Q238" s="29">
        <f t="shared" si="108"/>
        <v>0</v>
      </c>
      <c r="R238" s="29">
        <f t="shared" si="108"/>
        <v>0</v>
      </c>
      <c r="S238" s="29">
        <f t="shared" si="108"/>
        <v>0</v>
      </c>
      <c r="T238" s="29">
        <f t="shared" si="108"/>
        <v>0</v>
      </c>
    </row>
    <row r="239" spans="1:20" ht="22.5" customHeight="1">
      <c r="A239" s="48"/>
      <c r="B239" s="44" t="s">
        <v>690</v>
      </c>
      <c r="C239" s="29">
        <f>C240+C241</f>
        <v>0</v>
      </c>
      <c r="D239" s="29">
        <f>D240+D241</f>
        <v>0</v>
      </c>
      <c r="E239" s="29">
        <f t="shared" si="93"/>
        <v>0</v>
      </c>
      <c r="F239" s="29">
        <f t="shared" ref="F239:T239" si="109">F240+F241</f>
        <v>0</v>
      </c>
      <c r="G239" s="29">
        <f t="shared" si="109"/>
        <v>0</v>
      </c>
      <c r="H239" s="29">
        <f t="shared" si="109"/>
        <v>0</v>
      </c>
      <c r="I239" s="29">
        <f t="shared" si="109"/>
        <v>0</v>
      </c>
      <c r="J239" s="29">
        <f t="shared" si="109"/>
        <v>0</v>
      </c>
      <c r="K239" s="29">
        <f t="shared" si="109"/>
        <v>0</v>
      </c>
      <c r="L239" s="29">
        <f t="shared" si="109"/>
        <v>0</v>
      </c>
      <c r="M239" s="29">
        <f t="shared" si="109"/>
        <v>0</v>
      </c>
      <c r="N239" s="29">
        <f t="shared" si="109"/>
        <v>0</v>
      </c>
      <c r="O239" s="29">
        <f t="shared" si="109"/>
        <v>0</v>
      </c>
      <c r="P239" s="29">
        <f t="shared" si="109"/>
        <v>0</v>
      </c>
      <c r="Q239" s="29">
        <f t="shared" si="109"/>
        <v>0</v>
      </c>
      <c r="R239" s="29">
        <f t="shared" si="109"/>
        <v>0</v>
      </c>
      <c r="S239" s="29">
        <f t="shared" si="109"/>
        <v>0</v>
      </c>
      <c r="T239" s="29">
        <f t="shared" si="109"/>
        <v>0</v>
      </c>
    </row>
    <row r="240" spans="1:20" s="38" customFormat="1" ht="22.5" customHeight="1">
      <c r="A240" s="57"/>
      <c r="B240" s="58" t="s">
        <v>820</v>
      </c>
      <c r="C240" s="29"/>
      <c r="D240" s="29"/>
      <c r="E240" s="29">
        <f t="shared" si="93"/>
        <v>0</v>
      </c>
      <c r="F240" s="29"/>
      <c r="G240" s="29"/>
      <c r="H240" s="29"/>
      <c r="I240" s="29"/>
      <c r="J240" s="29"/>
      <c r="K240" s="29"/>
      <c r="L240" s="29"/>
      <c r="M240" s="29"/>
      <c r="N240" s="29"/>
      <c r="O240" s="29"/>
      <c r="P240" s="29"/>
      <c r="Q240" s="29"/>
      <c r="R240" s="29"/>
      <c r="S240" s="29"/>
      <c r="T240" s="29"/>
    </row>
    <row r="241" spans="1:20" s="38" customFormat="1" ht="22.5" customHeight="1">
      <c r="A241" s="57"/>
      <c r="B241" s="58" t="s">
        <v>821</v>
      </c>
      <c r="C241" s="29"/>
      <c r="D241" s="29"/>
      <c r="E241" s="29">
        <f t="shared" si="93"/>
        <v>0</v>
      </c>
      <c r="F241" s="29"/>
      <c r="G241" s="29"/>
      <c r="H241" s="29"/>
      <c r="I241" s="29"/>
      <c r="J241" s="29"/>
      <c r="K241" s="29"/>
      <c r="L241" s="29"/>
      <c r="M241" s="29"/>
      <c r="N241" s="29"/>
      <c r="O241" s="29"/>
      <c r="P241" s="29"/>
      <c r="Q241" s="29"/>
      <c r="R241" s="29"/>
      <c r="S241" s="29"/>
      <c r="T241" s="29"/>
    </row>
    <row r="242" spans="1:20" ht="22.5" customHeight="1">
      <c r="A242" s="48"/>
      <c r="B242" s="44" t="s">
        <v>691</v>
      </c>
      <c r="C242" s="29"/>
      <c r="D242" s="29"/>
      <c r="E242" s="29">
        <f t="shared" si="93"/>
        <v>0</v>
      </c>
      <c r="F242" s="29"/>
      <c r="G242" s="29"/>
      <c r="H242" s="29"/>
      <c r="I242" s="29"/>
      <c r="J242" s="29"/>
      <c r="K242" s="29"/>
      <c r="L242" s="29"/>
      <c r="M242" s="29"/>
      <c r="N242" s="29"/>
      <c r="O242" s="29"/>
      <c r="P242" s="29"/>
      <c r="Q242" s="29"/>
      <c r="R242" s="29"/>
      <c r="S242" s="29"/>
      <c r="T242" s="29"/>
    </row>
    <row r="243" spans="1:20" s="38" customFormat="1" ht="22.5" customHeight="1">
      <c r="A243" s="57"/>
      <c r="B243" s="58" t="s">
        <v>820</v>
      </c>
      <c r="C243" s="29"/>
      <c r="D243" s="29"/>
      <c r="E243" s="29">
        <f t="shared" si="93"/>
        <v>0</v>
      </c>
      <c r="F243" s="29"/>
      <c r="G243" s="29"/>
      <c r="H243" s="29"/>
      <c r="I243" s="29"/>
      <c r="J243" s="29"/>
      <c r="K243" s="29"/>
      <c r="L243" s="29"/>
      <c r="M243" s="29"/>
      <c r="N243" s="29"/>
      <c r="O243" s="29"/>
      <c r="P243" s="29"/>
      <c r="Q243" s="29"/>
      <c r="R243" s="29"/>
      <c r="S243" s="29"/>
      <c r="T243" s="29"/>
    </row>
    <row r="244" spans="1:20" s="38" customFormat="1" ht="22.5" customHeight="1">
      <c r="A244" s="57"/>
      <c r="B244" s="58" t="s">
        <v>821</v>
      </c>
      <c r="C244" s="29"/>
      <c r="D244" s="29"/>
      <c r="E244" s="29">
        <f t="shared" si="93"/>
        <v>700</v>
      </c>
      <c r="F244" s="29"/>
      <c r="G244" s="29"/>
      <c r="H244" s="29"/>
      <c r="I244" s="29"/>
      <c r="J244" s="29"/>
      <c r="K244" s="29"/>
      <c r="L244" s="29"/>
      <c r="M244" s="29"/>
      <c r="N244" s="29"/>
      <c r="O244" s="29">
        <v>700</v>
      </c>
      <c r="P244" s="29"/>
      <c r="Q244" s="29"/>
      <c r="R244" s="29"/>
      <c r="S244" s="29"/>
      <c r="T244" s="29"/>
    </row>
    <row r="245" spans="1:20" ht="22.5" customHeight="1">
      <c r="A245" s="48">
        <v>5</v>
      </c>
      <c r="B245" s="44" t="s">
        <v>823</v>
      </c>
      <c r="C245" s="29">
        <f>C246+C247</f>
        <v>0</v>
      </c>
      <c r="D245" s="29">
        <f>D246+D247</f>
        <v>0</v>
      </c>
      <c r="E245" s="29">
        <f t="shared" si="93"/>
        <v>161303</v>
      </c>
      <c r="F245" s="29">
        <f t="shared" ref="F245:T245" si="110">F246+F247</f>
        <v>0</v>
      </c>
      <c r="G245" s="29">
        <f t="shared" si="110"/>
        <v>0</v>
      </c>
      <c r="H245" s="29">
        <f t="shared" si="110"/>
        <v>0</v>
      </c>
      <c r="I245" s="29">
        <f t="shared" si="110"/>
        <v>0</v>
      </c>
      <c r="J245" s="29">
        <f t="shared" si="110"/>
        <v>161303</v>
      </c>
      <c r="K245" s="29">
        <f t="shared" si="110"/>
        <v>0</v>
      </c>
      <c r="L245" s="29">
        <f t="shared" si="110"/>
        <v>0</v>
      </c>
      <c r="M245" s="29">
        <f t="shared" si="110"/>
        <v>0</v>
      </c>
      <c r="N245" s="29">
        <f t="shared" si="110"/>
        <v>0</v>
      </c>
      <c r="O245" s="29">
        <f t="shared" si="110"/>
        <v>0</v>
      </c>
      <c r="P245" s="29">
        <f t="shared" si="110"/>
        <v>0</v>
      </c>
      <c r="Q245" s="29">
        <f t="shared" si="110"/>
        <v>0</v>
      </c>
      <c r="R245" s="29">
        <f t="shared" si="110"/>
        <v>0</v>
      </c>
      <c r="S245" s="29">
        <f t="shared" si="110"/>
        <v>0</v>
      </c>
      <c r="T245" s="29">
        <f t="shared" si="110"/>
        <v>0</v>
      </c>
    </row>
    <row r="246" spans="1:20" s="38" customFormat="1" ht="31.2">
      <c r="A246" s="57"/>
      <c r="B246" s="58" t="s">
        <v>820</v>
      </c>
      <c r="C246" s="29">
        <f>C249+C252</f>
        <v>0</v>
      </c>
      <c r="D246" s="29">
        <f>D249+D252</f>
        <v>0</v>
      </c>
      <c r="E246" s="29">
        <f t="shared" si="93"/>
        <v>0</v>
      </c>
      <c r="F246" s="29">
        <f t="shared" ref="F246:T247" si="111">F249+F252</f>
        <v>0</v>
      </c>
      <c r="G246" s="29">
        <f t="shared" si="111"/>
        <v>0</v>
      </c>
      <c r="H246" s="29">
        <f t="shared" si="111"/>
        <v>0</v>
      </c>
      <c r="I246" s="29">
        <f t="shared" si="111"/>
        <v>0</v>
      </c>
      <c r="J246" s="29">
        <f t="shared" si="111"/>
        <v>0</v>
      </c>
      <c r="K246" s="29">
        <f t="shared" si="111"/>
        <v>0</v>
      </c>
      <c r="L246" s="29">
        <f t="shared" si="111"/>
        <v>0</v>
      </c>
      <c r="M246" s="29">
        <f t="shared" si="111"/>
        <v>0</v>
      </c>
      <c r="N246" s="29">
        <f t="shared" si="111"/>
        <v>0</v>
      </c>
      <c r="O246" s="29">
        <f t="shared" si="111"/>
        <v>0</v>
      </c>
      <c r="P246" s="29">
        <f t="shared" si="111"/>
        <v>0</v>
      </c>
      <c r="Q246" s="29">
        <f t="shared" si="111"/>
        <v>0</v>
      </c>
      <c r="R246" s="29">
        <f t="shared" si="111"/>
        <v>0</v>
      </c>
      <c r="S246" s="29">
        <f t="shared" si="111"/>
        <v>0</v>
      </c>
      <c r="T246" s="29">
        <f t="shared" si="111"/>
        <v>0</v>
      </c>
    </row>
    <row r="247" spans="1:20" s="38" customFormat="1" ht="22.5" customHeight="1">
      <c r="A247" s="57"/>
      <c r="B247" s="58" t="s">
        <v>821</v>
      </c>
      <c r="C247" s="29">
        <f>C250+C253</f>
        <v>0</v>
      </c>
      <c r="D247" s="29">
        <f>D250+D253</f>
        <v>0</v>
      </c>
      <c r="E247" s="29">
        <f t="shared" si="93"/>
        <v>161303</v>
      </c>
      <c r="F247" s="29">
        <f t="shared" si="111"/>
        <v>0</v>
      </c>
      <c r="G247" s="29">
        <f t="shared" si="111"/>
        <v>0</v>
      </c>
      <c r="H247" s="29">
        <f t="shared" si="111"/>
        <v>0</v>
      </c>
      <c r="I247" s="29">
        <f t="shared" si="111"/>
        <v>0</v>
      </c>
      <c r="J247" s="29">
        <f t="shared" si="111"/>
        <v>161303</v>
      </c>
      <c r="K247" s="29">
        <f t="shared" si="111"/>
        <v>0</v>
      </c>
      <c r="L247" s="29">
        <f t="shared" si="111"/>
        <v>0</v>
      </c>
      <c r="M247" s="29">
        <f t="shared" si="111"/>
        <v>0</v>
      </c>
      <c r="N247" s="29">
        <f t="shared" si="111"/>
        <v>0</v>
      </c>
      <c r="O247" s="29">
        <f>O250+O253</f>
        <v>0</v>
      </c>
      <c r="P247" s="29">
        <f t="shared" si="111"/>
        <v>0</v>
      </c>
      <c r="Q247" s="29">
        <f t="shared" si="111"/>
        <v>0</v>
      </c>
      <c r="R247" s="29">
        <f t="shared" si="111"/>
        <v>0</v>
      </c>
      <c r="S247" s="29">
        <f t="shared" si="111"/>
        <v>0</v>
      </c>
      <c r="T247" s="29">
        <f t="shared" si="111"/>
        <v>0</v>
      </c>
    </row>
    <row r="248" spans="1:20" ht="22.5" customHeight="1">
      <c r="A248" s="48"/>
      <c r="B248" s="44" t="s">
        <v>690</v>
      </c>
      <c r="C248" s="29">
        <f>C249+C250</f>
        <v>0</v>
      </c>
      <c r="D248" s="29">
        <f>D249+D250</f>
        <v>0</v>
      </c>
      <c r="E248" s="29">
        <f t="shared" si="93"/>
        <v>0</v>
      </c>
      <c r="F248" s="29">
        <f t="shared" ref="F248:T248" si="112">F249+F250</f>
        <v>0</v>
      </c>
      <c r="G248" s="29">
        <f t="shared" si="112"/>
        <v>0</v>
      </c>
      <c r="H248" s="29">
        <f t="shared" si="112"/>
        <v>0</v>
      </c>
      <c r="I248" s="29">
        <f t="shared" si="112"/>
        <v>0</v>
      </c>
      <c r="J248" s="29">
        <f t="shared" si="112"/>
        <v>0</v>
      </c>
      <c r="K248" s="29">
        <f t="shared" si="112"/>
        <v>0</v>
      </c>
      <c r="L248" s="29">
        <f t="shared" si="112"/>
        <v>0</v>
      </c>
      <c r="M248" s="29">
        <f t="shared" si="112"/>
        <v>0</v>
      </c>
      <c r="N248" s="29">
        <f t="shared" si="112"/>
        <v>0</v>
      </c>
      <c r="O248" s="29">
        <f t="shared" si="112"/>
        <v>0</v>
      </c>
      <c r="P248" s="29">
        <f t="shared" si="112"/>
        <v>0</v>
      </c>
      <c r="Q248" s="29">
        <f t="shared" si="112"/>
        <v>0</v>
      </c>
      <c r="R248" s="29">
        <f t="shared" si="112"/>
        <v>0</v>
      </c>
      <c r="S248" s="29">
        <f t="shared" si="112"/>
        <v>0</v>
      </c>
      <c r="T248" s="29">
        <f t="shared" si="112"/>
        <v>0</v>
      </c>
    </row>
    <row r="249" spans="1:20" s="38" customFormat="1" ht="22.5" customHeight="1">
      <c r="A249" s="57"/>
      <c r="B249" s="58" t="s">
        <v>820</v>
      </c>
      <c r="C249" s="29"/>
      <c r="D249" s="29"/>
      <c r="E249" s="29">
        <f t="shared" si="93"/>
        <v>0</v>
      </c>
      <c r="F249" s="29"/>
      <c r="G249" s="29"/>
      <c r="H249" s="29"/>
      <c r="I249" s="29"/>
      <c r="J249" s="29"/>
      <c r="K249" s="29"/>
      <c r="L249" s="29"/>
      <c r="M249" s="29"/>
      <c r="N249" s="29"/>
      <c r="O249" s="29"/>
      <c r="P249" s="29"/>
      <c r="Q249" s="29"/>
      <c r="R249" s="29"/>
      <c r="S249" s="29"/>
      <c r="T249" s="29"/>
    </row>
    <row r="250" spans="1:20" s="38" customFormat="1" ht="22.5" customHeight="1">
      <c r="A250" s="57"/>
      <c r="B250" s="58" t="s">
        <v>821</v>
      </c>
      <c r="C250" s="29"/>
      <c r="D250" s="29"/>
      <c r="E250" s="29">
        <f t="shared" si="93"/>
        <v>0</v>
      </c>
      <c r="F250" s="29"/>
      <c r="G250" s="29"/>
      <c r="H250" s="29"/>
      <c r="I250" s="29"/>
      <c r="J250" s="29"/>
      <c r="K250" s="29"/>
      <c r="L250" s="29"/>
      <c r="M250" s="29"/>
      <c r="N250" s="29"/>
      <c r="O250" s="29"/>
      <c r="P250" s="29"/>
      <c r="Q250" s="29"/>
      <c r="R250" s="29"/>
      <c r="S250" s="29"/>
      <c r="T250" s="29"/>
    </row>
    <row r="251" spans="1:20" ht="22.5" customHeight="1">
      <c r="A251" s="48"/>
      <c r="B251" s="44" t="s">
        <v>691</v>
      </c>
      <c r="C251" s="29"/>
      <c r="D251" s="29"/>
      <c r="E251" s="29">
        <f t="shared" si="93"/>
        <v>0</v>
      </c>
      <c r="F251" s="29"/>
      <c r="G251" s="29"/>
      <c r="H251" s="29"/>
      <c r="I251" s="29"/>
      <c r="J251" s="29"/>
      <c r="K251" s="29"/>
      <c r="L251" s="29"/>
      <c r="M251" s="29"/>
      <c r="N251" s="29"/>
      <c r="O251" s="29"/>
      <c r="P251" s="29"/>
      <c r="Q251" s="29"/>
      <c r="R251" s="29"/>
      <c r="S251" s="29"/>
      <c r="T251" s="29"/>
    </row>
    <row r="252" spans="1:20" s="38" customFormat="1" ht="22.5" customHeight="1">
      <c r="A252" s="57"/>
      <c r="B252" s="58" t="s">
        <v>820</v>
      </c>
      <c r="C252" s="29"/>
      <c r="D252" s="29"/>
      <c r="E252" s="29">
        <f t="shared" si="93"/>
        <v>0</v>
      </c>
      <c r="F252" s="29"/>
      <c r="G252" s="29"/>
      <c r="H252" s="29"/>
      <c r="I252" s="29"/>
      <c r="J252" s="29"/>
      <c r="K252" s="29"/>
      <c r="L252" s="29"/>
      <c r="M252" s="29"/>
      <c r="N252" s="29"/>
      <c r="O252" s="29"/>
      <c r="P252" s="29"/>
      <c r="Q252" s="29"/>
      <c r="R252" s="29"/>
      <c r="S252" s="29"/>
      <c r="T252" s="29"/>
    </row>
    <row r="253" spans="1:20" s="38" customFormat="1" ht="22.5" customHeight="1">
      <c r="A253" s="57"/>
      <c r="B253" s="58" t="s">
        <v>821</v>
      </c>
      <c r="C253" s="29"/>
      <c r="D253" s="29"/>
      <c r="E253" s="29">
        <f t="shared" si="93"/>
        <v>161303</v>
      </c>
      <c r="F253" s="29"/>
      <c r="G253" s="29"/>
      <c r="H253" s="29"/>
      <c r="I253" s="29"/>
      <c r="J253" s="29">
        <v>161303</v>
      </c>
      <c r="K253" s="29"/>
      <c r="L253" s="29"/>
      <c r="M253" s="29"/>
      <c r="N253" s="29"/>
      <c r="O253" s="29"/>
      <c r="P253" s="29"/>
      <c r="Q253" s="29"/>
      <c r="R253" s="29"/>
      <c r="S253" s="29"/>
      <c r="T253" s="29"/>
    </row>
    <row r="254" spans="1:20" ht="22.5" customHeight="1">
      <c r="A254" s="48">
        <v>5</v>
      </c>
      <c r="B254" s="44" t="s">
        <v>824</v>
      </c>
      <c r="C254" s="29">
        <f>C255+C256</f>
        <v>0</v>
      </c>
      <c r="D254" s="29">
        <f>D255+D256</f>
        <v>0</v>
      </c>
      <c r="E254" s="29">
        <f t="shared" ref="E254:E262" si="113">F254+G254+H254+I254+J254+K254+L254+M254+N254+O254+R254+S254+T254</f>
        <v>176</v>
      </c>
      <c r="F254" s="29">
        <f t="shared" ref="F254:T254" si="114">F255+F256</f>
        <v>0</v>
      </c>
      <c r="G254" s="29">
        <f t="shared" si="114"/>
        <v>0</v>
      </c>
      <c r="H254" s="29">
        <f t="shared" si="114"/>
        <v>0</v>
      </c>
      <c r="I254" s="29">
        <f t="shared" si="114"/>
        <v>0</v>
      </c>
      <c r="J254" s="29">
        <f t="shared" si="114"/>
        <v>92</v>
      </c>
      <c r="K254" s="29">
        <f t="shared" si="114"/>
        <v>0</v>
      </c>
      <c r="L254" s="29">
        <f t="shared" si="114"/>
        <v>0</v>
      </c>
      <c r="M254" s="29">
        <f t="shared" si="114"/>
        <v>0</v>
      </c>
      <c r="N254" s="29">
        <f t="shared" si="114"/>
        <v>0</v>
      </c>
      <c r="O254" s="29">
        <f t="shared" si="114"/>
        <v>0</v>
      </c>
      <c r="P254" s="29">
        <f t="shared" si="114"/>
        <v>0</v>
      </c>
      <c r="Q254" s="29">
        <f t="shared" si="114"/>
        <v>0</v>
      </c>
      <c r="R254" s="29">
        <f t="shared" si="114"/>
        <v>84</v>
      </c>
      <c r="S254" s="29">
        <f t="shared" si="114"/>
        <v>0</v>
      </c>
      <c r="T254" s="29">
        <f t="shared" si="114"/>
        <v>0</v>
      </c>
    </row>
    <row r="255" spans="1:20" s="38" customFormat="1" ht="31.2">
      <c r="A255" s="57"/>
      <c r="B255" s="58" t="s">
        <v>820</v>
      </c>
      <c r="C255" s="29">
        <f>C258+C261</f>
        <v>0</v>
      </c>
      <c r="D255" s="29">
        <f>D258+D261</f>
        <v>0</v>
      </c>
      <c r="E255" s="29">
        <f t="shared" si="113"/>
        <v>0</v>
      </c>
      <c r="F255" s="29">
        <f t="shared" ref="F255:T255" si="115">F258+F261</f>
        <v>0</v>
      </c>
      <c r="G255" s="29">
        <f t="shared" si="115"/>
        <v>0</v>
      </c>
      <c r="H255" s="29">
        <f t="shared" si="115"/>
        <v>0</v>
      </c>
      <c r="I255" s="29">
        <f t="shared" si="115"/>
        <v>0</v>
      </c>
      <c r="J255" s="29">
        <f t="shared" si="115"/>
        <v>0</v>
      </c>
      <c r="K255" s="29">
        <f t="shared" si="115"/>
        <v>0</v>
      </c>
      <c r="L255" s="29">
        <f t="shared" si="115"/>
        <v>0</v>
      </c>
      <c r="M255" s="29">
        <f t="shared" si="115"/>
        <v>0</v>
      </c>
      <c r="N255" s="29">
        <f t="shared" si="115"/>
        <v>0</v>
      </c>
      <c r="O255" s="29">
        <f t="shared" si="115"/>
        <v>0</v>
      </c>
      <c r="P255" s="29">
        <f t="shared" si="115"/>
        <v>0</v>
      </c>
      <c r="Q255" s="29">
        <f t="shared" si="115"/>
        <v>0</v>
      </c>
      <c r="R255" s="29">
        <f t="shared" si="115"/>
        <v>0</v>
      </c>
      <c r="S255" s="29">
        <f t="shared" si="115"/>
        <v>0</v>
      </c>
      <c r="T255" s="29">
        <f t="shared" si="115"/>
        <v>0</v>
      </c>
    </row>
    <row r="256" spans="1:20" s="38" customFormat="1" ht="22.5" customHeight="1">
      <c r="A256" s="57"/>
      <c r="B256" s="58" t="s">
        <v>821</v>
      </c>
      <c r="C256" s="29">
        <f>C259+C262</f>
        <v>0</v>
      </c>
      <c r="D256" s="29">
        <f>D259+D262</f>
        <v>0</v>
      </c>
      <c r="E256" s="29">
        <f t="shared" si="113"/>
        <v>176</v>
      </c>
      <c r="F256" s="29">
        <f t="shared" ref="F256:N256" si="116">F259+F262</f>
        <v>0</v>
      </c>
      <c r="G256" s="29">
        <f t="shared" si="116"/>
        <v>0</v>
      </c>
      <c r="H256" s="29">
        <f t="shared" si="116"/>
        <v>0</v>
      </c>
      <c r="I256" s="29">
        <f t="shared" si="116"/>
        <v>0</v>
      </c>
      <c r="J256" s="29">
        <f t="shared" si="116"/>
        <v>92</v>
      </c>
      <c r="K256" s="29">
        <f t="shared" si="116"/>
        <v>0</v>
      </c>
      <c r="L256" s="29">
        <f t="shared" si="116"/>
        <v>0</v>
      </c>
      <c r="M256" s="29">
        <f t="shared" si="116"/>
        <v>0</v>
      </c>
      <c r="N256" s="29">
        <f t="shared" si="116"/>
        <v>0</v>
      </c>
      <c r="O256" s="29">
        <f t="shared" ref="O256:T256" si="117">O259+O262</f>
        <v>0</v>
      </c>
      <c r="P256" s="29">
        <f t="shared" si="117"/>
        <v>0</v>
      </c>
      <c r="Q256" s="29">
        <f t="shared" si="117"/>
        <v>0</v>
      </c>
      <c r="R256" s="29">
        <f t="shared" si="117"/>
        <v>84</v>
      </c>
      <c r="S256" s="29">
        <f t="shared" si="117"/>
        <v>0</v>
      </c>
      <c r="T256" s="29">
        <f t="shared" si="117"/>
        <v>0</v>
      </c>
    </row>
    <row r="257" spans="1:20" ht="22.5" customHeight="1">
      <c r="A257" s="48"/>
      <c r="B257" s="44" t="s">
        <v>690</v>
      </c>
      <c r="C257" s="29">
        <f>C258+C259</f>
        <v>0</v>
      </c>
      <c r="D257" s="29">
        <f>D258+D259</f>
        <v>0</v>
      </c>
      <c r="E257" s="29">
        <f t="shared" si="113"/>
        <v>176</v>
      </c>
      <c r="F257" s="29">
        <f t="shared" ref="F257:T257" si="118">F258+F259</f>
        <v>0</v>
      </c>
      <c r="G257" s="29">
        <f t="shared" si="118"/>
        <v>0</v>
      </c>
      <c r="H257" s="29">
        <f t="shared" si="118"/>
        <v>0</v>
      </c>
      <c r="I257" s="29">
        <f t="shared" si="118"/>
        <v>0</v>
      </c>
      <c r="J257" s="29">
        <f t="shared" si="118"/>
        <v>92</v>
      </c>
      <c r="K257" s="29">
        <f t="shared" si="118"/>
        <v>0</v>
      </c>
      <c r="L257" s="29">
        <f t="shared" si="118"/>
        <v>0</v>
      </c>
      <c r="M257" s="29">
        <f t="shared" si="118"/>
        <v>0</v>
      </c>
      <c r="N257" s="29">
        <f t="shared" si="118"/>
        <v>0</v>
      </c>
      <c r="O257" s="29">
        <f t="shared" si="118"/>
        <v>0</v>
      </c>
      <c r="P257" s="29">
        <f t="shared" si="118"/>
        <v>0</v>
      </c>
      <c r="Q257" s="29">
        <f t="shared" si="118"/>
        <v>0</v>
      </c>
      <c r="R257" s="29">
        <f t="shared" si="118"/>
        <v>84</v>
      </c>
      <c r="S257" s="29">
        <f t="shared" si="118"/>
        <v>0</v>
      </c>
      <c r="T257" s="29">
        <f t="shared" si="118"/>
        <v>0</v>
      </c>
    </row>
    <row r="258" spans="1:20" s="38" customFormat="1" ht="22.5" customHeight="1">
      <c r="A258" s="57"/>
      <c r="B258" s="58" t="s">
        <v>820</v>
      </c>
      <c r="C258" s="29"/>
      <c r="D258" s="29"/>
      <c r="E258" s="29">
        <f t="shared" si="113"/>
        <v>0</v>
      </c>
      <c r="F258" s="29"/>
      <c r="G258" s="29"/>
      <c r="H258" s="29"/>
      <c r="I258" s="29"/>
      <c r="J258" s="29"/>
      <c r="K258" s="29"/>
      <c r="L258" s="29"/>
      <c r="M258" s="29"/>
      <c r="N258" s="29"/>
      <c r="O258" s="29"/>
      <c r="P258" s="29"/>
      <c r="Q258" s="29"/>
      <c r="R258" s="29"/>
      <c r="S258" s="29"/>
      <c r="T258" s="29"/>
    </row>
    <row r="259" spans="1:20" s="38" customFormat="1" ht="22.5" customHeight="1">
      <c r="A259" s="57"/>
      <c r="B259" s="58" t="s">
        <v>821</v>
      </c>
      <c r="C259" s="29"/>
      <c r="D259" s="29"/>
      <c r="E259" s="29">
        <f t="shared" si="113"/>
        <v>176</v>
      </c>
      <c r="F259" s="29"/>
      <c r="G259" s="29"/>
      <c r="H259" s="29"/>
      <c r="I259" s="29"/>
      <c r="J259" s="29">
        <v>92</v>
      </c>
      <c r="K259" s="29"/>
      <c r="L259" s="29"/>
      <c r="M259" s="29"/>
      <c r="N259" s="29"/>
      <c r="O259" s="29"/>
      <c r="P259" s="29"/>
      <c r="Q259" s="29"/>
      <c r="R259" s="29">
        <v>84</v>
      </c>
      <c r="S259" s="29"/>
      <c r="T259" s="29"/>
    </row>
    <row r="260" spans="1:20" ht="22.5" customHeight="1">
      <c r="A260" s="48"/>
      <c r="B260" s="44" t="s">
        <v>691</v>
      </c>
      <c r="C260" s="29"/>
      <c r="D260" s="29"/>
      <c r="E260" s="29">
        <f t="shared" si="113"/>
        <v>0</v>
      </c>
      <c r="F260" s="29"/>
      <c r="G260" s="29"/>
      <c r="H260" s="29"/>
      <c r="I260" s="29"/>
      <c r="J260" s="29"/>
      <c r="K260" s="29"/>
      <c r="L260" s="29"/>
      <c r="M260" s="29"/>
      <c r="N260" s="29"/>
      <c r="O260" s="29"/>
      <c r="P260" s="29"/>
      <c r="Q260" s="29"/>
      <c r="R260" s="29"/>
      <c r="S260" s="29"/>
      <c r="T260" s="29"/>
    </row>
    <row r="261" spans="1:20" s="38" customFormat="1" ht="22.5" customHeight="1">
      <c r="A261" s="57"/>
      <c r="B261" s="58" t="s">
        <v>820</v>
      </c>
      <c r="C261" s="29"/>
      <c r="D261" s="29"/>
      <c r="E261" s="29">
        <f t="shared" si="113"/>
        <v>0</v>
      </c>
      <c r="F261" s="29"/>
      <c r="G261" s="29"/>
      <c r="H261" s="29"/>
      <c r="I261" s="29"/>
      <c r="J261" s="29"/>
      <c r="K261" s="29"/>
      <c r="L261" s="29"/>
      <c r="M261" s="29"/>
      <c r="N261" s="29"/>
      <c r="O261" s="29"/>
      <c r="P261" s="29"/>
      <c r="Q261" s="29"/>
      <c r="R261" s="29"/>
      <c r="S261" s="29"/>
      <c r="T261" s="29"/>
    </row>
    <row r="262" spans="1:20" s="38" customFormat="1" ht="22.5" customHeight="1">
      <c r="A262" s="57"/>
      <c r="B262" s="58" t="s">
        <v>821</v>
      </c>
      <c r="C262" s="29"/>
      <c r="D262" s="29"/>
      <c r="E262" s="29">
        <f t="shared" si="113"/>
        <v>0</v>
      </c>
      <c r="F262" s="29"/>
      <c r="G262" s="29"/>
      <c r="H262" s="29"/>
      <c r="I262" s="29"/>
      <c r="J262" s="29"/>
      <c r="K262" s="29"/>
      <c r="L262" s="29"/>
      <c r="M262" s="29"/>
      <c r="N262" s="29"/>
      <c r="O262" s="29"/>
      <c r="P262" s="29"/>
      <c r="Q262" s="29"/>
      <c r="R262" s="29"/>
      <c r="S262" s="29"/>
      <c r="T262" s="29"/>
    </row>
  </sheetData>
  <mergeCells count="24">
    <mergeCell ref="M7:M8"/>
    <mergeCell ref="N7:N8"/>
    <mergeCell ref="O7:O8"/>
    <mergeCell ref="R1:T1"/>
    <mergeCell ref="A2:T2"/>
    <mergeCell ref="A3:T3"/>
    <mergeCell ref="A4:T4"/>
    <mergeCell ref="R6:T6"/>
    <mergeCell ref="R7:R8"/>
    <mergeCell ref="S7:S8"/>
    <mergeCell ref="T7:T8"/>
    <mergeCell ref="P7:Q7"/>
    <mergeCell ref="A7:A8"/>
    <mergeCell ref="B7:B8"/>
    <mergeCell ref="C7:C8"/>
    <mergeCell ref="D7:D8"/>
    <mergeCell ref="J7:J8"/>
    <mergeCell ref="K7:K8"/>
    <mergeCell ref="L7:L8"/>
    <mergeCell ref="E7:E8"/>
    <mergeCell ref="F7:F8"/>
    <mergeCell ref="G7:G8"/>
    <mergeCell ref="H7:H8"/>
    <mergeCell ref="I7:I8"/>
  </mergeCells>
  <pageMargins left="0.2" right="0.2" top="0.48" bottom="0.46" header="0.3" footer="0.3"/>
  <pageSetup paperSize="9" scale="60" fitToHeight="0" orientation="landscape" horizontalDpi="12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G35"/>
  <sheetViews>
    <sheetView topLeftCell="A8" workbookViewId="0">
      <selection activeCell="K27" sqref="K27"/>
    </sheetView>
  </sheetViews>
  <sheetFormatPr defaultColWidth="9.109375" defaultRowHeight="15.6"/>
  <cols>
    <col min="1" max="1" width="9.109375" style="1"/>
    <col min="2" max="2" width="37.109375" style="1" customWidth="1"/>
    <col min="3" max="4" width="9.109375" style="1"/>
    <col min="5" max="5" width="12" style="1" customWidth="1"/>
    <col min="6" max="7" width="9.109375" style="1"/>
    <col min="8" max="8" width="10.77734375" style="1" customWidth="1"/>
    <col min="9" max="9" width="11" style="1" customWidth="1"/>
    <col min="10" max="11" width="12.88671875" style="1" customWidth="1"/>
    <col min="12" max="12" width="10.77734375" style="1" customWidth="1"/>
    <col min="13" max="19" width="9.109375" style="27" hidden="1" customWidth="1"/>
    <col min="20" max="16384" width="9.109375" style="1"/>
  </cols>
  <sheetData>
    <row r="1" spans="1:20">
      <c r="A1" s="26" t="s">
        <v>825</v>
      </c>
      <c r="I1" s="626" t="s">
        <v>826</v>
      </c>
      <c r="J1" s="626"/>
      <c r="K1" s="626"/>
      <c r="L1" s="626"/>
      <c r="Q1" s="33" t="s">
        <v>826</v>
      </c>
      <c r="R1" s="33"/>
      <c r="S1" s="33"/>
    </row>
    <row r="2" spans="1:20" ht="36" customHeight="1">
      <c r="A2" s="617" t="s">
        <v>827</v>
      </c>
      <c r="B2" s="617"/>
      <c r="C2" s="617"/>
      <c r="D2" s="617"/>
      <c r="E2" s="617"/>
      <c r="F2" s="617"/>
      <c r="G2" s="617"/>
      <c r="H2" s="617"/>
      <c r="I2" s="617"/>
      <c r="J2" s="617"/>
      <c r="K2" s="617"/>
      <c r="L2" s="617"/>
      <c r="M2" s="4"/>
      <c r="N2" s="4"/>
      <c r="O2" s="4"/>
      <c r="P2" s="4"/>
      <c r="Q2" s="4"/>
      <c r="R2" s="4"/>
      <c r="S2" s="4"/>
    </row>
    <row r="3" spans="1:20">
      <c r="A3" s="611" t="s">
        <v>669</v>
      </c>
      <c r="B3" s="611"/>
      <c r="C3" s="611"/>
      <c r="D3" s="611"/>
      <c r="E3" s="611"/>
      <c r="F3" s="611"/>
      <c r="G3" s="611"/>
      <c r="H3" s="611"/>
      <c r="I3" s="611"/>
      <c r="J3" s="611"/>
      <c r="K3" s="611"/>
      <c r="L3" s="611"/>
      <c r="M3" s="5"/>
      <c r="N3" s="5"/>
      <c r="O3" s="5"/>
      <c r="P3" s="5"/>
      <c r="Q3" s="5"/>
      <c r="R3" s="5"/>
      <c r="S3" s="5"/>
    </row>
    <row r="4" spans="1:20" hidden="1">
      <c r="A4" s="618" t="s">
        <v>828</v>
      </c>
      <c r="B4" s="618"/>
      <c r="C4" s="618"/>
      <c r="D4" s="618"/>
      <c r="E4" s="618"/>
      <c r="F4" s="618"/>
      <c r="G4" s="618"/>
      <c r="H4" s="618"/>
      <c r="I4" s="618"/>
      <c r="J4" s="618"/>
      <c r="K4" s="618"/>
      <c r="L4" s="618"/>
      <c r="M4" s="6"/>
      <c r="N4" s="6"/>
      <c r="O4" s="6"/>
      <c r="P4" s="6"/>
      <c r="Q4" s="6"/>
      <c r="R4" s="6"/>
      <c r="S4" s="6"/>
    </row>
    <row r="5" spans="1:20">
      <c r="A5" s="7"/>
      <c r="J5" s="619" t="s">
        <v>638</v>
      </c>
      <c r="K5" s="619"/>
      <c r="L5" s="619"/>
      <c r="Q5" s="34" t="s">
        <v>638</v>
      </c>
      <c r="R5" s="34"/>
      <c r="S5" s="34"/>
    </row>
    <row r="6" spans="1:20" ht="19.5" customHeight="1">
      <c r="A6" s="615" t="s">
        <v>3</v>
      </c>
      <c r="B6" s="615" t="s">
        <v>829</v>
      </c>
      <c r="C6" s="615" t="s">
        <v>322</v>
      </c>
      <c r="D6" s="615" t="s">
        <v>111</v>
      </c>
      <c r="E6" s="615"/>
      <c r="F6" s="615" t="s">
        <v>323</v>
      </c>
      <c r="G6" s="615"/>
      <c r="H6" s="615"/>
      <c r="I6" s="615"/>
      <c r="J6" s="615"/>
      <c r="K6" s="615"/>
      <c r="L6" s="615"/>
      <c r="M6" s="1"/>
      <c r="N6" s="1"/>
      <c r="O6" s="1"/>
      <c r="P6" s="1"/>
      <c r="Q6" s="1"/>
      <c r="R6" s="1"/>
      <c r="S6" s="1"/>
    </row>
    <row r="7" spans="1:20" ht="19.5" customHeight="1">
      <c r="A7" s="615"/>
      <c r="B7" s="615"/>
      <c r="C7" s="615"/>
      <c r="D7" s="615" t="s">
        <v>830</v>
      </c>
      <c r="E7" s="615" t="s">
        <v>831</v>
      </c>
      <c r="F7" s="615" t="s">
        <v>322</v>
      </c>
      <c r="G7" s="615" t="s">
        <v>830</v>
      </c>
      <c r="H7" s="615"/>
      <c r="I7" s="615"/>
      <c r="J7" s="615" t="s">
        <v>831</v>
      </c>
      <c r="K7" s="615"/>
      <c r="L7" s="615"/>
      <c r="M7" s="1"/>
      <c r="N7" s="1"/>
      <c r="O7" s="1"/>
      <c r="P7" s="1"/>
      <c r="Q7" s="1"/>
      <c r="R7" s="1"/>
      <c r="S7" s="1"/>
    </row>
    <row r="8" spans="1:20" ht="31.2">
      <c r="A8" s="615"/>
      <c r="B8" s="615"/>
      <c r="C8" s="615"/>
      <c r="D8" s="615"/>
      <c r="E8" s="615"/>
      <c r="F8" s="615"/>
      <c r="G8" s="8" t="s">
        <v>322</v>
      </c>
      <c r="H8" s="8" t="s">
        <v>132</v>
      </c>
      <c r="I8" s="8" t="s">
        <v>133</v>
      </c>
      <c r="J8" s="8" t="s">
        <v>322</v>
      </c>
      <c r="K8" s="8" t="s">
        <v>132</v>
      </c>
      <c r="L8" s="8" t="s">
        <v>133</v>
      </c>
      <c r="M8" s="1"/>
      <c r="N8" s="1"/>
      <c r="O8" s="1"/>
      <c r="P8" s="1"/>
      <c r="Q8" s="1"/>
      <c r="R8" s="1"/>
      <c r="S8" s="1"/>
    </row>
    <row r="9" spans="1:20" s="2" customFormat="1" ht="19.5" customHeight="1">
      <c r="A9" s="9" t="s">
        <v>7</v>
      </c>
      <c r="B9" s="9" t="s">
        <v>22</v>
      </c>
      <c r="C9" s="9" t="s">
        <v>832</v>
      </c>
      <c r="D9" s="9" t="s">
        <v>833</v>
      </c>
      <c r="E9" s="9" t="s">
        <v>834</v>
      </c>
      <c r="F9" s="9" t="s">
        <v>835</v>
      </c>
      <c r="G9" s="9" t="s">
        <v>836</v>
      </c>
      <c r="H9" s="9">
        <v>6</v>
      </c>
      <c r="I9" s="9">
        <v>7</v>
      </c>
      <c r="J9" s="9" t="s">
        <v>837</v>
      </c>
      <c r="K9" s="9">
        <v>9</v>
      </c>
      <c r="L9" s="9">
        <v>10</v>
      </c>
    </row>
    <row r="10" spans="1:20" s="26" customFormat="1" ht="22.5" hidden="1" customHeight="1">
      <c r="A10" s="8"/>
      <c r="B10" s="10" t="s">
        <v>689</v>
      </c>
      <c r="C10" s="28"/>
      <c r="D10" s="28"/>
      <c r="E10" s="28" t="e">
        <f>E11+E12</f>
        <v>#REF!</v>
      </c>
      <c r="F10" s="28"/>
      <c r="G10" s="28"/>
      <c r="H10" s="28"/>
      <c r="I10" s="28"/>
      <c r="J10" s="28" t="e">
        <f>J11+J12</f>
        <v>#REF!</v>
      </c>
      <c r="K10" s="28" t="e">
        <f>K11+K12</f>
        <v>#REF!</v>
      </c>
      <c r="L10" s="30" t="e">
        <f>L11+L12</f>
        <v>#REF!</v>
      </c>
      <c r="M10" s="31"/>
      <c r="N10" s="31"/>
      <c r="O10" s="31"/>
      <c r="P10" s="31"/>
      <c r="Q10" s="31"/>
      <c r="R10" s="31"/>
      <c r="S10" s="31"/>
    </row>
    <row r="11" spans="1:20" ht="22.5" hidden="1" customHeight="1">
      <c r="A11" s="13"/>
      <c r="B11" s="14" t="s">
        <v>838</v>
      </c>
      <c r="C11" s="29" t="e">
        <f>#REF!+#REF!+#REF!+#REF!+#REF!+#REF!+#REF!+#REF!+#REF!+#REF!+#REF!+#REF!+#REF!+#REF!+#REF!+#REF!+#REF!+#REF!</f>
        <v>#REF!</v>
      </c>
      <c r="D11" s="29" t="e">
        <f>#REF!+#REF!+#REF!+#REF!+#REF!+#REF!+#REF!+#REF!+#REF!+#REF!+#REF!+#REF!+#REF!+#REF!+#REF!+#REF!+#REF!+#REF!</f>
        <v>#REF!</v>
      </c>
      <c r="E11" s="16" t="e">
        <f>#REF!+#REF!+#REF!+#REF!+#REF!+#REF!+#REF!+#REF!+#REF!+#REF!+#REF!+#REF!+#REF!+#REF!+#REF!+#REF!+#REF!+#REF!</f>
        <v>#REF!</v>
      </c>
      <c r="F11" s="16"/>
      <c r="G11" s="29" t="e">
        <f>#REF!+#REF!+#REF!+#REF!+#REF!+#REF!+#REF!+#REF!+#REF!+#REF!+#REF!+#REF!+#REF!+#REF!+#REF!+#REF!+#REF!+#REF!</f>
        <v>#REF!</v>
      </c>
      <c r="H11" s="29" t="e">
        <f>#REF!+#REF!+#REF!+#REF!+#REF!+#REF!+#REF!+#REF!+#REF!+#REF!+#REF!+#REF!+#REF!+#REF!+#REF!+#REF!+#REF!+#REF!</f>
        <v>#REF!</v>
      </c>
      <c r="I11" s="29" t="e">
        <f>#REF!+#REF!+#REF!+#REF!+#REF!+#REF!+#REF!+#REF!+#REF!+#REF!+#REF!+#REF!+#REF!+#REF!+#REF!+#REF!+#REF!+#REF!</f>
        <v>#REF!</v>
      </c>
      <c r="J11" s="16" t="e">
        <f>#REF!+#REF!+#REF!+#REF!+#REF!+#REF!+#REF!+#REF!+#REF!+#REF!+#REF!+#REF!+#REF!+#REF!+#REF!+#REF!+#REF!+#REF!</f>
        <v>#REF!</v>
      </c>
      <c r="K11" s="16" t="e">
        <f>#REF!+#REF!+#REF!+#REF!+#REF!+#REF!+#REF!+#REF!+#REF!+#REF!+#REF!+#REF!+#REF!+#REF!+#REF!+#REF!+#REF!+#REF!</f>
        <v>#REF!</v>
      </c>
      <c r="L11" s="29" t="e">
        <f>#REF!+#REF!+#REF!+#REF!+#REF!+#REF!+#REF!+#REF!+#REF!+#REF!+#REF!+#REF!+#REF!+#REF!+#REF!+#REF!+#REF!+#REF!</f>
        <v>#REF!</v>
      </c>
      <c r="M11" s="32" t="e">
        <f>#REF!+#REF!+#REF!+#REF!+#REF!+#REF!+#REF!+#REF!+#REF!+#REF!+#REF!+#REF!+#REF!+#REF!+#REF!+#REF!+#REF!+#REF!</f>
        <v>#REF!</v>
      </c>
      <c r="N11" s="32" t="e">
        <f>#REF!+#REF!+#REF!+#REF!+#REF!+#REF!+#REF!+#REF!+#REF!+#REF!+#REF!+#REF!+#REF!+#REF!+#REF!+#REF!+#REF!+#REF!</f>
        <v>#REF!</v>
      </c>
      <c r="O11" s="32" t="e">
        <f>#REF!+#REF!+#REF!+#REF!+#REF!+#REF!+#REF!+#REF!+#REF!+#REF!+#REF!+#REF!+#REF!+#REF!+#REF!+#REF!+#REF!+#REF!</f>
        <v>#REF!</v>
      </c>
      <c r="P11" s="32" t="e">
        <f>#REF!+#REF!+#REF!+#REF!+#REF!+#REF!+#REF!+#REF!+#REF!+#REF!+#REF!+#REF!+#REF!+#REF!+#REF!+#REF!+#REF!+#REF!</f>
        <v>#REF!</v>
      </c>
      <c r="Q11" s="32" t="e">
        <f>#REF!+#REF!+#REF!+#REF!+#REF!+#REF!+#REF!+#REF!+#REF!+#REF!+#REF!+#REF!+#REF!+#REF!+#REF!+#REF!+#REF!+#REF!</f>
        <v>#REF!</v>
      </c>
      <c r="R11" s="32" t="e">
        <f>#REF!+#REF!+#REF!+#REF!+#REF!+#REF!+#REF!+#REF!+#REF!+#REF!+#REF!+#REF!+#REF!+#REF!+#REF!+#REF!+#REF!+#REF!</f>
        <v>#REF!</v>
      </c>
      <c r="S11" s="32"/>
    </row>
    <row r="12" spans="1:20" ht="22.5" hidden="1" customHeight="1">
      <c r="A12" s="13"/>
      <c r="B12" s="14" t="s">
        <v>839</v>
      </c>
      <c r="C12" s="29" t="e">
        <f>#REF!+#REF!+#REF!+#REF!+#REF!+#REF!+#REF!+#REF!+#REF!+#REF!+#REF!+#REF!+#REF!+#REF!+#REF!+#REF!+#REF!+#REF!</f>
        <v>#REF!</v>
      </c>
      <c r="D12" s="29" t="e">
        <f>#REF!+#REF!+#REF!+#REF!+#REF!+#REF!+#REF!+#REF!+#REF!+#REF!+#REF!+#REF!+#REF!+#REF!+#REF!+#REF!+#REF!+#REF!</f>
        <v>#REF!</v>
      </c>
      <c r="E12" s="16" t="e">
        <f>#REF!+#REF!+#REF!+#REF!+#REF!+#REF!+#REF!+#REF!+#REF!+#REF!+#REF!+#REF!+#REF!+#REF!+#REF!+#REF!+#REF!+#REF!</f>
        <v>#REF!</v>
      </c>
      <c r="F12" s="16"/>
      <c r="G12" s="29" t="e">
        <f>#REF!+#REF!+#REF!+#REF!+#REF!+#REF!+#REF!+#REF!+#REF!+#REF!+#REF!+#REF!+#REF!+#REF!+#REF!+#REF!+#REF!+#REF!</f>
        <v>#REF!</v>
      </c>
      <c r="H12" s="29" t="e">
        <f>#REF!+#REF!+#REF!+#REF!+#REF!+#REF!+#REF!+#REF!+#REF!+#REF!+#REF!+#REF!+#REF!+#REF!+#REF!+#REF!+#REF!+#REF!</f>
        <v>#REF!</v>
      </c>
      <c r="I12" s="29" t="e">
        <f>#REF!+#REF!+#REF!+#REF!+#REF!+#REF!+#REF!+#REF!+#REF!+#REF!+#REF!+#REF!+#REF!+#REF!+#REF!+#REF!+#REF!+#REF!</f>
        <v>#REF!</v>
      </c>
      <c r="J12" s="16" t="e">
        <f>#REF!+#REF!+#REF!+#REF!+#REF!+#REF!+#REF!+#REF!+#REF!+#REF!+#REF!+#REF!+#REF!+#REF!+#REF!+#REF!+#REF!+#REF!</f>
        <v>#REF!</v>
      </c>
      <c r="K12" s="16" t="e">
        <f>#REF!+#REF!+#REF!+#REF!+#REF!+#REF!+#REF!+#REF!+#REF!+#REF!+#REF!+#REF!+#REF!+#REF!+#REF!+#REF!+#REF!+#REF!</f>
        <v>#REF!</v>
      </c>
      <c r="L12" s="29" t="e">
        <f>#REF!+#REF!+#REF!+#REF!+#REF!+#REF!+#REF!+#REF!+#REF!+#REF!+#REF!+#REF!+#REF!+#REF!+#REF!+#REF!+#REF!+#REF!</f>
        <v>#REF!</v>
      </c>
      <c r="M12" s="32" t="e">
        <f>#REF!+#REF!+#REF!+#REF!+#REF!+#REF!+#REF!+#REF!+#REF!+#REF!+#REF!+#REF!+#REF!+#REF!+#REF!+#REF!+#REF!+#REF!</f>
        <v>#REF!</v>
      </c>
      <c r="N12" s="32" t="e">
        <f>#REF!+#REF!+#REF!+#REF!+#REF!+#REF!+#REF!+#REF!+#REF!+#REF!+#REF!+#REF!+#REF!+#REF!+#REF!+#REF!+#REF!+#REF!</f>
        <v>#REF!</v>
      </c>
      <c r="O12" s="32" t="e">
        <f>#REF!+#REF!+#REF!+#REF!+#REF!+#REF!+#REF!+#REF!+#REF!+#REF!+#REF!+#REF!+#REF!+#REF!+#REF!+#REF!+#REF!+#REF!</f>
        <v>#REF!</v>
      </c>
      <c r="P12" s="32" t="e">
        <f>#REF!+#REF!+#REF!+#REF!+#REF!+#REF!+#REF!+#REF!+#REF!+#REF!+#REF!+#REF!+#REF!+#REF!+#REF!+#REF!+#REF!+#REF!</f>
        <v>#REF!</v>
      </c>
      <c r="Q12" s="32" t="e">
        <f>#REF!+#REF!+#REF!+#REF!+#REF!+#REF!+#REF!+#REF!+#REF!+#REF!+#REF!+#REF!+#REF!+#REF!+#REF!+#REF!+#REF!+#REF!</f>
        <v>#REF!</v>
      </c>
      <c r="R12" s="32" t="e">
        <f>#REF!+#REF!+#REF!+#REF!+#REF!+#REF!+#REF!+#REF!+#REF!+#REF!+#REF!+#REF!+#REF!+#REF!+#REF!+#REF!+#REF!+#REF!</f>
        <v>#REF!</v>
      </c>
      <c r="S12" s="32" t="e">
        <f>#REF!+#REF!+#REF!+#REF!+#REF!+#REF!+#REF!+#REF!+#REF!+#REF!+#REF!+#REF!+#REF!+#REF!+#REF!+#REF!+#REF!+#REF!</f>
        <v>#REF!</v>
      </c>
    </row>
    <row r="13" spans="1:20">
      <c r="A13" s="8" t="s">
        <v>7</v>
      </c>
      <c r="B13" s="10" t="s">
        <v>840</v>
      </c>
      <c r="C13" s="28"/>
      <c r="D13" s="28"/>
      <c r="E13" s="28">
        <f>SUM(E14:E28)</f>
        <v>28304.77</v>
      </c>
      <c r="F13" s="28"/>
      <c r="G13" s="28"/>
      <c r="H13" s="28"/>
      <c r="I13" s="28"/>
      <c r="J13" s="28">
        <f>SUM(J14:J28)</f>
        <v>28304.77</v>
      </c>
      <c r="K13" s="28">
        <f>SUM(K14:K28)</f>
        <v>28304.77</v>
      </c>
      <c r="L13" s="30">
        <v>0</v>
      </c>
      <c r="T13" s="35">
        <f>K13+1500+800</f>
        <v>30604.77</v>
      </c>
    </row>
    <row r="14" spans="1:20">
      <c r="A14" s="13">
        <v>1</v>
      </c>
      <c r="B14" s="14" t="s">
        <v>700</v>
      </c>
      <c r="C14" s="29"/>
      <c r="D14" s="29"/>
      <c r="E14" s="29">
        <v>979</v>
      </c>
      <c r="F14" s="29"/>
      <c r="G14" s="29"/>
      <c r="H14" s="29"/>
      <c r="I14" s="29"/>
      <c r="J14" s="29">
        <v>979</v>
      </c>
      <c r="K14" s="29">
        <v>979</v>
      </c>
      <c r="L14" s="29"/>
    </row>
    <row r="15" spans="1:20">
      <c r="A15" s="13">
        <v>2</v>
      </c>
      <c r="B15" s="14" t="s">
        <v>706</v>
      </c>
      <c r="C15" s="29"/>
      <c r="D15" s="29"/>
      <c r="E15" s="29">
        <v>103</v>
      </c>
      <c r="F15" s="29"/>
      <c r="G15" s="29"/>
      <c r="H15" s="29"/>
      <c r="I15" s="29"/>
      <c r="J15" s="29">
        <v>103</v>
      </c>
      <c r="K15" s="29">
        <v>103</v>
      </c>
      <c r="L15" s="29"/>
    </row>
    <row r="16" spans="1:20">
      <c r="A16" s="13">
        <v>3</v>
      </c>
      <c r="B16" s="14" t="s">
        <v>697</v>
      </c>
      <c r="C16" s="29"/>
      <c r="D16" s="29"/>
      <c r="E16" s="29">
        <v>542</v>
      </c>
      <c r="F16" s="29"/>
      <c r="G16" s="29"/>
      <c r="H16" s="29"/>
      <c r="I16" s="29"/>
      <c r="J16" s="29">
        <v>542</v>
      </c>
      <c r="K16" s="29">
        <v>542</v>
      </c>
      <c r="L16" s="29"/>
    </row>
    <row r="17" spans="1:33">
      <c r="A17" s="13">
        <v>4</v>
      </c>
      <c r="B17" s="14" t="s">
        <v>696</v>
      </c>
      <c r="C17" s="29"/>
      <c r="D17" s="29"/>
      <c r="E17" s="16">
        <v>19575.77</v>
      </c>
      <c r="F17" s="29"/>
      <c r="G17" s="29"/>
      <c r="H17" s="29"/>
      <c r="I17" s="29"/>
      <c r="J17" s="16">
        <v>19575.77</v>
      </c>
      <c r="K17" s="16">
        <v>19575.77</v>
      </c>
      <c r="L17" s="29"/>
    </row>
    <row r="18" spans="1:33">
      <c r="A18" s="13">
        <v>5</v>
      </c>
      <c r="B18" s="14" t="s">
        <v>841</v>
      </c>
      <c r="C18" s="29"/>
      <c r="D18" s="29"/>
      <c r="E18" s="29">
        <v>547</v>
      </c>
      <c r="F18" s="29"/>
      <c r="G18" s="29"/>
      <c r="H18" s="29"/>
      <c r="I18" s="29"/>
      <c r="J18" s="29">
        <v>547</v>
      </c>
      <c r="K18" s="29">
        <v>547</v>
      </c>
      <c r="L18" s="29"/>
    </row>
    <row r="19" spans="1:33">
      <c r="A19" s="13">
        <v>6</v>
      </c>
      <c r="B19" s="14" t="s">
        <v>719</v>
      </c>
      <c r="C19" s="29"/>
      <c r="D19" s="29"/>
      <c r="E19" s="29">
        <v>920</v>
      </c>
      <c r="F19" s="29"/>
      <c r="G19" s="29"/>
      <c r="H19" s="29"/>
      <c r="I19" s="29"/>
      <c r="J19" s="29">
        <v>920</v>
      </c>
      <c r="K19" s="29">
        <v>920</v>
      </c>
      <c r="L19" s="29"/>
    </row>
    <row r="20" spans="1:33">
      <c r="A20" s="13">
        <v>7</v>
      </c>
      <c r="B20" s="14" t="s">
        <v>720</v>
      </c>
      <c r="C20" s="29"/>
      <c r="D20" s="29"/>
      <c r="E20" s="29">
        <v>1376</v>
      </c>
      <c r="F20" s="29"/>
      <c r="G20" s="29"/>
      <c r="H20" s="29"/>
      <c r="I20" s="29"/>
      <c r="J20" s="29">
        <v>1376</v>
      </c>
      <c r="K20" s="29">
        <v>1376</v>
      </c>
      <c r="L20" s="29"/>
    </row>
    <row r="21" spans="1:33">
      <c r="A21" s="13">
        <v>8</v>
      </c>
      <c r="B21" s="14" t="s">
        <v>842</v>
      </c>
      <c r="C21" s="29"/>
      <c r="D21" s="29"/>
      <c r="E21" s="29">
        <v>2738</v>
      </c>
      <c r="F21" s="29"/>
      <c r="G21" s="29"/>
      <c r="H21" s="29"/>
      <c r="I21" s="29"/>
      <c r="J21" s="29">
        <v>2738</v>
      </c>
      <c r="K21" s="29">
        <v>2738</v>
      </c>
      <c r="L21" s="29"/>
    </row>
    <row r="22" spans="1:33">
      <c r="A22" s="13">
        <v>9</v>
      </c>
      <c r="B22" s="14" t="s">
        <v>843</v>
      </c>
      <c r="C22" s="29"/>
      <c r="D22" s="29"/>
      <c r="E22" s="29">
        <v>14</v>
      </c>
      <c r="F22" s="29"/>
      <c r="G22" s="29"/>
      <c r="H22" s="29"/>
      <c r="I22" s="29"/>
      <c r="J22" s="29">
        <v>14</v>
      </c>
      <c r="K22" s="29">
        <v>14</v>
      </c>
      <c r="L22" s="29"/>
    </row>
    <row r="23" spans="1:33">
      <c r="A23" s="13">
        <v>10</v>
      </c>
      <c r="B23" s="14" t="s">
        <v>704</v>
      </c>
      <c r="C23" s="29"/>
      <c r="D23" s="29"/>
      <c r="E23" s="29">
        <v>80</v>
      </c>
      <c r="F23" s="29"/>
      <c r="G23" s="29"/>
      <c r="H23" s="29"/>
      <c r="I23" s="29"/>
      <c r="J23" s="29">
        <v>80</v>
      </c>
      <c r="K23" s="29">
        <v>80</v>
      </c>
      <c r="L23" s="29"/>
    </row>
    <row r="24" spans="1:33">
      <c r="A24" s="13">
        <v>11</v>
      </c>
      <c r="B24" s="14" t="s">
        <v>709</v>
      </c>
      <c r="C24" s="29"/>
      <c r="D24" s="29"/>
      <c r="E24" s="29">
        <v>686</v>
      </c>
      <c r="F24" s="29"/>
      <c r="G24" s="29"/>
      <c r="H24" s="29"/>
      <c r="I24" s="29"/>
      <c r="J24" s="29">
        <v>686</v>
      </c>
      <c r="K24" s="29">
        <v>686</v>
      </c>
      <c r="L24" s="29"/>
    </row>
    <row r="25" spans="1:33">
      <c r="A25" s="13">
        <v>12</v>
      </c>
      <c r="B25" s="14" t="s">
        <v>844</v>
      </c>
      <c r="C25" s="29"/>
      <c r="D25" s="29"/>
      <c r="E25" s="29">
        <v>15</v>
      </c>
      <c r="F25" s="29"/>
      <c r="G25" s="29"/>
      <c r="H25" s="29"/>
      <c r="I25" s="29"/>
      <c r="J25" s="29">
        <v>15</v>
      </c>
      <c r="K25" s="29">
        <v>15</v>
      </c>
      <c r="L25" s="29"/>
    </row>
    <row r="26" spans="1:33">
      <c r="A26" s="13">
        <v>13</v>
      </c>
      <c r="B26" s="14" t="s">
        <v>845</v>
      </c>
      <c r="C26" s="29"/>
      <c r="D26" s="29"/>
      <c r="E26" s="29">
        <v>684</v>
      </c>
      <c r="F26" s="29"/>
      <c r="G26" s="29"/>
      <c r="H26" s="29"/>
      <c r="I26" s="29"/>
      <c r="J26" s="29">
        <v>684</v>
      </c>
      <c r="K26" s="29">
        <v>684</v>
      </c>
      <c r="L26" s="29"/>
    </row>
    <row r="27" spans="1:33">
      <c r="A27" s="13">
        <v>14</v>
      </c>
      <c r="B27" s="14" t="s">
        <v>703</v>
      </c>
      <c r="C27" s="29"/>
      <c r="D27" s="29"/>
      <c r="E27" s="29">
        <v>30</v>
      </c>
      <c r="F27" s="29"/>
      <c r="G27" s="29"/>
      <c r="H27" s="29"/>
      <c r="I27" s="29"/>
      <c r="J27" s="29">
        <v>30</v>
      </c>
      <c r="K27" s="29">
        <v>30</v>
      </c>
      <c r="L27" s="29"/>
    </row>
    <row r="28" spans="1:33">
      <c r="A28" s="13">
        <v>15</v>
      </c>
      <c r="B28" s="14" t="s">
        <v>702</v>
      </c>
      <c r="C28" s="29"/>
      <c r="D28" s="29"/>
      <c r="E28" s="29">
        <v>15</v>
      </c>
      <c r="F28" s="29"/>
      <c r="G28" s="29"/>
      <c r="H28" s="29"/>
      <c r="I28" s="29"/>
      <c r="J28" s="29">
        <v>15</v>
      </c>
      <c r="K28" s="29">
        <v>15</v>
      </c>
      <c r="L28" s="29"/>
    </row>
    <row r="30" spans="1:33" s="3" customFormat="1" ht="18.75" customHeight="1">
      <c r="A30" s="17"/>
      <c r="B30" s="17"/>
      <c r="C30" s="17"/>
      <c r="D30" s="17"/>
      <c r="E30" s="17"/>
      <c r="F30" s="17"/>
      <c r="G30" s="625" t="s">
        <v>846</v>
      </c>
      <c r="H30" s="625"/>
      <c r="I30" s="625"/>
      <c r="J30" s="625"/>
      <c r="K30" s="625"/>
      <c r="L30" s="625"/>
      <c r="M30" s="22"/>
      <c r="N30" s="22"/>
      <c r="O30" s="22"/>
      <c r="P30" s="22"/>
      <c r="Q30" s="22"/>
      <c r="R30" s="17"/>
      <c r="S30" s="17"/>
      <c r="T30" s="17"/>
      <c r="U30" s="17"/>
      <c r="V30" s="17"/>
      <c r="W30" s="17"/>
      <c r="X30" s="17"/>
      <c r="Y30" s="17"/>
      <c r="Z30" s="17"/>
      <c r="AA30" s="17"/>
      <c r="AB30" s="17"/>
      <c r="AC30" s="17"/>
      <c r="AD30" s="17"/>
      <c r="AE30" s="17"/>
      <c r="AF30" s="17"/>
      <c r="AG30" s="17"/>
    </row>
    <row r="31" spans="1:33" s="3" customFormat="1" ht="18">
      <c r="A31" s="623" t="s">
        <v>847</v>
      </c>
      <c r="B31" s="623"/>
      <c r="C31" s="623"/>
      <c r="D31" s="623"/>
      <c r="E31" s="623"/>
      <c r="F31" s="623"/>
      <c r="G31" s="623"/>
      <c r="H31" s="623"/>
      <c r="I31" s="623"/>
      <c r="J31" s="623"/>
      <c r="K31" s="623"/>
      <c r="L31" s="623"/>
      <c r="M31" s="23"/>
      <c r="N31" s="23"/>
      <c r="O31" s="23"/>
      <c r="P31" s="23"/>
      <c r="Q31" s="23"/>
      <c r="R31" s="23"/>
      <c r="S31" s="23"/>
      <c r="T31" s="23"/>
      <c r="U31" s="23"/>
      <c r="V31" s="23"/>
      <c r="W31" s="23"/>
      <c r="X31" s="23"/>
      <c r="Y31" s="23"/>
      <c r="Z31" s="23"/>
      <c r="AA31" s="23"/>
      <c r="AB31" s="23"/>
      <c r="AC31" s="23"/>
      <c r="AD31" s="23"/>
      <c r="AE31" s="23"/>
      <c r="AF31" s="23"/>
      <c r="AG31" s="23"/>
    </row>
    <row r="32" spans="1:33" s="3" customFormat="1" ht="27" customHeight="1">
      <c r="A32" s="18"/>
      <c r="B32" s="19"/>
      <c r="C32" s="20"/>
      <c r="D32" s="20"/>
      <c r="E32" s="20"/>
      <c r="F32" s="20"/>
      <c r="G32" s="20"/>
      <c r="H32" s="20"/>
      <c r="I32" s="20"/>
      <c r="J32" s="20"/>
      <c r="K32" s="24"/>
      <c r="L32" s="17"/>
      <c r="M32" s="25"/>
      <c r="N32" s="17"/>
      <c r="O32" s="17"/>
      <c r="P32" s="17"/>
      <c r="Q32" s="17"/>
      <c r="R32" s="17"/>
      <c r="S32" s="17"/>
      <c r="T32" s="17"/>
      <c r="U32" s="17"/>
      <c r="V32" s="17"/>
      <c r="W32" s="17"/>
      <c r="X32" s="17"/>
      <c r="Y32" s="17"/>
      <c r="Z32" s="17"/>
      <c r="AA32" s="17"/>
      <c r="AB32" s="17"/>
      <c r="AC32" s="17"/>
      <c r="AD32" s="17"/>
      <c r="AE32" s="17"/>
      <c r="AF32" s="17"/>
      <c r="AG32" s="17"/>
    </row>
    <row r="33" spans="1:33" s="3" customFormat="1" ht="27" customHeight="1">
      <c r="A33" s="18"/>
      <c r="B33" s="19"/>
      <c r="C33" s="20"/>
      <c r="D33" s="20"/>
      <c r="E33" s="20"/>
      <c r="F33" s="20"/>
      <c r="G33" s="20"/>
      <c r="H33" s="20"/>
      <c r="I33" s="20"/>
      <c r="J33" s="20"/>
      <c r="K33" s="24"/>
      <c r="L33" s="17"/>
      <c r="M33" s="25"/>
      <c r="N33" s="17"/>
      <c r="O33" s="17"/>
      <c r="P33" s="17"/>
      <c r="Q33" s="17"/>
      <c r="R33" s="17"/>
      <c r="S33" s="17"/>
      <c r="T33" s="17"/>
      <c r="U33" s="17"/>
      <c r="V33" s="17"/>
      <c r="W33" s="17"/>
      <c r="X33" s="17"/>
      <c r="Y33" s="17"/>
      <c r="Z33" s="17"/>
      <c r="AA33" s="17"/>
      <c r="AB33" s="17"/>
      <c r="AC33" s="17"/>
      <c r="AD33" s="17"/>
      <c r="AE33" s="17"/>
      <c r="AF33" s="17"/>
      <c r="AG33" s="17"/>
    </row>
    <row r="34" spans="1:33" s="3" customFormat="1" ht="27" customHeight="1">
      <c r="A34" s="18"/>
      <c r="B34" s="19"/>
      <c r="C34" s="20"/>
      <c r="D34" s="20"/>
      <c r="E34" s="20"/>
      <c r="F34" s="20"/>
      <c r="G34" s="20"/>
      <c r="H34" s="20"/>
      <c r="I34" s="20"/>
      <c r="J34" s="20"/>
      <c r="K34" s="24"/>
      <c r="L34" s="17"/>
      <c r="M34" s="25"/>
      <c r="N34" s="17"/>
      <c r="O34" s="17"/>
      <c r="P34" s="17"/>
      <c r="Q34" s="17"/>
      <c r="R34" s="17"/>
      <c r="S34" s="17"/>
      <c r="T34" s="17"/>
      <c r="U34" s="17"/>
      <c r="V34" s="17"/>
      <c r="W34" s="17"/>
      <c r="X34" s="17"/>
      <c r="Y34" s="17"/>
      <c r="Z34" s="17"/>
      <c r="AA34" s="17"/>
      <c r="AB34" s="17"/>
      <c r="AC34" s="17"/>
      <c r="AD34" s="17"/>
      <c r="AE34" s="17"/>
      <c r="AF34" s="17"/>
      <c r="AG34" s="17"/>
    </row>
    <row r="35" spans="1:33" s="3" customFormat="1" ht="18">
      <c r="A35" s="624" t="s">
        <v>848</v>
      </c>
      <c r="B35" s="624"/>
      <c r="C35" s="624"/>
      <c r="D35" s="624"/>
      <c r="E35" s="624"/>
      <c r="F35" s="624"/>
      <c r="G35" s="624"/>
      <c r="H35" s="624"/>
      <c r="I35" s="624"/>
      <c r="J35" s="624"/>
      <c r="K35" s="624"/>
      <c r="L35" s="624"/>
      <c r="M35" s="23"/>
      <c r="N35" s="23"/>
      <c r="O35" s="23"/>
      <c r="P35" s="23"/>
      <c r="Q35" s="23"/>
      <c r="R35" s="23"/>
      <c r="S35" s="23"/>
      <c r="T35" s="23"/>
      <c r="U35" s="23"/>
      <c r="V35" s="23"/>
      <c r="W35" s="23"/>
      <c r="X35" s="23"/>
      <c r="Y35" s="23"/>
      <c r="Z35" s="23"/>
      <c r="AA35" s="23"/>
      <c r="AB35" s="23"/>
      <c r="AC35" s="23"/>
      <c r="AD35" s="23"/>
      <c r="AE35" s="23"/>
      <c r="AF35" s="23"/>
      <c r="AG35" s="23"/>
    </row>
  </sheetData>
  <mergeCells count="18">
    <mergeCell ref="I1:L1"/>
    <mergeCell ref="A2:L2"/>
    <mergeCell ref="A3:L3"/>
    <mergeCell ref="A4:L4"/>
    <mergeCell ref="J5:L5"/>
    <mergeCell ref="A31:L31"/>
    <mergeCell ref="A35:L35"/>
    <mergeCell ref="A6:A8"/>
    <mergeCell ref="B6:B8"/>
    <mergeCell ref="C6:C8"/>
    <mergeCell ref="D7:D8"/>
    <mergeCell ref="E7:E8"/>
    <mergeCell ref="F7:F8"/>
    <mergeCell ref="D6:E6"/>
    <mergeCell ref="F6:L6"/>
    <mergeCell ref="G7:I7"/>
    <mergeCell ref="J7:L7"/>
    <mergeCell ref="G30:L3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G31"/>
  <sheetViews>
    <sheetView workbookViewId="0">
      <selection activeCell="K16" sqref="K16"/>
    </sheetView>
  </sheetViews>
  <sheetFormatPr defaultColWidth="8.88671875" defaultRowHeight="14.4"/>
  <cols>
    <col min="1" max="1" width="5.88671875" customWidth="1"/>
    <col min="2" max="2" width="41.33203125" customWidth="1"/>
    <col min="3" max="12" width="10.109375" customWidth="1"/>
  </cols>
  <sheetData>
    <row r="1" spans="1:13">
      <c r="A1" s="627" t="s">
        <v>825</v>
      </c>
      <c r="B1" s="627"/>
      <c r="I1" s="628" t="s">
        <v>849</v>
      </c>
      <c r="J1" s="628"/>
      <c r="K1" s="628"/>
      <c r="L1" s="628"/>
    </row>
    <row r="2" spans="1:13" s="1" customFormat="1" ht="20.25" customHeight="1">
      <c r="A2" s="617" t="s">
        <v>850</v>
      </c>
      <c r="B2" s="617"/>
      <c r="C2" s="617"/>
      <c r="D2" s="617"/>
      <c r="E2" s="617"/>
      <c r="F2" s="617"/>
      <c r="G2" s="617"/>
      <c r="H2" s="617"/>
      <c r="I2" s="617"/>
      <c r="J2" s="617"/>
      <c r="K2" s="617"/>
      <c r="L2" s="617"/>
    </row>
    <row r="3" spans="1:13" s="1" customFormat="1" ht="15.6">
      <c r="A3" s="611" t="s">
        <v>669</v>
      </c>
      <c r="B3" s="611"/>
      <c r="C3" s="611"/>
      <c r="D3" s="611"/>
      <c r="E3" s="611"/>
      <c r="F3" s="611"/>
      <c r="G3" s="611"/>
      <c r="H3" s="611"/>
      <c r="I3" s="611"/>
      <c r="J3" s="611"/>
      <c r="K3" s="611"/>
      <c r="L3" s="611"/>
    </row>
    <row r="4" spans="1:13" s="1" customFormat="1" ht="15.6" hidden="1">
      <c r="A4" s="618" t="s">
        <v>851</v>
      </c>
      <c r="B4" s="618"/>
      <c r="C4" s="618"/>
      <c r="D4" s="618"/>
      <c r="E4" s="618"/>
      <c r="F4" s="618"/>
      <c r="G4" s="618"/>
      <c r="H4" s="618"/>
      <c r="I4" s="618"/>
      <c r="J4" s="618"/>
      <c r="K4" s="618"/>
      <c r="L4" s="618"/>
    </row>
    <row r="5" spans="1:13" s="1" customFormat="1" ht="15.6">
      <c r="A5" s="7"/>
      <c r="I5" s="619" t="s">
        <v>638</v>
      </c>
      <c r="J5" s="619"/>
      <c r="K5" s="619"/>
      <c r="L5" s="619"/>
    </row>
    <row r="6" spans="1:13" s="1" customFormat="1" ht="19.5" customHeight="1">
      <c r="A6" s="615" t="s">
        <v>3</v>
      </c>
      <c r="B6" s="615" t="s">
        <v>829</v>
      </c>
      <c r="C6" s="615" t="s">
        <v>322</v>
      </c>
      <c r="D6" s="615" t="s">
        <v>111</v>
      </c>
      <c r="E6" s="615"/>
      <c r="F6" s="615" t="s">
        <v>323</v>
      </c>
      <c r="G6" s="615"/>
      <c r="H6" s="615"/>
      <c r="I6" s="615"/>
      <c r="J6" s="615"/>
      <c r="K6" s="615"/>
      <c r="L6" s="615"/>
    </row>
    <row r="7" spans="1:13" s="1" customFormat="1" ht="19.5" customHeight="1">
      <c r="A7" s="615"/>
      <c r="B7" s="615"/>
      <c r="C7" s="615"/>
      <c r="D7" s="615" t="s">
        <v>830</v>
      </c>
      <c r="E7" s="615" t="s">
        <v>831</v>
      </c>
      <c r="F7" s="615" t="s">
        <v>322</v>
      </c>
      <c r="G7" s="615" t="s">
        <v>830</v>
      </c>
      <c r="H7" s="615"/>
      <c r="I7" s="615"/>
      <c r="J7" s="615" t="s">
        <v>831</v>
      </c>
      <c r="K7" s="615"/>
      <c r="L7" s="615"/>
    </row>
    <row r="8" spans="1:13" s="1" customFormat="1" ht="46.8">
      <c r="A8" s="615"/>
      <c r="B8" s="615"/>
      <c r="C8" s="615"/>
      <c r="D8" s="615"/>
      <c r="E8" s="615"/>
      <c r="F8" s="615"/>
      <c r="G8" s="8" t="s">
        <v>322</v>
      </c>
      <c r="H8" s="8" t="s">
        <v>132</v>
      </c>
      <c r="I8" s="8" t="s">
        <v>133</v>
      </c>
      <c r="J8" s="8" t="s">
        <v>322</v>
      </c>
      <c r="K8" s="8" t="s">
        <v>132</v>
      </c>
      <c r="L8" s="8" t="s">
        <v>133</v>
      </c>
    </row>
    <row r="9" spans="1:13" s="2" customFormat="1" ht="19.5" customHeight="1">
      <c r="A9" s="9" t="s">
        <v>7</v>
      </c>
      <c r="B9" s="9" t="s">
        <v>22</v>
      </c>
      <c r="C9" s="9" t="s">
        <v>832</v>
      </c>
      <c r="D9" s="9" t="s">
        <v>833</v>
      </c>
      <c r="E9" s="9" t="s">
        <v>834</v>
      </c>
      <c r="F9" s="9" t="s">
        <v>835</v>
      </c>
      <c r="G9" s="9" t="s">
        <v>836</v>
      </c>
      <c r="H9" s="9">
        <v>6</v>
      </c>
      <c r="I9" s="9">
        <v>7</v>
      </c>
      <c r="J9" s="9" t="s">
        <v>837</v>
      </c>
      <c r="K9" s="9">
        <v>9</v>
      </c>
      <c r="L9" s="9">
        <v>10</v>
      </c>
    </row>
    <row r="10" spans="1:13" ht="17.25" customHeight="1">
      <c r="A10" s="8" t="s">
        <v>9</v>
      </c>
      <c r="B10" s="10" t="s">
        <v>840</v>
      </c>
      <c r="C10" s="11"/>
      <c r="D10" s="11"/>
      <c r="E10" s="12">
        <f>SUM(E11:E25)</f>
        <v>317.15999999999997</v>
      </c>
      <c r="F10" s="12"/>
      <c r="G10" s="12"/>
      <c r="H10" s="12"/>
      <c r="I10" s="12"/>
      <c r="J10" s="12">
        <f>SUM(J11:J25)</f>
        <v>317.15999999999997</v>
      </c>
      <c r="K10" s="12">
        <f>SUM(K11:K25)</f>
        <v>317.15999999999997</v>
      </c>
      <c r="L10" s="12"/>
      <c r="M10" s="21">
        <f>E10+'38,01 TW'!E13</f>
        <v>28621.93</v>
      </c>
    </row>
    <row r="11" spans="1:13" ht="17.25" customHeight="1">
      <c r="A11" s="13">
        <v>1</v>
      </c>
      <c r="B11" s="14" t="s">
        <v>700</v>
      </c>
      <c r="C11" s="15"/>
      <c r="D11" s="15"/>
      <c r="E11" s="15">
        <v>1</v>
      </c>
      <c r="F11" s="15"/>
      <c r="G11" s="15"/>
      <c r="H11" s="15"/>
      <c r="I11" s="15"/>
      <c r="J11" s="15">
        <v>1</v>
      </c>
      <c r="K11" s="15">
        <v>1</v>
      </c>
      <c r="L11" s="15"/>
    </row>
    <row r="12" spans="1:13" ht="17.25" customHeight="1">
      <c r="A12" s="13">
        <v>2</v>
      </c>
      <c r="B12" s="14" t="s">
        <v>706</v>
      </c>
      <c r="C12" s="15"/>
      <c r="D12" s="15"/>
      <c r="E12" s="15">
        <v>6</v>
      </c>
      <c r="F12" s="15"/>
      <c r="G12" s="15"/>
      <c r="H12" s="15"/>
      <c r="I12" s="15"/>
      <c r="J12" s="15">
        <v>6</v>
      </c>
      <c r="K12" s="15">
        <v>6</v>
      </c>
      <c r="L12" s="15"/>
    </row>
    <row r="13" spans="1:13" ht="17.25" customHeight="1">
      <c r="A13" s="13">
        <v>3</v>
      </c>
      <c r="B13" s="14" t="s">
        <v>697</v>
      </c>
      <c r="C13" s="15"/>
      <c r="D13" s="15"/>
      <c r="E13" s="15">
        <v>13</v>
      </c>
      <c r="F13" s="15"/>
      <c r="G13" s="15"/>
      <c r="H13" s="15"/>
      <c r="I13" s="15"/>
      <c r="J13" s="15">
        <v>13</v>
      </c>
      <c r="K13" s="15">
        <v>13</v>
      </c>
      <c r="L13" s="15"/>
    </row>
    <row r="14" spans="1:13" ht="17.25" customHeight="1">
      <c r="A14" s="13">
        <v>4</v>
      </c>
      <c r="B14" s="14" t="s">
        <v>696</v>
      </c>
      <c r="C14" s="15"/>
      <c r="D14" s="15"/>
      <c r="E14" s="16">
        <v>213.16</v>
      </c>
      <c r="F14" s="16"/>
      <c r="G14" s="16"/>
      <c r="H14" s="16"/>
      <c r="I14" s="16"/>
      <c r="J14" s="16">
        <v>213.16</v>
      </c>
      <c r="K14" s="16">
        <v>213.16</v>
      </c>
      <c r="L14" s="15"/>
    </row>
    <row r="15" spans="1:13" ht="17.25" customHeight="1">
      <c r="A15" s="13">
        <v>5</v>
      </c>
      <c r="B15" s="14" t="s">
        <v>841</v>
      </c>
      <c r="C15" s="15"/>
      <c r="D15" s="15"/>
      <c r="E15" s="15">
        <v>3</v>
      </c>
      <c r="F15" s="15"/>
      <c r="G15" s="15"/>
      <c r="H15" s="15"/>
      <c r="I15" s="15"/>
      <c r="J15" s="15">
        <v>3</v>
      </c>
      <c r="K15" s="15">
        <v>3</v>
      </c>
      <c r="L15" s="15"/>
    </row>
    <row r="16" spans="1:13" ht="17.25" customHeight="1">
      <c r="A16" s="13">
        <v>6</v>
      </c>
      <c r="B16" s="14" t="s">
        <v>719</v>
      </c>
      <c r="C16" s="15"/>
      <c r="D16" s="15"/>
      <c r="E16" s="15">
        <v>6</v>
      </c>
      <c r="F16" s="15"/>
      <c r="G16" s="15"/>
      <c r="H16" s="15"/>
      <c r="I16" s="15"/>
      <c r="J16" s="15">
        <v>6</v>
      </c>
      <c r="K16" s="15">
        <v>6</v>
      </c>
      <c r="L16" s="15"/>
    </row>
    <row r="17" spans="1:33" ht="17.25" customHeight="1">
      <c r="A17" s="13">
        <v>7</v>
      </c>
      <c r="B17" s="14" t="s">
        <v>720</v>
      </c>
      <c r="C17" s="15"/>
      <c r="D17" s="15"/>
      <c r="E17" s="15">
        <v>9</v>
      </c>
      <c r="F17" s="15"/>
      <c r="G17" s="15"/>
      <c r="H17" s="15"/>
      <c r="I17" s="15"/>
      <c r="J17" s="15">
        <v>9</v>
      </c>
      <c r="K17" s="15">
        <v>9</v>
      </c>
      <c r="L17" s="15"/>
    </row>
    <row r="18" spans="1:33" ht="17.25" customHeight="1">
      <c r="A18" s="13">
        <v>8</v>
      </c>
      <c r="B18" s="14" t="s">
        <v>842</v>
      </c>
      <c r="C18" s="15"/>
      <c r="D18" s="15"/>
      <c r="E18" s="15">
        <v>12</v>
      </c>
      <c r="F18" s="15"/>
      <c r="G18" s="15"/>
      <c r="H18" s="15"/>
      <c r="I18" s="15"/>
      <c r="J18" s="15">
        <v>12</v>
      </c>
      <c r="K18" s="15">
        <v>12</v>
      </c>
      <c r="L18" s="15"/>
    </row>
    <row r="19" spans="1:33" ht="17.25" customHeight="1">
      <c r="A19" s="13">
        <v>9</v>
      </c>
      <c r="B19" s="14" t="s">
        <v>843</v>
      </c>
      <c r="C19" s="15"/>
      <c r="D19" s="15"/>
      <c r="E19" s="15">
        <v>1</v>
      </c>
      <c r="F19" s="15"/>
      <c r="G19" s="15"/>
      <c r="H19" s="15"/>
      <c r="I19" s="15"/>
      <c r="J19" s="15">
        <v>1</v>
      </c>
      <c r="K19" s="15">
        <v>1</v>
      </c>
      <c r="L19" s="15"/>
    </row>
    <row r="20" spans="1:33" ht="17.25" customHeight="1">
      <c r="A20" s="13">
        <v>10</v>
      </c>
      <c r="B20" s="14" t="s">
        <v>704</v>
      </c>
      <c r="C20" s="15"/>
      <c r="D20" s="15"/>
      <c r="E20" s="15">
        <v>4</v>
      </c>
      <c r="F20" s="15"/>
      <c r="G20" s="15"/>
      <c r="H20" s="15"/>
      <c r="I20" s="15"/>
      <c r="J20" s="15">
        <v>4</v>
      </c>
      <c r="K20" s="15">
        <v>4</v>
      </c>
      <c r="L20" s="15"/>
    </row>
    <row r="21" spans="1:33" ht="17.25" customHeight="1">
      <c r="A21" s="13">
        <v>11</v>
      </c>
      <c r="B21" s="14" t="s">
        <v>709</v>
      </c>
      <c r="C21" s="15"/>
      <c r="D21" s="15"/>
      <c r="E21" s="15">
        <v>24</v>
      </c>
      <c r="F21" s="15"/>
      <c r="G21" s="15"/>
      <c r="H21" s="15"/>
      <c r="I21" s="15"/>
      <c r="J21" s="15">
        <v>24</v>
      </c>
      <c r="K21" s="15">
        <v>24</v>
      </c>
      <c r="L21" s="15"/>
    </row>
    <row r="22" spans="1:33" ht="17.25" customHeight="1">
      <c r="A22" s="13">
        <v>12</v>
      </c>
      <c r="B22" s="14" t="s">
        <v>844</v>
      </c>
      <c r="C22" s="15"/>
      <c r="D22" s="15"/>
      <c r="E22" s="15">
        <v>0</v>
      </c>
      <c r="F22" s="15"/>
      <c r="G22" s="15"/>
      <c r="H22" s="15"/>
      <c r="I22" s="15"/>
      <c r="J22" s="15">
        <v>0</v>
      </c>
      <c r="K22" s="15">
        <v>0</v>
      </c>
      <c r="L22" s="15"/>
    </row>
    <row r="23" spans="1:33" ht="17.25" customHeight="1">
      <c r="A23" s="13">
        <v>13</v>
      </c>
      <c r="B23" s="14" t="s">
        <v>845</v>
      </c>
      <c r="C23" s="15"/>
      <c r="D23" s="15"/>
      <c r="E23" s="15">
        <v>25</v>
      </c>
      <c r="F23" s="15"/>
      <c r="G23" s="15"/>
      <c r="H23" s="15"/>
      <c r="I23" s="15"/>
      <c r="J23" s="15">
        <v>25</v>
      </c>
      <c r="K23" s="15">
        <v>25</v>
      </c>
      <c r="L23" s="15"/>
    </row>
    <row r="24" spans="1:33" ht="17.25" customHeight="1">
      <c r="A24" s="13">
        <v>14</v>
      </c>
      <c r="B24" s="14" t="s">
        <v>703</v>
      </c>
      <c r="C24" s="15"/>
      <c r="D24" s="15"/>
      <c r="E24" s="15"/>
      <c r="F24" s="15"/>
      <c r="G24" s="15"/>
      <c r="H24" s="15"/>
      <c r="I24" s="15"/>
      <c r="J24" s="15"/>
      <c r="K24" s="15"/>
      <c r="L24" s="15"/>
    </row>
    <row r="25" spans="1:33" ht="17.25" customHeight="1">
      <c r="A25" s="13">
        <v>15</v>
      </c>
      <c r="B25" s="14" t="s">
        <v>702</v>
      </c>
      <c r="C25" s="15"/>
      <c r="D25" s="15"/>
      <c r="E25" s="15"/>
      <c r="F25" s="15"/>
      <c r="G25" s="15"/>
      <c r="H25" s="15"/>
      <c r="I25" s="15"/>
      <c r="J25" s="15"/>
      <c r="K25" s="15"/>
      <c r="L25" s="15"/>
    </row>
    <row r="26" spans="1:33" s="3" customFormat="1" ht="18.75" customHeight="1">
      <c r="A26" s="17"/>
      <c r="B26" s="17"/>
      <c r="C26" s="17"/>
      <c r="D26" s="17"/>
      <c r="E26" s="17"/>
      <c r="F26" s="17"/>
      <c r="G26" s="625" t="s">
        <v>846</v>
      </c>
      <c r="H26" s="625"/>
      <c r="I26" s="625"/>
      <c r="J26" s="625"/>
      <c r="K26" s="625"/>
      <c r="L26" s="625"/>
      <c r="M26" s="22"/>
      <c r="N26" s="22"/>
      <c r="O26" s="22"/>
      <c r="P26" s="22"/>
      <c r="Q26" s="22"/>
      <c r="R26" s="17"/>
      <c r="S26" s="17"/>
      <c r="T26" s="17"/>
      <c r="U26" s="17"/>
      <c r="V26" s="17"/>
      <c r="W26" s="17"/>
      <c r="X26" s="17"/>
      <c r="Y26" s="17"/>
      <c r="Z26" s="17"/>
      <c r="AA26" s="17"/>
      <c r="AB26" s="17"/>
      <c r="AC26" s="17"/>
      <c r="AD26" s="17"/>
      <c r="AE26" s="17"/>
      <c r="AF26" s="17"/>
      <c r="AG26" s="17"/>
    </row>
    <row r="27" spans="1:33" s="3" customFormat="1" ht="18">
      <c r="A27" s="623" t="s">
        <v>852</v>
      </c>
      <c r="B27" s="623"/>
      <c r="C27" s="623"/>
      <c r="D27" s="623"/>
      <c r="E27" s="623"/>
      <c r="F27" s="623"/>
      <c r="G27" s="623"/>
      <c r="H27" s="623"/>
      <c r="I27" s="623"/>
      <c r="J27" s="623"/>
      <c r="K27" s="623"/>
      <c r="L27" s="623"/>
      <c r="M27" s="23"/>
      <c r="N27" s="23"/>
      <c r="O27" s="23"/>
      <c r="P27" s="23"/>
      <c r="Q27" s="23"/>
      <c r="R27" s="23"/>
      <c r="S27" s="23"/>
      <c r="T27" s="23"/>
      <c r="U27" s="23"/>
      <c r="V27" s="23"/>
      <c r="W27" s="23"/>
      <c r="X27" s="23"/>
      <c r="Y27" s="23"/>
      <c r="Z27" s="23"/>
      <c r="AA27" s="23"/>
      <c r="AB27" s="23"/>
      <c r="AC27" s="23"/>
      <c r="AD27" s="23"/>
      <c r="AE27" s="23"/>
      <c r="AF27" s="23"/>
      <c r="AG27" s="23"/>
    </row>
    <row r="28" spans="1:33" s="3" customFormat="1" ht="27" customHeight="1">
      <c r="A28" s="18"/>
      <c r="B28" s="19"/>
      <c r="C28" s="20"/>
      <c r="D28" s="20"/>
      <c r="E28" s="20"/>
      <c r="F28" s="20"/>
      <c r="G28" s="20"/>
      <c r="H28" s="20"/>
      <c r="I28" s="20"/>
      <c r="J28" s="20"/>
      <c r="K28" s="24"/>
      <c r="L28" s="17"/>
      <c r="M28" s="25"/>
      <c r="N28" s="17"/>
      <c r="O28" s="17"/>
      <c r="P28" s="17"/>
      <c r="Q28" s="17"/>
      <c r="R28" s="17"/>
      <c r="S28" s="17"/>
      <c r="T28" s="17"/>
      <c r="U28" s="17"/>
      <c r="V28" s="17"/>
      <c r="W28" s="17"/>
      <c r="X28" s="17"/>
      <c r="Y28" s="17"/>
      <c r="Z28" s="17"/>
      <c r="AA28" s="17"/>
      <c r="AB28" s="17"/>
      <c r="AC28" s="17"/>
      <c r="AD28" s="17"/>
      <c r="AE28" s="17"/>
      <c r="AF28" s="17"/>
      <c r="AG28" s="17"/>
    </row>
    <row r="29" spans="1:33" s="3" customFormat="1" ht="27" customHeight="1">
      <c r="A29" s="18"/>
      <c r="B29" s="19"/>
      <c r="C29" s="20"/>
      <c r="D29" s="20"/>
      <c r="E29" s="20"/>
      <c r="F29" s="20"/>
      <c r="G29" s="20"/>
      <c r="H29" s="20"/>
      <c r="I29" s="20"/>
      <c r="J29" s="20"/>
      <c r="K29" s="24"/>
      <c r="L29" s="17"/>
      <c r="M29" s="25"/>
      <c r="N29" s="17"/>
      <c r="O29" s="17"/>
      <c r="P29" s="17"/>
      <c r="Q29" s="17"/>
      <c r="R29" s="17"/>
      <c r="S29" s="17"/>
      <c r="T29" s="17"/>
      <c r="U29" s="17"/>
      <c r="V29" s="17"/>
      <c r="W29" s="17"/>
      <c r="X29" s="17"/>
      <c r="Y29" s="17"/>
      <c r="Z29" s="17"/>
      <c r="AA29" s="17"/>
      <c r="AB29" s="17"/>
      <c r="AC29" s="17"/>
      <c r="AD29" s="17"/>
      <c r="AE29" s="17"/>
      <c r="AF29" s="17"/>
      <c r="AG29" s="17"/>
    </row>
    <row r="30" spans="1:33" s="3" customFormat="1" ht="27" customHeight="1">
      <c r="A30" s="18"/>
      <c r="B30" s="19"/>
      <c r="C30" s="20"/>
      <c r="D30" s="20"/>
      <c r="E30" s="20"/>
      <c r="F30" s="20"/>
      <c r="G30" s="20"/>
      <c r="H30" s="20"/>
      <c r="I30" s="20"/>
      <c r="J30" s="20"/>
      <c r="K30" s="24"/>
      <c r="L30" s="17"/>
      <c r="M30" s="25"/>
      <c r="N30" s="17"/>
      <c r="O30" s="17"/>
      <c r="P30" s="17"/>
      <c r="Q30" s="17"/>
      <c r="R30" s="17"/>
      <c r="S30" s="17"/>
      <c r="T30" s="17"/>
      <c r="U30" s="17"/>
      <c r="V30" s="17"/>
      <c r="W30" s="17"/>
      <c r="X30" s="17"/>
      <c r="Y30" s="17"/>
      <c r="Z30" s="17"/>
      <c r="AA30" s="17"/>
      <c r="AB30" s="17"/>
      <c r="AC30" s="17"/>
      <c r="AD30" s="17"/>
      <c r="AE30" s="17"/>
      <c r="AF30" s="17"/>
      <c r="AG30" s="17"/>
    </row>
    <row r="31" spans="1:33" s="3" customFormat="1" ht="18">
      <c r="A31" s="624" t="s">
        <v>853</v>
      </c>
      <c r="B31" s="624"/>
      <c r="C31" s="624"/>
      <c r="D31" s="624"/>
      <c r="E31" s="624"/>
      <c r="F31" s="624"/>
      <c r="G31" s="624"/>
      <c r="H31" s="624"/>
      <c r="I31" s="624"/>
      <c r="J31" s="624"/>
      <c r="K31" s="624"/>
      <c r="L31" s="624"/>
      <c r="M31" s="23"/>
      <c r="N31" s="23"/>
      <c r="O31" s="23"/>
      <c r="P31" s="23"/>
      <c r="Q31" s="23"/>
      <c r="R31" s="23"/>
      <c r="S31" s="23"/>
      <c r="T31" s="23"/>
      <c r="U31" s="23"/>
      <c r="V31" s="23"/>
      <c r="W31" s="23"/>
      <c r="X31" s="23"/>
      <c r="Y31" s="23"/>
      <c r="Z31" s="23"/>
      <c r="AA31" s="23"/>
      <c r="AB31" s="23"/>
      <c r="AC31" s="23"/>
      <c r="AD31" s="23"/>
      <c r="AE31" s="23"/>
      <c r="AF31" s="23"/>
      <c r="AG31" s="23"/>
    </row>
  </sheetData>
  <mergeCells count="19">
    <mergeCell ref="A1:B1"/>
    <mergeCell ref="I1:L1"/>
    <mergeCell ref="A2:L2"/>
    <mergeCell ref="A3:L3"/>
    <mergeCell ref="A4:L4"/>
    <mergeCell ref="I5:L5"/>
    <mergeCell ref="D6:E6"/>
    <mergeCell ref="F6:L6"/>
    <mergeCell ref="G7:I7"/>
    <mergeCell ref="J7:L7"/>
    <mergeCell ref="G26:L26"/>
    <mergeCell ref="A27:L27"/>
    <mergeCell ref="A31:L31"/>
    <mergeCell ref="A6:A8"/>
    <mergeCell ref="B6:B8"/>
    <mergeCell ref="C6:C8"/>
    <mergeCell ref="D7:D8"/>
    <mergeCell ref="E7:E8"/>
    <mergeCell ref="F7: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vt:i4>
      </vt:variant>
    </vt:vector>
  </HeadingPairs>
  <TitlesOfParts>
    <vt:vector size="25" baseType="lpstr">
      <vt:lpstr>01-Cân đôi</vt:lpstr>
      <vt:lpstr>02-Thu theo lĩnh vực</vt:lpstr>
      <vt:lpstr>03-Chi theo cơ cấu</vt:lpstr>
      <vt:lpstr>04-chi cac don vi</vt:lpstr>
      <vt:lpstr>05-CTMTQG</vt:lpstr>
      <vt:lpstr>06-Đầu tư tiền đất</vt:lpstr>
      <vt:lpstr>07-chuyen nguon</vt:lpstr>
      <vt:lpstr>08-kết dư</vt:lpstr>
      <vt:lpstr>09-VT</vt:lpstr>
      <vt:lpstr>P.b1</vt:lpstr>
      <vt:lpstr>Chi xã</vt:lpstr>
      <vt:lpstr>Sheet3</vt:lpstr>
      <vt:lpstr>Chi</vt:lpstr>
      <vt:lpstr>34. CHI NS CẤP TỈNH</vt:lpstr>
      <vt:lpstr>37.01 ĐP</vt:lpstr>
      <vt:lpstr>37.02 TW</vt:lpstr>
      <vt:lpstr>38,01 TW</vt:lpstr>
      <vt:lpstr>38.02 ĐP</vt:lpstr>
      <vt:lpstr>'37.02 TW'!Print_Area</vt:lpstr>
      <vt:lpstr>'02-Thu theo lĩnh vực'!Print_Titles</vt:lpstr>
      <vt:lpstr>'03-Chi theo cơ cấu'!Print_Titles</vt:lpstr>
      <vt:lpstr>'04-chi cac don vi'!Print_Titles</vt:lpstr>
      <vt:lpstr>'07-chuyen nguon'!Print_Titles</vt:lpstr>
      <vt:lpstr>'37.01 ĐP'!Print_Titles</vt:lpstr>
      <vt:lpstr>'37.02 TW'!Print_Titles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cp:lastPrinted>2026-03-26T01:01:53Z</cp:lastPrinted>
  <dcterms:created xsi:type="dcterms:W3CDTF">2025-06-05T01:58:00Z</dcterms:created>
  <dcterms:modified xsi:type="dcterms:W3CDTF">2026-03-26T01:03:28Z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C5CF16505AA24A86BE196F5B8C43923A_12</vt:lpwstr>
  </property>
  <property fmtid="{D5CDD505-2E9C-101B-9397-08002B2CF9AE}" pid="3" name="KSOProductBuildVer">
    <vt:lpwstr>1033-12.2.0.22549</vt:lpwstr>
  </property>
</Properties>
</file>