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QUANG SON\HDND\NQ HĐND\"/>
    </mc:Choice>
  </mc:AlternateContent>
  <xr:revisionPtr revIDLastSave="0" documentId="13_ncr:1_{A53DB933-8A40-4E94-BDBB-273820733B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mục giảm" sheetId="1" r:id="rId1"/>
    <sheet name="danh mục bổ sung" sheetId="3" r:id="rId2"/>
    <sheet name="danh mục tăng" sheetId="2" r:id="rId3"/>
    <sheet name="biểu tổng hợp" sheetId="4" r:id="rId4"/>
  </sheets>
  <definedNames>
    <definedName name="_xlnm.Print_Area" localSheetId="3">'biểu tổng hợp'!$A$1:$U$44</definedName>
    <definedName name="_xlnm.Print_Area" localSheetId="0">'danh mục giảm'!$A$1:$P$37</definedName>
    <definedName name="_xlnm.Print_Area" localSheetId="2">'danh mục tăng'!$A$1:$S$15</definedName>
    <definedName name="_xlnm.Print_Titles" localSheetId="3">'biểu tổng hợp'!$4:$6</definedName>
    <definedName name="_xlnm.Print_Titles" localSheetId="0">'danh mục giảm'!$4:$6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4" i="4" l="1"/>
  <c r="R44" i="4"/>
  <c r="Q44" i="4"/>
  <c r="P44" i="4"/>
  <c r="I44" i="4"/>
  <c r="D44" i="4"/>
  <c r="S43" i="4"/>
  <c r="R43" i="4"/>
  <c r="Q43" i="4"/>
  <c r="P43" i="4"/>
  <c r="O43" i="4" s="1"/>
  <c r="I43" i="4"/>
  <c r="D43" i="4"/>
  <c r="S42" i="4"/>
  <c r="R42" i="4"/>
  <c r="Q42" i="4"/>
  <c r="P42" i="4"/>
  <c r="O42" i="4" s="1"/>
  <c r="I42" i="4"/>
  <c r="D42" i="4"/>
  <c r="S41" i="4"/>
  <c r="R41" i="4"/>
  <c r="Q41" i="4"/>
  <c r="P41" i="4"/>
  <c r="O41" i="4" s="1"/>
  <c r="I41" i="4"/>
  <c r="D41" i="4"/>
  <c r="S40" i="4"/>
  <c r="R40" i="4"/>
  <c r="O40" i="4" s="1"/>
  <c r="Q40" i="4"/>
  <c r="P40" i="4"/>
  <c r="I40" i="4"/>
  <c r="D40" i="4"/>
  <c r="S39" i="4"/>
  <c r="R39" i="4"/>
  <c r="Q39" i="4"/>
  <c r="P39" i="4"/>
  <c r="I39" i="4"/>
  <c r="D39" i="4"/>
  <c r="S38" i="4"/>
  <c r="R38" i="4"/>
  <c r="Q38" i="4"/>
  <c r="P38" i="4"/>
  <c r="O38" i="4" s="1"/>
  <c r="I38" i="4"/>
  <c r="D38" i="4"/>
  <c r="S37" i="4"/>
  <c r="R37" i="4"/>
  <c r="Q37" i="4"/>
  <c r="P37" i="4"/>
  <c r="O37" i="4" s="1"/>
  <c r="I37" i="4"/>
  <c r="D37" i="4"/>
  <c r="S36" i="4"/>
  <c r="R36" i="4"/>
  <c r="Q36" i="4"/>
  <c r="P36" i="4"/>
  <c r="I36" i="4"/>
  <c r="D36" i="4"/>
  <c r="S35" i="4"/>
  <c r="R35" i="4"/>
  <c r="Q35" i="4"/>
  <c r="O35" i="4" s="1"/>
  <c r="P35" i="4"/>
  <c r="I35" i="4"/>
  <c r="D35" i="4"/>
  <c r="S34" i="4"/>
  <c r="R34" i="4"/>
  <c r="Q34" i="4"/>
  <c r="P34" i="4"/>
  <c r="O34" i="4" s="1"/>
  <c r="I34" i="4"/>
  <c r="D34" i="4"/>
  <c r="S33" i="4"/>
  <c r="R33" i="4"/>
  <c r="Q33" i="4"/>
  <c r="P33" i="4"/>
  <c r="O33" i="4"/>
  <c r="I33" i="4"/>
  <c r="D33" i="4"/>
  <c r="M32" i="4"/>
  <c r="L32" i="4"/>
  <c r="K32" i="4"/>
  <c r="J32" i="4"/>
  <c r="H32" i="4"/>
  <c r="G32" i="4"/>
  <c r="F32" i="4"/>
  <c r="F29" i="4" s="1"/>
  <c r="E32" i="4"/>
  <c r="R31" i="4"/>
  <c r="R30" i="4" s="1"/>
  <c r="Q31" i="4"/>
  <c r="P31" i="4"/>
  <c r="M31" i="4"/>
  <c r="S31" i="4" s="1"/>
  <c r="S30" i="4" s="1"/>
  <c r="D31" i="4"/>
  <c r="D30" i="4" s="1"/>
  <c r="Q30" i="4"/>
  <c r="P30" i="4"/>
  <c r="L30" i="4"/>
  <c r="L29" i="4" s="1"/>
  <c r="K30" i="4"/>
  <c r="J30" i="4"/>
  <c r="I30" i="4"/>
  <c r="H30" i="4"/>
  <c r="G30" i="4"/>
  <c r="G29" i="4" s="1"/>
  <c r="F30" i="4"/>
  <c r="E30" i="4"/>
  <c r="H29" i="4"/>
  <c r="S28" i="4"/>
  <c r="R28" i="4"/>
  <c r="Q28" i="4"/>
  <c r="P28" i="4"/>
  <c r="O28" i="4"/>
  <c r="I28" i="4"/>
  <c r="D28" i="4"/>
  <c r="S27" i="4"/>
  <c r="R27" i="4"/>
  <c r="Q27" i="4"/>
  <c r="P27" i="4"/>
  <c r="O27" i="4"/>
  <c r="I27" i="4"/>
  <c r="D27" i="4"/>
  <c r="S26" i="4"/>
  <c r="R26" i="4"/>
  <c r="Q26" i="4"/>
  <c r="P26" i="4"/>
  <c r="I26" i="4"/>
  <c r="D26" i="4"/>
  <c r="S25" i="4"/>
  <c r="R25" i="4"/>
  <c r="Q25" i="4"/>
  <c r="P25" i="4"/>
  <c r="I25" i="4"/>
  <c r="D25" i="4"/>
  <c r="S24" i="4"/>
  <c r="R24" i="4"/>
  <c r="Q24" i="4"/>
  <c r="P24" i="4"/>
  <c r="O24" i="4" s="1"/>
  <c r="I24" i="4"/>
  <c r="D24" i="4"/>
  <c r="S23" i="4"/>
  <c r="R23" i="4"/>
  <c r="Q23" i="4"/>
  <c r="P23" i="4"/>
  <c r="I23" i="4"/>
  <c r="D23" i="4"/>
  <c r="S22" i="4"/>
  <c r="R22" i="4"/>
  <c r="Q22" i="4"/>
  <c r="P22" i="4"/>
  <c r="I22" i="4"/>
  <c r="D22" i="4"/>
  <c r="S21" i="4"/>
  <c r="R21" i="4"/>
  <c r="Q21" i="4"/>
  <c r="P21" i="4"/>
  <c r="I21" i="4"/>
  <c r="D21" i="4"/>
  <c r="S20" i="4"/>
  <c r="R20" i="4"/>
  <c r="Q20" i="4"/>
  <c r="P20" i="4"/>
  <c r="O20" i="4"/>
  <c r="I20" i="4"/>
  <c r="D20" i="4"/>
  <c r="S19" i="4"/>
  <c r="R19" i="4"/>
  <c r="Q19" i="4"/>
  <c r="P19" i="4"/>
  <c r="O19" i="4"/>
  <c r="I19" i="4"/>
  <c r="I18" i="4" s="1"/>
  <c r="D19" i="4"/>
  <c r="D18" i="4" s="1"/>
  <c r="M18" i="4"/>
  <c r="L18" i="4"/>
  <c r="L16" i="4" s="1"/>
  <c r="L13" i="4" s="1"/>
  <c r="L12" i="4" s="1"/>
  <c r="K18" i="4"/>
  <c r="J18" i="4"/>
  <c r="J16" i="4" s="1"/>
  <c r="I16" i="4" s="1"/>
  <c r="I13" i="4" s="1"/>
  <c r="I12" i="4" s="1"/>
  <c r="I11" i="4" s="1"/>
  <c r="H18" i="4"/>
  <c r="G18" i="4"/>
  <c r="F18" i="4"/>
  <c r="E18" i="4"/>
  <c r="S17" i="4"/>
  <c r="R17" i="4"/>
  <c r="Q17" i="4"/>
  <c r="O17" i="4" s="1"/>
  <c r="D17" i="4"/>
  <c r="S16" i="4"/>
  <c r="Q16" i="4"/>
  <c r="O16" i="4" s="1"/>
  <c r="D16" i="4"/>
  <c r="S15" i="4"/>
  <c r="R15" i="4"/>
  <c r="Q15" i="4"/>
  <c r="P15" i="4"/>
  <c r="I15" i="4"/>
  <c r="D15" i="4"/>
  <c r="S14" i="4"/>
  <c r="R14" i="4"/>
  <c r="Q14" i="4"/>
  <c r="P14" i="4"/>
  <c r="I14" i="4"/>
  <c r="D14" i="4"/>
  <c r="D13" i="4" s="1"/>
  <c r="D12" i="4" s="1"/>
  <c r="P13" i="4"/>
  <c r="M13" i="4"/>
  <c r="K13" i="4"/>
  <c r="H13" i="4"/>
  <c r="G13" i="4"/>
  <c r="F13" i="4"/>
  <c r="E13" i="4"/>
  <c r="K12" i="4"/>
  <c r="F12" i="4"/>
  <c r="F11" i="4" s="1"/>
  <c r="S10" i="4"/>
  <c r="R10" i="4"/>
  <c r="R9" i="4" s="1"/>
  <c r="R8" i="4" s="1"/>
  <c r="Q10" i="4"/>
  <c r="Q9" i="4" s="1"/>
  <c r="Q8" i="4" s="1"/>
  <c r="P10" i="4"/>
  <c r="P9" i="4" s="1"/>
  <c r="P8" i="4" s="1"/>
  <c r="I10" i="4"/>
  <c r="I9" i="4" s="1"/>
  <c r="I8" i="4" s="1"/>
  <c r="D10" i="4"/>
  <c r="D9" i="4" s="1"/>
  <c r="D8" i="4" s="1"/>
  <c r="T9" i="4"/>
  <c r="T8" i="4" s="1"/>
  <c r="T7" i="4" s="1"/>
  <c r="S9" i="4"/>
  <c r="S8" i="4" s="1"/>
  <c r="N9" i="4"/>
  <c r="M9" i="4"/>
  <c r="M8" i="4" s="1"/>
  <c r="L9" i="4"/>
  <c r="L8" i="4" s="1"/>
  <c r="K9" i="4"/>
  <c r="K8" i="4" s="1"/>
  <c r="J9" i="4"/>
  <c r="J8" i="4" s="1"/>
  <c r="H9" i="4"/>
  <c r="H8" i="4" s="1"/>
  <c r="G9" i="4"/>
  <c r="F9" i="4"/>
  <c r="E9" i="4"/>
  <c r="E8" i="4" s="1"/>
  <c r="N8" i="4"/>
  <c r="N7" i="4" s="1"/>
  <c r="G8" i="4"/>
  <c r="F8" i="4"/>
  <c r="L11" i="2"/>
  <c r="J11" i="2"/>
  <c r="D29" i="4" l="1"/>
  <c r="D11" i="4" s="1"/>
  <c r="D7" i="4" s="1"/>
  <c r="R32" i="4"/>
  <c r="S32" i="4"/>
  <c r="S29" i="4" s="1"/>
  <c r="P32" i="4"/>
  <c r="P29" i="4" s="1"/>
  <c r="M7" i="4"/>
  <c r="O14" i="4"/>
  <c r="O13" i="4" s="1"/>
  <c r="O15" i="4"/>
  <c r="Q32" i="4"/>
  <c r="P18" i="4"/>
  <c r="P12" i="4" s="1"/>
  <c r="P11" i="4" s="1"/>
  <c r="P7" i="4" s="1"/>
  <c r="E7" i="4"/>
  <c r="L11" i="4"/>
  <c r="L7" i="4" s="1"/>
  <c r="O23" i="4"/>
  <c r="H12" i="4"/>
  <c r="H11" i="4" s="1"/>
  <c r="H7" i="4" s="1"/>
  <c r="R13" i="4"/>
  <c r="R12" i="4" s="1"/>
  <c r="M12" i="4"/>
  <c r="M11" i="4" s="1"/>
  <c r="I32" i="4"/>
  <c r="E29" i="4"/>
  <c r="O39" i="4"/>
  <c r="Q18" i="4"/>
  <c r="G12" i="4"/>
  <c r="G11" i="4" s="1"/>
  <c r="G7" i="4" s="1"/>
  <c r="Q13" i="4"/>
  <c r="Q12" i="4" s="1"/>
  <c r="S18" i="4"/>
  <c r="S12" i="4" s="1"/>
  <c r="S11" i="4" s="1"/>
  <c r="S7" i="4" s="1"/>
  <c r="O22" i="4"/>
  <c r="S13" i="4"/>
  <c r="E12" i="4"/>
  <c r="E11" i="4" s="1"/>
  <c r="O21" i="4"/>
  <c r="O18" i="4" s="1"/>
  <c r="O12" i="4" s="1"/>
  <c r="R18" i="4"/>
  <c r="O25" i="4"/>
  <c r="O26" i="4"/>
  <c r="K29" i="4"/>
  <c r="K11" i="4" s="1"/>
  <c r="K7" i="4" s="1"/>
  <c r="D32" i="4"/>
  <c r="O36" i="4"/>
  <c r="O44" i="4"/>
  <c r="R29" i="4"/>
  <c r="J7" i="4"/>
  <c r="F7" i="4"/>
  <c r="I7" i="4"/>
  <c r="Q29" i="4"/>
  <c r="Q11" i="4" s="1"/>
  <c r="Q7" i="4" s="1"/>
  <c r="O32" i="4"/>
  <c r="M30" i="4"/>
  <c r="O31" i="4"/>
  <c r="O30" i="4" s="1"/>
  <c r="J13" i="4"/>
  <c r="J12" i="4" s="1"/>
  <c r="J11" i="4" s="1"/>
  <c r="O10" i="4"/>
  <c r="O9" i="4" s="1"/>
  <c r="O8" i="4" s="1"/>
  <c r="R11" i="4" l="1"/>
  <c r="R7" i="4" s="1"/>
  <c r="O29" i="4"/>
  <c r="O11" i="4" s="1"/>
  <c r="O7" i="4" s="1"/>
  <c r="Q9" i="2" l="1"/>
  <c r="K13" i="2"/>
  <c r="D13" i="2"/>
  <c r="O18" i="1"/>
  <c r="N18" i="1"/>
  <c r="M18" i="1"/>
  <c r="H18" i="1"/>
  <c r="D18" i="1"/>
  <c r="O17" i="1"/>
  <c r="N17" i="1"/>
  <c r="M17" i="1"/>
  <c r="H17" i="1"/>
  <c r="D17" i="1"/>
  <c r="O16" i="1"/>
  <c r="N16" i="1"/>
  <c r="M16" i="1"/>
  <c r="H16" i="1"/>
  <c r="D16" i="1"/>
  <c r="O15" i="1"/>
  <c r="N15" i="1"/>
  <c r="M15" i="1"/>
  <c r="H15" i="1"/>
  <c r="D15" i="1"/>
  <c r="O37" i="1"/>
  <c r="N37" i="1"/>
  <c r="M37" i="1"/>
  <c r="H37" i="1"/>
  <c r="D37" i="1"/>
  <c r="O36" i="1"/>
  <c r="N36" i="1"/>
  <c r="M36" i="1"/>
  <c r="H36" i="1"/>
  <c r="D36" i="1"/>
  <c r="O35" i="1"/>
  <c r="N35" i="1"/>
  <c r="M35" i="1"/>
  <c r="H35" i="1"/>
  <c r="D35" i="1"/>
  <c r="O34" i="1"/>
  <c r="N34" i="1"/>
  <c r="M34" i="1"/>
  <c r="H34" i="1"/>
  <c r="D34" i="1"/>
  <c r="O33" i="1"/>
  <c r="N33" i="1"/>
  <c r="M33" i="1"/>
  <c r="H33" i="1"/>
  <c r="D33" i="1"/>
  <c r="O32" i="1"/>
  <c r="N32" i="1"/>
  <c r="M32" i="1"/>
  <c r="H32" i="1"/>
  <c r="D32" i="1"/>
  <c r="O31" i="1"/>
  <c r="N31" i="1"/>
  <c r="M31" i="1"/>
  <c r="H31" i="1"/>
  <c r="D31" i="1"/>
  <c r="O30" i="1"/>
  <c r="N30" i="1"/>
  <c r="M30" i="1"/>
  <c r="H30" i="1"/>
  <c r="D30" i="1"/>
  <c r="O29" i="1"/>
  <c r="N29" i="1"/>
  <c r="M29" i="1"/>
  <c r="H29" i="1"/>
  <c r="D29" i="1"/>
  <c r="O28" i="1"/>
  <c r="N28" i="1"/>
  <c r="M28" i="1"/>
  <c r="H28" i="1"/>
  <c r="D28" i="1"/>
  <c r="O27" i="1"/>
  <c r="N27" i="1"/>
  <c r="M27" i="1"/>
  <c r="H27" i="1"/>
  <c r="D27" i="1"/>
  <c r="O26" i="1"/>
  <c r="N26" i="1"/>
  <c r="M26" i="1"/>
  <c r="H26" i="1"/>
  <c r="D26" i="1"/>
  <c r="K25" i="1"/>
  <c r="K24" i="1" s="1"/>
  <c r="J25" i="1"/>
  <c r="J24" i="1" s="1"/>
  <c r="I25" i="1"/>
  <c r="I24" i="1" s="1"/>
  <c r="G25" i="1"/>
  <c r="G24" i="1" s="1"/>
  <c r="F25" i="1"/>
  <c r="F24" i="1" s="1"/>
  <c r="E25" i="1"/>
  <c r="E24" i="1" s="1"/>
  <c r="O23" i="1"/>
  <c r="N23" i="1"/>
  <c r="M23" i="1"/>
  <c r="H23" i="1"/>
  <c r="D23" i="1"/>
  <c r="O22" i="1"/>
  <c r="N22" i="1"/>
  <c r="M22" i="1"/>
  <c r="H22" i="1"/>
  <c r="D22" i="1"/>
  <c r="O21" i="1"/>
  <c r="N21" i="1"/>
  <c r="M21" i="1"/>
  <c r="H21" i="1"/>
  <c r="D21" i="1"/>
  <c r="O20" i="1"/>
  <c r="N20" i="1"/>
  <c r="M20" i="1"/>
  <c r="H20" i="1"/>
  <c r="D20" i="1"/>
  <c r="O19" i="1"/>
  <c r="N19" i="1"/>
  <c r="M19" i="1"/>
  <c r="H19" i="1"/>
  <c r="D19" i="1"/>
  <c r="O14" i="1"/>
  <c r="N14" i="1"/>
  <c r="M14" i="1"/>
  <c r="H14" i="1"/>
  <c r="D14" i="1"/>
  <c r="K13" i="1"/>
  <c r="J13" i="1"/>
  <c r="I13" i="1"/>
  <c r="G13" i="1"/>
  <c r="F13" i="1"/>
  <c r="E13" i="1"/>
  <c r="I10" i="1"/>
  <c r="Q12" i="1"/>
  <c r="O12" i="1"/>
  <c r="N12" i="1"/>
  <c r="M12" i="1"/>
  <c r="H12" i="1"/>
  <c r="D12" i="1"/>
  <c r="O11" i="1"/>
  <c r="N11" i="1"/>
  <c r="M11" i="1"/>
  <c r="H11" i="1"/>
  <c r="D11" i="1"/>
  <c r="K10" i="1"/>
  <c r="J10" i="1"/>
  <c r="G10" i="1"/>
  <c r="F10" i="1"/>
  <c r="E10" i="1"/>
  <c r="I8" i="3"/>
  <c r="I9" i="3" s="1"/>
  <c r="D9" i="3"/>
  <c r="D8" i="3" s="1"/>
  <c r="N8" i="3"/>
  <c r="N7" i="3" s="1"/>
  <c r="H8" i="3"/>
  <c r="G8" i="3"/>
  <c r="F8" i="3"/>
  <c r="E8" i="3"/>
  <c r="Q15" i="2"/>
  <c r="Q14" i="2" s="1"/>
  <c r="Q13" i="2" s="1"/>
  <c r="P15" i="2"/>
  <c r="P14" i="2" s="1"/>
  <c r="P13" i="2" s="1"/>
  <c r="O15" i="2"/>
  <c r="O14" i="2" s="1"/>
  <c r="O13" i="2" s="1"/>
  <c r="M15" i="2"/>
  <c r="R15" i="2" s="1"/>
  <c r="R14" i="2" s="1"/>
  <c r="R13" i="2" s="1"/>
  <c r="D15" i="2"/>
  <c r="D14" i="2" s="1"/>
  <c r="L14" i="2"/>
  <c r="L13" i="2" s="1"/>
  <c r="K14" i="2"/>
  <c r="J14" i="2"/>
  <c r="J13" i="2" s="1"/>
  <c r="I14" i="2"/>
  <c r="I13" i="2" s="1"/>
  <c r="H14" i="2"/>
  <c r="H13" i="2" s="1"/>
  <c r="G14" i="2"/>
  <c r="G13" i="2" s="1"/>
  <c r="F14" i="2"/>
  <c r="F13" i="2" s="1"/>
  <c r="E14" i="2"/>
  <c r="E13" i="2" s="1"/>
  <c r="J10" i="2"/>
  <c r="J9" i="2" s="1"/>
  <c r="R12" i="2"/>
  <c r="Q12" i="2"/>
  <c r="Q10" i="2" s="1"/>
  <c r="P12" i="2"/>
  <c r="D12" i="2"/>
  <c r="R11" i="2"/>
  <c r="P11" i="2"/>
  <c r="D11" i="2"/>
  <c r="T11" i="2"/>
  <c r="O10" i="2"/>
  <c r="O9" i="2" s="1"/>
  <c r="M10" i="2"/>
  <c r="M9" i="2" s="1"/>
  <c r="K10" i="2"/>
  <c r="K9" i="2" s="1"/>
  <c r="H10" i="2"/>
  <c r="H9" i="2" s="1"/>
  <c r="G10" i="2"/>
  <c r="G9" i="2" s="1"/>
  <c r="F10" i="2"/>
  <c r="F9" i="2" s="1"/>
  <c r="E10" i="2"/>
  <c r="E9" i="2" s="1"/>
  <c r="L17" i="1" l="1"/>
  <c r="J8" i="2"/>
  <c r="J7" i="2" s="1"/>
  <c r="E8" i="2"/>
  <c r="E7" i="2" s="1"/>
  <c r="N12" i="2"/>
  <c r="R10" i="2"/>
  <c r="R9" i="2" s="1"/>
  <c r="H8" i="2"/>
  <c r="H7" i="2" s="1"/>
  <c r="N11" i="2"/>
  <c r="D10" i="2"/>
  <c r="D9" i="2" s="1"/>
  <c r="G8" i="2"/>
  <c r="G7" i="2" s="1"/>
  <c r="L16" i="1"/>
  <c r="L18" i="1"/>
  <c r="L15" i="1"/>
  <c r="E9" i="1"/>
  <c r="E8" i="1" s="1"/>
  <c r="E7" i="1" s="1"/>
  <c r="K9" i="1"/>
  <c r="K8" i="1" s="1"/>
  <c r="K7" i="1" s="1"/>
  <c r="D10" i="1"/>
  <c r="F9" i="1"/>
  <c r="L30" i="1"/>
  <c r="L11" i="1"/>
  <c r="H25" i="1"/>
  <c r="H24" i="1" s="1"/>
  <c r="L27" i="1"/>
  <c r="L31" i="1"/>
  <c r="L36" i="1"/>
  <c r="L23" i="1"/>
  <c r="L26" i="1"/>
  <c r="H13" i="1"/>
  <c r="N25" i="1"/>
  <c r="N24" i="1" s="1"/>
  <c r="H10" i="1"/>
  <c r="M10" i="1"/>
  <c r="L34" i="1"/>
  <c r="L35" i="1"/>
  <c r="G9" i="1"/>
  <c r="L12" i="1"/>
  <c r="N13" i="1"/>
  <c r="J9" i="1"/>
  <c r="O10" i="1"/>
  <c r="I9" i="1"/>
  <c r="I8" i="1" s="1"/>
  <c r="I7" i="1" s="1"/>
  <c r="L21" i="1"/>
  <c r="O25" i="1"/>
  <c r="O24" i="1" s="1"/>
  <c r="L20" i="1"/>
  <c r="L29" i="1"/>
  <c r="L33" i="1"/>
  <c r="M13" i="1"/>
  <c r="O13" i="1"/>
  <c r="L22" i="1"/>
  <c r="D13" i="1"/>
  <c r="L19" i="1"/>
  <c r="D25" i="1"/>
  <c r="D24" i="1" s="1"/>
  <c r="L28" i="1"/>
  <c r="L32" i="1"/>
  <c r="L37" i="1"/>
  <c r="L14" i="1"/>
  <c r="N10" i="1"/>
  <c r="M25" i="1"/>
  <c r="M24" i="1" s="1"/>
  <c r="L10" i="2"/>
  <c r="L9" i="2" s="1"/>
  <c r="P10" i="2"/>
  <c r="P9" i="2" s="1"/>
  <c r="M14" i="2"/>
  <c r="M13" i="2" s="1"/>
  <c r="M8" i="2" s="1"/>
  <c r="M7" i="2" s="1"/>
  <c r="N15" i="2"/>
  <c r="N14" i="2" s="1"/>
  <c r="N13" i="2" s="1"/>
  <c r="N10" i="2" l="1"/>
  <c r="N9" i="2" s="1"/>
  <c r="I11" i="2"/>
  <c r="I10" i="2" s="1"/>
  <c r="I9" i="2" s="1"/>
  <c r="I8" i="2" s="1"/>
  <c r="I7" i="2" s="1"/>
  <c r="F8" i="2"/>
  <c r="F7" i="2" s="1"/>
  <c r="L8" i="2"/>
  <c r="L7" i="2" s="1"/>
  <c r="K8" i="2"/>
  <c r="K7" i="2" s="1"/>
  <c r="O8" i="2"/>
  <c r="O7" i="2" s="1"/>
  <c r="P8" i="2"/>
  <c r="P7" i="2" s="1"/>
  <c r="D8" i="2"/>
  <c r="D7" i="2" s="1"/>
  <c r="Q8" i="2"/>
  <c r="Q7" i="2" s="1"/>
  <c r="R8" i="2"/>
  <c r="R7" i="2" s="1"/>
  <c r="D9" i="1"/>
  <c r="F8" i="1"/>
  <c r="F7" i="1" s="1"/>
  <c r="L10" i="1"/>
  <c r="H9" i="1"/>
  <c r="H8" i="1" s="1"/>
  <c r="H7" i="1" s="1"/>
  <c r="O9" i="1"/>
  <c r="O8" i="1" s="1"/>
  <c r="O7" i="1" s="1"/>
  <c r="L13" i="1"/>
  <c r="G8" i="1"/>
  <c r="G7" i="1" s="1"/>
  <c r="L25" i="1"/>
  <c r="L24" i="1" s="1"/>
  <c r="M9" i="1"/>
  <c r="M8" i="1" s="1"/>
  <c r="M7" i="1" s="1"/>
  <c r="D8" i="1"/>
  <c r="D7" i="1" s="1"/>
  <c r="J8" i="1"/>
  <c r="J7" i="1" s="1"/>
  <c r="N9" i="1"/>
  <c r="N8" i="1" s="1"/>
  <c r="N7" i="1" s="1"/>
  <c r="N8" i="2" l="1"/>
  <c r="N7" i="2" s="1"/>
  <c r="L9" i="1"/>
  <c r="L8" i="1" s="1"/>
  <c r="L7" i="1" s="1"/>
</calcChain>
</file>

<file path=xl/sharedStrings.xml><?xml version="1.0" encoding="utf-8"?>
<sst xmlns="http://schemas.openxmlformats.org/spreadsheetml/2006/main" count="270" uniqueCount="75">
  <si>
    <t>STT</t>
  </si>
  <si>
    <t>Tên dự án</t>
  </si>
  <si>
    <t>Ghi chú</t>
  </si>
  <si>
    <t>Tổng số</t>
  </si>
  <si>
    <t>Trong đó</t>
  </si>
  <si>
    <t>Xây dựng nhà văn hóa xóm Làng Mới, xã Tân Long</t>
  </si>
  <si>
    <t>A</t>
  </si>
  <si>
    <t>B</t>
  </si>
  <si>
    <t>Ngân
sách
trung
ương</t>
  </si>
  <si>
    <t>Điều chỉnh tăng, giảm (-)</t>
  </si>
  <si>
    <t>NS 
tỉnh
phân
cấp</t>
  </si>
  <si>
    <t>Thời gian khởi công hoàn thành</t>
  </si>
  <si>
    <t>I</t>
  </si>
  <si>
    <t>Ngân
sách
xã</t>
  </si>
  <si>
    <t>VỐN CHƯƠNG TRÌNH MỤC TIÊU QUỐC GIA</t>
  </si>
  <si>
    <t>Vốn đầu tư chương trình MTQG xây dựng nông thôn mới</t>
  </si>
  <si>
    <t>Nâng cấp sân trung tâm văn hóa thể thao xã Tân Long giai đoạn 2; Hạng mục: Mặt sân, đèn chiếu sáng, rãnh tiêu, thoát nước</t>
  </si>
  <si>
    <t>Xây dựng tường rào, kè chắn đất UBND xã Tân Long</t>
  </si>
  <si>
    <t>Xây dựng kè đá đoạn cổng trường Tiểu học Sa Lung, xã Tân Long</t>
  </si>
  <si>
    <t>Sửa chữa kênh mương xóm Đồng Luông xã Tân Long</t>
  </si>
  <si>
    <t>Xây dựng nhà văn hóa xóm Làng Giếng xã Tân Long</t>
  </si>
  <si>
    <t>Cải tạo, nâng cấp kênh mương Đồng Sim, xóm Ba Đình, xã Tân Long</t>
  </si>
  <si>
    <t>Cải tạo, nâng cấp kênh mương Min xóm Làng Mới, xã Tân Long</t>
  </si>
  <si>
    <t>Vốn đầu tư chương trình MTQG phát triển KTXH vùng đồng bào dân tộc thiểu số và miền núi</t>
  </si>
  <si>
    <t>Xây dựng cổng, sân, tường rào và các công trình phụ trợ khác nhà văn hóa xóm Ba Đình xã Tân Long</t>
  </si>
  <si>
    <t>Xây dựng cổng, sân, tường rào và các công trình phụ trợ khác nhà văn hóa xóm Hồng Phong xã Tân Long</t>
  </si>
  <si>
    <t>Xây dựng cổng, sân, tường rào và các công trình phụ trợ khác nhà văn hóa xóm Mỏ Ba xã Tân Long</t>
  </si>
  <si>
    <t>Xây dựng cổng, sân, tường rào và các công trình phụ trợ khác nhà văn hóa xóm Đồng Mẫu xã Tân Long</t>
  </si>
  <si>
    <t>Xây dựng cổng, sân, tường rào và các công trình phụ trợ khác nhà văn hóa xóm Làng Giếng  xã Tân Long</t>
  </si>
  <si>
    <t>Xây dựng cổng, sân, tường rào và các công trình phụ trợ khác nhà văn hóa xóm Đồng Mây xã Tân Long</t>
  </si>
  <si>
    <t>Xây dựng cổng, sân, tường rào và các công trình phụ trợ khác nhà văn hóa xóm Đồng Luông  xã Tân Long</t>
  </si>
  <si>
    <t>Xây dựng tường rào, sân, rãnh thoát nước và các công trình phụ trợ khác nhà văn hóa xóm Lân Quan  xã Tân Long</t>
  </si>
  <si>
    <t>Xây dựng tường rào trường Tiểu học Sa Lung khu trung tâm xã Tân Long</t>
  </si>
  <si>
    <t>Cải tạo sửa chữa bếp ăn bán trú và mở rộng sân điểm trường Mầm non Lân Đăm, xã Quang Sơn</t>
  </si>
  <si>
    <t>Nâng cấp, cải tạo đường bê tông xóm Lân Đăm, xã Quang Sơn (giai đoạn 3)</t>
  </si>
  <si>
    <t>Xây dựng nhà văn hóa xóm Lân Đăm xã Quang Sơn</t>
  </si>
  <si>
    <t>2024-2025</t>
  </si>
  <si>
    <t>2023-2025</t>
  </si>
  <si>
    <t>Kế hoạch đầu tư công năm 2025</t>
  </si>
  <si>
    <t>II</t>
  </si>
  <si>
    <t>2025-2025</t>
  </si>
  <si>
    <t>*</t>
  </si>
  <si>
    <t>Dự án đã hoàn thành</t>
  </si>
  <si>
    <t>VỐN TÀI TRỢ</t>
  </si>
  <si>
    <t>Xây dựng trường mầm non Quang Sơn. Hạng mục: Nhà lớp học và các công trình phụ trợ</t>
  </si>
  <si>
    <t>2025-2026</t>
  </si>
  <si>
    <t>Cải tạo, mở rộng đường bê tông xóm Làng Mới, xã Quang Sơn</t>
  </si>
  <si>
    <t>Xây dựng đường bê tông xóm Làng Mới, xã Quang Sơn</t>
  </si>
  <si>
    <t>Cải tạo, sửa chữa nền nhà lớp học 2 tầng 8 phòng học và xây mới nhà đa năng trường THCS Quang Sơn</t>
  </si>
  <si>
    <t>Cải tạo, sửa chữa sân và công trình phụ trợ Trạm y tế xã Quang Sơn</t>
  </si>
  <si>
    <t>Xây dựng mương thoát nước thải sinh hoạt xóm Trung Sơn, xã Quang Sơn</t>
  </si>
  <si>
    <t xml:space="preserve">Đường bê tông xóm Ba Đình, Làng Mới xã Tân Long </t>
  </si>
  <si>
    <t>Dự án khởi công mới</t>
  </si>
  <si>
    <t>Cải tạo sửa chữa nhà 2 tầng 8 phòng trường tiểu học Sa Lung, xã Tân Long</t>
  </si>
  <si>
    <t>Ngân
 sách
 tỉnh hỗ
 trợ thực
 hiện
 chương
 trình
 MTQG</t>
  </si>
  <si>
    <t>TỔNG CỘNG</t>
  </si>
  <si>
    <t>Kế hoạch đầu tư công năm 2025 
sau điều chỉnh, bổ sung</t>
  </si>
  <si>
    <t>ĐVT: triệu đồng</t>
  </si>
  <si>
    <t>Bổ sung nguồn vốn Tập đoàn công nghiệp TKS Việt Nam tài trợ</t>
  </si>
  <si>
    <t>Nguồn vốn Tập đoàn công nghiệp TKS Việt Nam tài trợ</t>
  </si>
  <si>
    <t>PHỤ LỤC</t>
  </si>
  <si>
    <t>(Theo Nghị quyết  số:        /NQ-HĐND ngày   19  tháng 9 năm 2025 của HĐND xã Quang Sơn)</t>
  </si>
  <si>
    <t>Kế hoạch đầu tư công năm 2025 
(bổ sung)</t>
  </si>
  <si>
    <t>Điều chỉnh tăng</t>
  </si>
  <si>
    <t>Điều chỉnh giảm (-)</t>
  </si>
  <si>
    <t>Giảm do không thực hiện</t>
  </si>
  <si>
    <t>Giảm do đã đảm bảo đủ vốn</t>
  </si>
  <si>
    <t xml:space="preserve">Vốn tài trợ </t>
  </si>
  <si>
    <t>chưa phê duyệt QT</t>
  </si>
  <si>
    <t>Đã phê duyệt QT</t>
  </si>
  <si>
    <t>Chưa phê duyệt QT</t>
  </si>
  <si>
    <t>Ghi
 chú</t>
  </si>
  <si>
    <t>PHỤ LỤC
DANH MỤC CÁC DỰ ÁN ĐIỀU CHỈNH GIẢM KẾ HOẠCH VỐN</t>
  </si>
  <si>
    <t>PHỤ LỤC
DỰ ÁN BỔ SUNG KẾ HOẠCH VỐN</t>
  </si>
  <si>
    <t>PHỤ LỤC
DANH MỤC DỰ ÁN ĐIỀU CHỈNH TĂNG KẾ HOẠCH VỐN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</si>
</sst>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_(* #,##0.0_);_(* \(#,##0.0\);_(* &quot;-&quot;??_);_(@_)"/>
    <numFmt numFmtId="166" formatCode="_(* #,##0_);_(* \(#,##0\);_(* &quot;-&quot;??_);_(@_)"/>
    <numFmt numFmtId="167" formatCode="#,##0.0"/>
    <numFmt numFmtId="168" formatCode="#,##0.0_ ;\-#,##0.0\ "/>
    <numFmt numFmtId="169" formatCode="#,##0.000000_ ;\-#,##0.000000\ "/>
    <numFmt numFmtId="170" formatCode="#,##0_ ;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2"/>
      <color rgb="FFFF0000"/>
      <name val="Times New Roman"/>
      <family val="1"/>
    </font>
    <font>
      <b/>
      <i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86">
    <xf numFmtId="0" fontId="0" fillId="0" borderId="0" xfId="0"/>
    <xf numFmtId="165" fontId="2" fillId="0" borderId="7" xfId="1" applyNumberFormat="1" applyFont="1" applyFill="1" applyBorder="1" applyAlignment="1">
      <alignment horizontal="center" vertical="center" wrapText="1"/>
    </xf>
    <xf numFmtId="165" fontId="2" fillId="0" borderId="6" xfId="1" applyNumberFormat="1" applyFont="1" applyFill="1" applyBorder="1" applyAlignment="1">
      <alignment horizontal="center" vertical="center" wrapText="1"/>
    </xf>
    <xf numFmtId="168" fontId="3" fillId="0" borderId="1" xfId="1" applyNumberFormat="1" applyFont="1" applyFill="1" applyBorder="1" applyAlignment="1">
      <alignment horizontal="right" vertical="center" wrapText="1"/>
    </xf>
    <xf numFmtId="166" fontId="3" fillId="0" borderId="2" xfId="1" applyNumberFormat="1" applyFont="1" applyFill="1" applyBorder="1" applyAlignment="1">
      <alignment horizontal="left" vertical="center" wrapText="1"/>
    </xf>
    <xf numFmtId="167" fontId="2" fillId="0" borderId="1" xfId="1" applyNumberFormat="1" applyFont="1" applyFill="1" applyBorder="1" applyAlignment="1">
      <alignment horizontal="right" vertical="center" wrapText="1"/>
    </xf>
    <xf numFmtId="168" fontId="2" fillId="0" borderId="1" xfId="1" applyNumberFormat="1" applyFont="1" applyFill="1" applyBorder="1" applyAlignment="1">
      <alignment horizontal="right" vertical="center" wrapText="1"/>
    </xf>
    <xf numFmtId="165" fontId="2" fillId="0" borderId="11" xfId="1" applyNumberFormat="1" applyFont="1" applyFill="1" applyBorder="1" applyAlignment="1">
      <alignment horizontal="center" vertical="center" wrapText="1"/>
    </xf>
    <xf numFmtId="170" fontId="3" fillId="0" borderId="1" xfId="1" applyNumberFormat="1" applyFont="1" applyFill="1" applyBorder="1" applyAlignment="1">
      <alignment horizontal="right" vertical="center" wrapText="1"/>
    </xf>
    <xf numFmtId="3" fontId="2" fillId="0" borderId="1" xfId="1" applyNumberFormat="1" applyFont="1" applyFill="1" applyBorder="1" applyAlignment="1">
      <alignment horizontal="right" vertical="center" wrapText="1"/>
    </xf>
    <xf numFmtId="3" fontId="3" fillId="0" borderId="1" xfId="1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vertical="center"/>
    </xf>
    <xf numFmtId="167" fontId="2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vertical="center"/>
    </xf>
    <xf numFmtId="168" fontId="5" fillId="0" borderId="1" xfId="1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2" applyFont="1" applyBorder="1" applyAlignment="1">
      <alignment horizontal="left" vertical="center" wrapText="1"/>
    </xf>
    <xf numFmtId="169" fontId="2" fillId="0" borderId="0" xfId="0" applyNumberFormat="1" applyFont="1" applyAlignment="1">
      <alignment vertical="center" wrapText="1"/>
    </xf>
    <xf numFmtId="0" fontId="3" fillId="0" borderId="2" xfId="2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168" fontId="6" fillId="3" borderId="1" xfId="1" applyNumberFormat="1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0" xfId="0" applyFont="1" applyFill="1" applyAlignment="1">
      <alignment vertical="center" wrapText="1"/>
    </xf>
    <xf numFmtId="169" fontId="6" fillId="3" borderId="0" xfId="0" applyNumberFormat="1" applyFont="1" applyFill="1" applyAlignment="1">
      <alignment vertical="center" wrapText="1"/>
    </xf>
    <xf numFmtId="0" fontId="3" fillId="3" borderId="2" xfId="2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2" fillId="3" borderId="7" xfId="1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65" fontId="2" fillId="3" borderId="11" xfId="1" applyNumberFormat="1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left" vertical="center" wrapText="1"/>
    </xf>
    <xf numFmtId="168" fontId="2" fillId="3" borderId="1" xfId="1" applyNumberFormat="1" applyFont="1" applyFill="1" applyBorder="1" applyAlignment="1">
      <alignment horizontal="right" vertical="center" wrapText="1"/>
    </xf>
    <xf numFmtId="0" fontId="2" fillId="3" borderId="2" xfId="2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68" fontId="3" fillId="3" borderId="1" xfId="1" applyNumberFormat="1" applyFont="1" applyFill="1" applyBorder="1" applyAlignment="1">
      <alignment horizontal="right" vertical="center" wrapText="1"/>
    </xf>
    <xf numFmtId="0" fontId="3" fillId="3" borderId="0" xfId="0" applyFont="1" applyFill="1" applyAlignment="1">
      <alignment vertical="center" wrapText="1"/>
    </xf>
    <xf numFmtId="0" fontId="3" fillId="3" borderId="1" xfId="0" applyFont="1" applyFill="1" applyBorder="1" applyAlignment="1">
      <alignment wrapText="1"/>
    </xf>
    <xf numFmtId="166" fontId="3" fillId="3" borderId="2" xfId="1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169" fontId="2" fillId="3" borderId="0" xfId="0" applyNumberFormat="1" applyFont="1" applyFill="1" applyAlignment="1">
      <alignment vertical="center" wrapText="1"/>
    </xf>
    <xf numFmtId="168" fontId="5" fillId="3" borderId="1" xfId="1" applyNumberFormat="1" applyFont="1" applyFill="1" applyBorder="1" applyAlignment="1">
      <alignment horizontal="right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6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top" wrapText="1"/>
    </xf>
    <xf numFmtId="0" fontId="3" fillId="3" borderId="13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 wrapText="1"/>
    </xf>
  </cellXfs>
  <cellStyles count="3">
    <cellStyle name="Comma" xfId="1" builtinId="3"/>
    <cellStyle name="Normal" xfId="0" builtinId="0"/>
    <cellStyle name="Normal 2 3 2" xfId="2" xr:uid="{00000000-0005-0000-0000-00000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tabSelected="1" view="pageBreakPreview" topLeftCell="A28" zoomScale="60" zoomScaleNormal="97" workbookViewId="0">
      <selection activeCell="X31" sqref="X31"/>
    </sheetView>
  </sheetViews>
  <sheetFormatPr defaultColWidth="9.109375" defaultRowHeight="15.6" x14ac:dyDescent="0.3"/>
  <cols>
    <col min="1" max="1" width="4.77734375" style="40" customWidth="1"/>
    <col min="2" max="2" width="34.21875" style="40" customWidth="1"/>
    <col min="3" max="3" width="7.44140625" style="40" customWidth="1"/>
    <col min="4" max="4" width="8.5546875" style="40" customWidth="1"/>
    <col min="5" max="5" width="8.44140625" style="40" customWidth="1"/>
    <col min="6" max="6" width="9" style="40" customWidth="1"/>
    <col min="7" max="7" width="6.44140625" style="40" bestFit="1" customWidth="1"/>
    <col min="8" max="8" width="10.33203125" style="40" bestFit="1" customWidth="1"/>
    <col min="9" max="9" width="8.21875" style="40" customWidth="1"/>
    <col min="10" max="10" width="9.33203125" style="40" bestFit="1" customWidth="1"/>
    <col min="11" max="11" width="8.109375" style="40" customWidth="1"/>
    <col min="12" max="12" width="9.109375" style="40" customWidth="1"/>
    <col min="13" max="13" width="9.5546875" style="40" customWidth="1"/>
    <col min="14" max="14" width="9.44140625" style="40" customWidth="1"/>
    <col min="15" max="15" width="10" style="40" customWidth="1"/>
    <col min="16" max="16" width="8" style="40" customWidth="1"/>
    <col min="17" max="18" width="9.109375" style="40"/>
    <col min="19" max="19" width="16.44140625" style="40" bestFit="1" customWidth="1"/>
    <col min="20" max="20" width="13.109375" style="40" bestFit="1" customWidth="1"/>
    <col min="21" max="16384" width="9.109375" style="40"/>
  </cols>
  <sheetData>
    <row r="1" spans="1:20" ht="31.8" customHeight="1" x14ac:dyDescent="0.3">
      <c r="A1" s="64" t="s">
        <v>72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</row>
    <row r="2" spans="1:20" x14ac:dyDescent="0.3">
      <c r="A2" s="66" t="s">
        <v>61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</row>
    <row r="3" spans="1:20" x14ac:dyDescent="0.3">
      <c r="E3" s="41"/>
      <c r="F3" s="41"/>
      <c r="G3" s="41"/>
      <c r="H3" s="41"/>
      <c r="I3" s="41"/>
      <c r="J3" s="41"/>
      <c r="K3" s="41"/>
      <c r="L3" s="67" t="s">
        <v>57</v>
      </c>
      <c r="M3" s="67"/>
      <c r="N3" s="67"/>
      <c r="O3" s="67"/>
      <c r="P3" s="67"/>
    </row>
    <row r="4" spans="1:20" s="42" customFormat="1" ht="33" customHeight="1" x14ac:dyDescent="0.3">
      <c r="A4" s="68" t="s">
        <v>0</v>
      </c>
      <c r="B4" s="68" t="s">
        <v>1</v>
      </c>
      <c r="C4" s="68" t="s">
        <v>11</v>
      </c>
      <c r="D4" s="69" t="s">
        <v>38</v>
      </c>
      <c r="E4" s="70"/>
      <c r="F4" s="70"/>
      <c r="G4" s="71"/>
      <c r="H4" s="69" t="s">
        <v>64</v>
      </c>
      <c r="I4" s="70"/>
      <c r="J4" s="70"/>
      <c r="K4" s="71"/>
      <c r="L4" s="69" t="s">
        <v>56</v>
      </c>
      <c r="M4" s="70"/>
      <c r="N4" s="70"/>
      <c r="O4" s="71"/>
      <c r="P4" s="68" t="s">
        <v>2</v>
      </c>
    </row>
    <row r="5" spans="1:20" s="42" customFormat="1" x14ac:dyDescent="0.3">
      <c r="A5" s="68"/>
      <c r="B5" s="68"/>
      <c r="C5" s="68"/>
      <c r="D5" s="68" t="s">
        <v>3</v>
      </c>
      <c r="E5" s="69" t="s">
        <v>4</v>
      </c>
      <c r="F5" s="70"/>
      <c r="G5" s="71"/>
      <c r="H5" s="68" t="s">
        <v>3</v>
      </c>
      <c r="I5" s="69" t="s">
        <v>4</v>
      </c>
      <c r="J5" s="70"/>
      <c r="K5" s="71"/>
      <c r="L5" s="68" t="s">
        <v>3</v>
      </c>
      <c r="M5" s="69" t="s">
        <v>4</v>
      </c>
      <c r="N5" s="70"/>
      <c r="O5" s="71"/>
      <c r="P5" s="68"/>
    </row>
    <row r="6" spans="1:20" s="42" customFormat="1" ht="145.19999999999999" customHeight="1" x14ac:dyDescent="0.3">
      <c r="A6" s="68"/>
      <c r="B6" s="68"/>
      <c r="C6" s="68"/>
      <c r="D6" s="68"/>
      <c r="E6" s="44" t="s">
        <v>8</v>
      </c>
      <c r="F6" s="45" t="s">
        <v>54</v>
      </c>
      <c r="G6" s="45" t="s">
        <v>13</v>
      </c>
      <c r="H6" s="68"/>
      <c r="I6" s="44" t="s">
        <v>8</v>
      </c>
      <c r="J6" s="45" t="s">
        <v>54</v>
      </c>
      <c r="K6" s="45" t="s">
        <v>13</v>
      </c>
      <c r="L6" s="68"/>
      <c r="M6" s="47" t="s">
        <v>8</v>
      </c>
      <c r="N6" s="48" t="s">
        <v>54</v>
      </c>
      <c r="O6" s="48" t="s">
        <v>13</v>
      </c>
      <c r="P6" s="68"/>
    </row>
    <row r="7" spans="1:20" s="42" customFormat="1" x14ac:dyDescent="0.3">
      <c r="A7" s="44"/>
      <c r="B7" s="47" t="s">
        <v>55</v>
      </c>
      <c r="C7" s="44"/>
      <c r="D7" s="49">
        <f>D8</f>
        <v>2158.9589999999998</v>
      </c>
      <c r="E7" s="49">
        <f t="shared" ref="E7:O7" si="0">E8</f>
        <v>1319.9339999999997</v>
      </c>
      <c r="F7" s="49">
        <f t="shared" si="0"/>
        <v>751.32500000000005</v>
      </c>
      <c r="G7" s="49">
        <f t="shared" si="0"/>
        <v>87.8</v>
      </c>
      <c r="H7" s="49">
        <f t="shared" si="0"/>
        <v>-660.292869</v>
      </c>
      <c r="I7" s="49">
        <f t="shared" si="0"/>
        <v>-405.504953</v>
      </c>
      <c r="J7" s="49">
        <f t="shared" si="0"/>
        <v>-239.367546</v>
      </c>
      <c r="K7" s="49">
        <f t="shared" si="0"/>
        <v>-15.420369999999998</v>
      </c>
      <c r="L7" s="49">
        <f t="shared" si="0"/>
        <v>1498.666131</v>
      </c>
      <c r="M7" s="49">
        <f t="shared" si="0"/>
        <v>914.42904700000008</v>
      </c>
      <c r="N7" s="49">
        <f t="shared" si="0"/>
        <v>511.85745399999996</v>
      </c>
      <c r="O7" s="49">
        <f t="shared" si="0"/>
        <v>72.379629999999992</v>
      </c>
      <c r="P7" s="44"/>
    </row>
    <row r="8" spans="1:20" s="42" customFormat="1" ht="31.2" x14ac:dyDescent="0.3">
      <c r="A8" s="44"/>
      <c r="B8" s="50" t="s">
        <v>14</v>
      </c>
      <c r="C8" s="44"/>
      <c r="D8" s="51">
        <f>D9+D24-0.1</f>
        <v>2158.9589999999998</v>
      </c>
      <c r="E8" s="51">
        <f t="shared" ref="E8:O8" si="1">E9+E24</f>
        <v>1319.9339999999997</v>
      </c>
      <c r="F8" s="51">
        <f t="shared" si="1"/>
        <v>751.32500000000005</v>
      </c>
      <c r="G8" s="51">
        <f t="shared" si="1"/>
        <v>87.8</v>
      </c>
      <c r="H8" s="51">
        <f t="shared" si="1"/>
        <v>-660.292869</v>
      </c>
      <c r="I8" s="51">
        <f t="shared" si="1"/>
        <v>-405.504953</v>
      </c>
      <c r="J8" s="51">
        <f t="shared" si="1"/>
        <v>-239.367546</v>
      </c>
      <c r="K8" s="51">
        <f t="shared" si="1"/>
        <v>-15.420369999999998</v>
      </c>
      <c r="L8" s="51">
        <f t="shared" si="1"/>
        <v>1498.666131</v>
      </c>
      <c r="M8" s="51">
        <f t="shared" si="1"/>
        <v>914.42904700000008</v>
      </c>
      <c r="N8" s="51">
        <f t="shared" si="1"/>
        <v>511.85745399999996</v>
      </c>
      <c r="O8" s="51">
        <f t="shared" si="1"/>
        <v>72.379629999999992</v>
      </c>
      <c r="P8" s="43"/>
    </row>
    <row r="9" spans="1:20" s="35" customFormat="1" ht="32.4" x14ac:dyDescent="0.3">
      <c r="A9" s="30" t="s">
        <v>12</v>
      </c>
      <c r="B9" s="31" t="s">
        <v>15</v>
      </c>
      <c r="C9" s="32"/>
      <c r="D9" s="33">
        <f t="shared" ref="D9:K9" si="2">D10+D13</f>
        <v>1666.1469999999999</v>
      </c>
      <c r="E9" s="33">
        <f t="shared" si="2"/>
        <v>980.32199999999989</v>
      </c>
      <c r="F9" s="33">
        <f t="shared" si="2"/>
        <v>685.82500000000005</v>
      </c>
      <c r="G9" s="33">
        <f t="shared" si="2"/>
        <v>0</v>
      </c>
      <c r="H9" s="33">
        <f t="shared" si="2"/>
        <v>-537.3768</v>
      </c>
      <c r="I9" s="33">
        <f t="shared" si="2"/>
        <v>-298.009254</v>
      </c>
      <c r="J9" s="33">
        <f t="shared" si="2"/>
        <v>-239.367546</v>
      </c>
      <c r="K9" s="33">
        <f t="shared" si="2"/>
        <v>0</v>
      </c>
      <c r="L9" s="33">
        <f>L10+L13-0.1</f>
        <v>1128.6701999999998</v>
      </c>
      <c r="M9" s="33">
        <f>M10+M13</f>
        <v>682.31274600000006</v>
      </c>
      <c r="N9" s="33">
        <f>N10+N13-0.1</f>
        <v>446.35745399999996</v>
      </c>
      <c r="O9" s="33">
        <f>O10+O13</f>
        <v>0</v>
      </c>
      <c r="P9" s="34"/>
      <c r="S9" s="36"/>
      <c r="T9" s="36"/>
    </row>
    <row r="10" spans="1:20" s="42" customFormat="1" ht="29.4" customHeight="1" x14ac:dyDescent="0.3">
      <c r="A10" s="44" t="s">
        <v>41</v>
      </c>
      <c r="B10" s="52" t="s">
        <v>52</v>
      </c>
      <c r="C10" s="53"/>
      <c r="D10" s="51">
        <f t="shared" ref="D10:O10" si="3">SUM(D11:D12)</f>
        <v>377</v>
      </c>
      <c r="E10" s="51">
        <f t="shared" si="3"/>
        <v>182</v>
      </c>
      <c r="F10" s="51">
        <f t="shared" si="3"/>
        <v>195</v>
      </c>
      <c r="G10" s="51">
        <f t="shared" si="3"/>
        <v>0</v>
      </c>
      <c r="H10" s="51">
        <f t="shared" si="3"/>
        <v>-377</v>
      </c>
      <c r="I10" s="51">
        <f t="shared" si="3"/>
        <v>-182</v>
      </c>
      <c r="J10" s="51">
        <f t="shared" si="3"/>
        <v>-195</v>
      </c>
      <c r="K10" s="51">
        <f t="shared" si="3"/>
        <v>0</v>
      </c>
      <c r="L10" s="51">
        <f t="shared" si="3"/>
        <v>0</v>
      </c>
      <c r="M10" s="51">
        <f t="shared" si="3"/>
        <v>0</v>
      </c>
      <c r="N10" s="51">
        <f t="shared" si="3"/>
        <v>0</v>
      </c>
      <c r="O10" s="51">
        <f t="shared" si="3"/>
        <v>0</v>
      </c>
      <c r="P10" s="61" t="s">
        <v>65</v>
      </c>
    </row>
    <row r="11" spans="1:20" s="55" customFormat="1" ht="31.2" x14ac:dyDescent="0.3">
      <c r="A11" s="53">
        <v>1</v>
      </c>
      <c r="B11" s="37" t="s">
        <v>5</v>
      </c>
      <c r="C11" s="53" t="s">
        <v>40</v>
      </c>
      <c r="D11" s="54">
        <f>SUM(E11:G11)</f>
        <v>250</v>
      </c>
      <c r="E11" s="54">
        <v>55</v>
      </c>
      <c r="F11" s="54">
        <v>195</v>
      </c>
      <c r="G11" s="54">
        <v>0</v>
      </c>
      <c r="H11" s="54">
        <f>SUM(I11:J11)</f>
        <v>-250</v>
      </c>
      <c r="I11" s="54">
        <v>-55</v>
      </c>
      <c r="J11" s="54">
        <v>-195</v>
      </c>
      <c r="K11" s="54">
        <v>0</v>
      </c>
      <c r="L11" s="54">
        <f>SUM(M11:O11)</f>
        <v>0</v>
      </c>
      <c r="M11" s="54">
        <f t="shared" ref="M11:O12" si="4">E11+I11</f>
        <v>0</v>
      </c>
      <c r="N11" s="54">
        <f t="shared" si="4"/>
        <v>0</v>
      </c>
      <c r="O11" s="54">
        <f t="shared" si="4"/>
        <v>0</v>
      </c>
      <c r="P11" s="62"/>
    </row>
    <row r="12" spans="1:20" s="55" customFormat="1" ht="37.200000000000003" customHeight="1" x14ac:dyDescent="0.3">
      <c r="A12" s="53">
        <v>2</v>
      </c>
      <c r="B12" s="37" t="s">
        <v>51</v>
      </c>
      <c r="C12" s="53" t="s">
        <v>40</v>
      </c>
      <c r="D12" s="54">
        <f>SUM(E12:G12)</f>
        <v>127</v>
      </c>
      <c r="E12" s="54">
        <v>127</v>
      </c>
      <c r="F12" s="54">
        <v>0</v>
      </c>
      <c r="G12" s="54">
        <v>0</v>
      </c>
      <c r="H12" s="54">
        <f>SUM(I12:J12)</f>
        <v>-127</v>
      </c>
      <c r="I12" s="54">
        <v>-127</v>
      </c>
      <c r="J12" s="54">
        <v>0</v>
      </c>
      <c r="K12" s="54">
        <v>0</v>
      </c>
      <c r="L12" s="54">
        <f>SUM(M12:O12)</f>
        <v>0</v>
      </c>
      <c r="M12" s="54">
        <f t="shared" si="4"/>
        <v>0</v>
      </c>
      <c r="N12" s="54">
        <f t="shared" si="4"/>
        <v>0</v>
      </c>
      <c r="O12" s="54">
        <f t="shared" si="4"/>
        <v>0</v>
      </c>
      <c r="P12" s="63"/>
      <c r="Q12" s="55">
        <f>239.4+44.4</f>
        <v>283.8</v>
      </c>
    </row>
    <row r="13" spans="1:20" s="42" customFormat="1" ht="22.8" customHeight="1" x14ac:dyDescent="0.3">
      <c r="A13" s="44" t="s">
        <v>41</v>
      </c>
      <c r="B13" s="52" t="s">
        <v>42</v>
      </c>
      <c r="C13" s="53"/>
      <c r="D13" s="51">
        <f t="shared" ref="D13:O13" si="5">SUM(D14:D23)</f>
        <v>1289.1469999999999</v>
      </c>
      <c r="E13" s="51">
        <f t="shared" si="5"/>
        <v>798.32199999999989</v>
      </c>
      <c r="F13" s="51">
        <f t="shared" si="5"/>
        <v>490.82499999999999</v>
      </c>
      <c r="G13" s="51">
        <f t="shared" si="5"/>
        <v>0</v>
      </c>
      <c r="H13" s="51">
        <f t="shared" si="5"/>
        <v>-160.3768</v>
      </c>
      <c r="I13" s="51">
        <f t="shared" si="5"/>
        <v>-116.009254</v>
      </c>
      <c r="J13" s="51">
        <f t="shared" si="5"/>
        <v>-44.367546000000004</v>
      </c>
      <c r="K13" s="51">
        <f t="shared" si="5"/>
        <v>0</v>
      </c>
      <c r="L13" s="51">
        <f t="shared" si="5"/>
        <v>1128.7701999999997</v>
      </c>
      <c r="M13" s="51">
        <f t="shared" si="5"/>
        <v>682.31274600000006</v>
      </c>
      <c r="N13" s="51">
        <f t="shared" si="5"/>
        <v>446.45745399999998</v>
      </c>
      <c r="O13" s="51">
        <f t="shared" si="5"/>
        <v>0</v>
      </c>
      <c r="P13" s="43"/>
    </row>
    <row r="14" spans="1:20" s="42" customFormat="1" ht="55.8" customHeight="1" x14ac:dyDescent="0.3">
      <c r="A14" s="53">
        <v>1</v>
      </c>
      <c r="B14" s="56" t="s">
        <v>50</v>
      </c>
      <c r="C14" s="53" t="s">
        <v>40</v>
      </c>
      <c r="D14" s="54">
        <f t="shared" ref="D14:D23" si="6">SUM(E14:G14)</f>
        <v>450</v>
      </c>
      <c r="E14" s="54">
        <v>450</v>
      </c>
      <c r="F14" s="54">
        <v>0</v>
      </c>
      <c r="G14" s="54">
        <v>0</v>
      </c>
      <c r="H14" s="54">
        <f t="shared" ref="H14:H19" si="7">SUM(I14:K14)</f>
        <v>-4.7</v>
      </c>
      <c r="I14" s="54">
        <v>-4.7</v>
      </c>
      <c r="J14" s="54">
        <v>0</v>
      </c>
      <c r="K14" s="54">
        <v>0</v>
      </c>
      <c r="L14" s="54">
        <f t="shared" ref="L14:L23" si="8">SUM(M14:O14)</f>
        <v>445.3</v>
      </c>
      <c r="M14" s="54">
        <f t="shared" ref="M14:M23" si="9">E14+I14</f>
        <v>445.3</v>
      </c>
      <c r="N14" s="54">
        <f t="shared" ref="N14:N23" si="10">F14+J14</f>
        <v>0</v>
      </c>
      <c r="O14" s="54">
        <f t="shared" ref="O14:O23" si="11">G14+K14</f>
        <v>0</v>
      </c>
      <c r="P14" s="83" t="s">
        <v>66</v>
      </c>
    </row>
    <row r="15" spans="1:20" s="55" customFormat="1" ht="30.6" customHeight="1" x14ac:dyDescent="0.3">
      <c r="A15" s="53">
        <v>2</v>
      </c>
      <c r="B15" s="57" t="s">
        <v>19</v>
      </c>
      <c r="C15" s="53" t="s">
        <v>37</v>
      </c>
      <c r="D15" s="54">
        <f t="shared" si="6"/>
        <v>48.405000000000001</v>
      </c>
      <c r="E15" s="54">
        <v>48.405000000000001</v>
      </c>
      <c r="F15" s="54">
        <v>0</v>
      </c>
      <c r="G15" s="54">
        <v>0</v>
      </c>
      <c r="H15" s="54">
        <f t="shared" si="7"/>
        <v>-13.3522</v>
      </c>
      <c r="I15" s="54">
        <v>-13.3522</v>
      </c>
      <c r="J15" s="54">
        <v>0</v>
      </c>
      <c r="K15" s="54">
        <v>0</v>
      </c>
      <c r="L15" s="54">
        <f t="shared" si="8"/>
        <v>35.052800000000005</v>
      </c>
      <c r="M15" s="54">
        <f t="shared" si="9"/>
        <v>35.052800000000005</v>
      </c>
      <c r="N15" s="54">
        <f t="shared" si="10"/>
        <v>0</v>
      </c>
      <c r="O15" s="54">
        <f t="shared" si="11"/>
        <v>0</v>
      </c>
      <c r="P15" s="84"/>
    </row>
    <row r="16" spans="1:20" s="55" customFormat="1" ht="38.4" customHeight="1" x14ac:dyDescent="0.3">
      <c r="A16" s="53">
        <v>3</v>
      </c>
      <c r="B16" s="57" t="s">
        <v>20</v>
      </c>
      <c r="C16" s="53" t="s">
        <v>37</v>
      </c>
      <c r="D16" s="54">
        <f t="shared" si="6"/>
        <v>64.745000000000005</v>
      </c>
      <c r="E16" s="54">
        <v>0</v>
      </c>
      <c r="F16" s="54">
        <v>64.745000000000005</v>
      </c>
      <c r="G16" s="54">
        <v>0</v>
      </c>
      <c r="H16" s="54">
        <f t="shared" si="7"/>
        <v>-18.358546</v>
      </c>
      <c r="I16" s="54">
        <v>0</v>
      </c>
      <c r="J16" s="54">
        <v>-18.358546</v>
      </c>
      <c r="K16" s="54">
        <v>0</v>
      </c>
      <c r="L16" s="54">
        <f t="shared" si="8"/>
        <v>46.386454000000001</v>
      </c>
      <c r="M16" s="54">
        <f t="shared" si="9"/>
        <v>0</v>
      </c>
      <c r="N16" s="54">
        <f t="shared" si="10"/>
        <v>46.386454000000001</v>
      </c>
      <c r="O16" s="54">
        <f t="shared" si="11"/>
        <v>0</v>
      </c>
      <c r="P16" s="84"/>
    </row>
    <row r="17" spans="1:16" s="55" customFormat="1" ht="35.4" customHeight="1" x14ac:dyDescent="0.3">
      <c r="A17" s="53">
        <v>4</v>
      </c>
      <c r="B17" s="37" t="s">
        <v>21</v>
      </c>
      <c r="C17" s="53" t="s">
        <v>36</v>
      </c>
      <c r="D17" s="54">
        <f t="shared" si="6"/>
        <v>32.08</v>
      </c>
      <c r="E17" s="54">
        <v>0</v>
      </c>
      <c r="F17" s="54">
        <v>32.08</v>
      </c>
      <c r="G17" s="54">
        <v>0</v>
      </c>
      <c r="H17" s="54">
        <f t="shared" si="7"/>
        <v>-12.009</v>
      </c>
      <c r="I17" s="54">
        <v>0</v>
      </c>
      <c r="J17" s="54">
        <v>-12.009</v>
      </c>
      <c r="K17" s="54">
        <v>0</v>
      </c>
      <c r="L17" s="54">
        <f t="shared" si="8"/>
        <v>20.070999999999998</v>
      </c>
      <c r="M17" s="54">
        <f t="shared" si="9"/>
        <v>0</v>
      </c>
      <c r="N17" s="54">
        <f t="shared" si="10"/>
        <v>20.070999999999998</v>
      </c>
      <c r="O17" s="54">
        <f t="shared" si="11"/>
        <v>0</v>
      </c>
      <c r="P17" s="84"/>
    </row>
    <row r="18" spans="1:16" s="55" customFormat="1" ht="31.2" customHeight="1" x14ac:dyDescent="0.3">
      <c r="A18" s="53">
        <v>5</v>
      </c>
      <c r="B18" s="37" t="s">
        <v>22</v>
      </c>
      <c r="C18" s="53" t="s">
        <v>36</v>
      </c>
      <c r="D18" s="54">
        <f t="shared" si="6"/>
        <v>43.68</v>
      </c>
      <c r="E18" s="54">
        <v>43.68</v>
      </c>
      <c r="F18" s="54">
        <v>0</v>
      </c>
      <c r="G18" s="54">
        <v>0</v>
      </c>
      <c r="H18" s="54">
        <f t="shared" si="7"/>
        <v>-17.117999999999999</v>
      </c>
      <c r="I18" s="54">
        <v>-17.117999999999999</v>
      </c>
      <c r="J18" s="54">
        <v>0</v>
      </c>
      <c r="K18" s="54">
        <v>0</v>
      </c>
      <c r="L18" s="54">
        <f t="shared" si="8"/>
        <v>26.562000000000001</v>
      </c>
      <c r="M18" s="54">
        <f t="shared" si="9"/>
        <v>26.562000000000001</v>
      </c>
      <c r="N18" s="54">
        <f t="shared" si="10"/>
        <v>0</v>
      </c>
      <c r="O18" s="54">
        <f t="shared" si="11"/>
        <v>0</v>
      </c>
      <c r="P18" s="84"/>
    </row>
    <row r="19" spans="1:16" s="42" customFormat="1" ht="46.8" x14ac:dyDescent="0.3">
      <c r="A19" s="53">
        <v>6</v>
      </c>
      <c r="B19" s="37" t="s">
        <v>48</v>
      </c>
      <c r="C19" s="53" t="s">
        <v>36</v>
      </c>
      <c r="D19" s="54">
        <f t="shared" si="6"/>
        <v>48</v>
      </c>
      <c r="E19" s="54">
        <v>0</v>
      </c>
      <c r="F19" s="54">
        <v>48</v>
      </c>
      <c r="G19" s="54">
        <v>0</v>
      </c>
      <c r="H19" s="54">
        <f t="shared" si="7"/>
        <v>-14</v>
      </c>
      <c r="I19" s="54">
        <v>0</v>
      </c>
      <c r="J19" s="54">
        <v>-14</v>
      </c>
      <c r="K19" s="54">
        <v>0</v>
      </c>
      <c r="L19" s="54">
        <f t="shared" si="8"/>
        <v>34</v>
      </c>
      <c r="M19" s="54">
        <f t="shared" si="9"/>
        <v>0</v>
      </c>
      <c r="N19" s="54">
        <f t="shared" si="10"/>
        <v>34</v>
      </c>
      <c r="O19" s="54">
        <f t="shared" si="11"/>
        <v>0</v>
      </c>
      <c r="P19" s="84"/>
    </row>
    <row r="20" spans="1:16" s="42" customFormat="1" ht="31.2" x14ac:dyDescent="0.3">
      <c r="A20" s="53">
        <v>7</v>
      </c>
      <c r="B20" s="56" t="s">
        <v>49</v>
      </c>
      <c r="C20" s="53" t="s">
        <v>40</v>
      </c>
      <c r="D20" s="54">
        <f t="shared" si="6"/>
        <v>450</v>
      </c>
      <c r="E20" s="54">
        <v>104</v>
      </c>
      <c r="F20" s="54">
        <v>346</v>
      </c>
      <c r="G20" s="54">
        <v>0</v>
      </c>
      <c r="H20" s="54">
        <f>SUM(I20:J20)</f>
        <v>-10</v>
      </c>
      <c r="I20" s="54">
        <v>-10</v>
      </c>
      <c r="J20" s="54">
        <v>0</v>
      </c>
      <c r="K20" s="54">
        <v>0</v>
      </c>
      <c r="L20" s="54">
        <f t="shared" si="8"/>
        <v>440</v>
      </c>
      <c r="M20" s="54">
        <f t="shared" si="9"/>
        <v>94</v>
      </c>
      <c r="N20" s="54">
        <f t="shared" si="10"/>
        <v>346</v>
      </c>
      <c r="O20" s="54">
        <f t="shared" si="11"/>
        <v>0</v>
      </c>
      <c r="P20" s="84"/>
    </row>
    <row r="21" spans="1:16" s="55" customFormat="1" ht="62.4" x14ac:dyDescent="0.3">
      <c r="A21" s="53">
        <v>8</v>
      </c>
      <c r="B21" s="37" t="s">
        <v>16</v>
      </c>
      <c r="C21" s="53" t="s">
        <v>37</v>
      </c>
      <c r="D21" s="54">
        <f t="shared" si="6"/>
        <v>87.3</v>
      </c>
      <c r="E21" s="54">
        <v>87.3</v>
      </c>
      <c r="F21" s="54">
        <v>0</v>
      </c>
      <c r="G21" s="54">
        <v>0</v>
      </c>
      <c r="H21" s="54">
        <f>SUM(I21:K21)</f>
        <v>-21.292399</v>
      </c>
      <c r="I21" s="54">
        <v>-21.292399</v>
      </c>
      <c r="J21" s="54">
        <v>0</v>
      </c>
      <c r="K21" s="54">
        <v>0</v>
      </c>
      <c r="L21" s="54">
        <f t="shared" si="8"/>
        <v>66.007600999999994</v>
      </c>
      <c r="M21" s="54">
        <f t="shared" si="9"/>
        <v>66.007600999999994</v>
      </c>
      <c r="N21" s="54">
        <f t="shared" si="10"/>
        <v>0</v>
      </c>
      <c r="O21" s="54">
        <f t="shared" si="11"/>
        <v>0</v>
      </c>
      <c r="P21" s="84"/>
    </row>
    <row r="22" spans="1:16" s="55" customFormat="1" ht="31.2" x14ac:dyDescent="0.3">
      <c r="A22" s="53">
        <v>9</v>
      </c>
      <c r="B22" s="37" t="s">
        <v>17</v>
      </c>
      <c r="C22" s="53" t="s">
        <v>37</v>
      </c>
      <c r="D22" s="54">
        <f t="shared" si="6"/>
        <v>31.236999999999998</v>
      </c>
      <c r="E22" s="54">
        <v>31.236999999999998</v>
      </c>
      <c r="F22" s="54">
        <v>0</v>
      </c>
      <c r="G22" s="54">
        <v>0</v>
      </c>
      <c r="H22" s="54">
        <f>SUM(I22:K22)</f>
        <v>-27.640236000000002</v>
      </c>
      <c r="I22" s="54">
        <v>-27.640236000000002</v>
      </c>
      <c r="J22" s="54">
        <v>0</v>
      </c>
      <c r="K22" s="54">
        <v>0</v>
      </c>
      <c r="L22" s="54">
        <f t="shared" si="8"/>
        <v>3.5967639999999967</v>
      </c>
      <c r="M22" s="54">
        <f t="shared" si="9"/>
        <v>3.5967639999999967</v>
      </c>
      <c r="N22" s="54">
        <f t="shared" si="10"/>
        <v>0</v>
      </c>
      <c r="O22" s="54">
        <f t="shared" si="11"/>
        <v>0</v>
      </c>
      <c r="P22" s="84"/>
    </row>
    <row r="23" spans="1:16" s="55" customFormat="1" ht="31.2" x14ac:dyDescent="0.3">
      <c r="A23" s="53">
        <v>10</v>
      </c>
      <c r="B23" s="37" t="s">
        <v>18</v>
      </c>
      <c r="C23" s="53" t="s">
        <v>37</v>
      </c>
      <c r="D23" s="54">
        <f t="shared" si="6"/>
        <v>33.700000000000003</v>
      </c>
      <c r="E23" s="54">
        <v>33.700000000000003</v>
      </c>
      <c r="F23" s="54">
        <v>0</v>
      </c>
      <c r="G23" s="54">
        <v>0</v>
      </c>
      <c r="H23" s="54">
        <f>SUM(I23:K23)</f>
        <v>-21.906419</v>
      </c>
      <c r="I23" s="54">
        <v>-21.906419</v>
      </c>
      <c r="J23" s="54">
        <v>0</v>
      </c>
      <c r="K23" s="54">
        <v>0</v>
      </c>
      <c r="L23" s="54">
        <f t="shared" si="8"/>
        <v>11.793581000000003</v>
      </c>
      <c r="M23" s="54">
        <f t="shared" si="9"/>
        <v>11.793581000000003</v>
      </c>
      <c r="N23" s="54">
        <f t="shared" si="10"/>
        <v>0</v>
      </c>
      <c r="O23" s="54">
        <f t="shared" si="11"/>
        <v>0</v>
      </c>
      <c r="P23" s="85"/>
    </row>
    <row r="24" spans="1:16" s="35" customFormat="1" ht="48.6" x14ac:dyDescent="0.3">
      <c r="A24" s="30" t="s">
        <v>39</v>
      </c>
      <c r="B24" s="31" t="s">
        <v>23</v>
      </c>
      <c r="C24" s="32"/>
      <c r="D24" s="33">
        <f>D25</f>
        <v>492.91199999999998</v>
      </c>
      <c r="E24" s="33">
        <f t="shared" ref="E24:O24" si="12">E25</f>
        <v>339.61199999999997</v>
      </c>
      <c r="F24" s="33">
        <f t="shared" si="12"/>
        <v>65.5</v>
      </c>
      <c r="G24" s="33">
        <f t="shared" si="12"/>
        <v>87.8</v>
      </c>
      <c r="H24" s="33">
        <f t="shared" si="12"/>
        <v>-122.91606900000001</v>
      </c>
      <c r="I24" s="33">
        <f t="shared" si="12"/>
        <v>-107.49569900000002</v>
      </c>
      <c r="J24" s="33">
        <f t="shared" si="12"/>
        <v>0</v>
      </c>
      <c r="K24" s="33">
        <f t="shared" si="12"/>
        <v>-15.420369999999998</v>
      </c>
      <c r="L24" s="33">
        <f t="shared" si="12"/>
        <v>369.99593100000004</v>
      </c>
      <c r="M24" s="33">
        <f t="shared" si="12"/>
        <v>232.11630100000002</v>
      </c>
      <c r="N24" s="33">
        <f t="shared" si="12"/>
        <v>65.5</v>
      </c>
      <c r="O24" s="33">
        <f t="shared" si="12"/>
        <v>72.379629999999992</v>
      </c>
      <c r="P24" s="34"/>
    </row>
    <row r="25" spans="1:16" s="42" customFormat="1" x14ac:dyDescent="0.3">
      <c r="A25" s="44" t="s">
        <v>41</v>
      </c>
      <c r="B25" s="52" t="s">
        <v>42</v>
      </c>
      <c r="C25" s="53"/>
      <c r="D25" s="51">
        <f>SUM(D26:D37)</f>
        <v>492.91199999999998</v>
      </c>
      <c r="E25" s="51">
        <f t="shared" ref="E25:O25" si="13">SUM(E26:E37)</f>
        <v>339.61199999999997</v>
      </c>
      <c r="F25" s="51">
        <f t="shared" si="13"/>
        <v>65.5</v>
      </c>
      <c r="G25" s="51">
        <f t="shared" si="13"/>
        <v>87.8</v>
      </c>
      <c r="H25" s="51">
        <f t="shared" si="13"/>
        <v>-122.91606900000001</v>
      </c>
      <c r="I25" s="51">
        <f t="shared" si="13"/>
        <v>-107.49569900000002</v>
      </c>
      <c r="J25" s="51">
        <f t="shared" si="13"/>
        <v>0</v>
      </c>
      <c r="K25" s="51">
        <f t="shared" si="13"/>
        <v>-15.420369999999998</v>
      </c>
      <c r="L25" s="51">
        <f t="shared" si="13"/>
        <v>369.99593100000004</v>
      </c>
      <c r="M25" s="51">
        <f t="shared" si="13"/>
        <v>232.11630100000002</v>
      </c>
      <c r="N25" s="51">
        <f t="shared" si="13"/>
        <v>65.5</v>
      </c>
      <c r="O25" s="51">
        <f t="shared" si="13"/>
        <v>72.379629999999992</v>
      </c>
      <c r="P25" s="43"/>
    </row>
    <row r="26" spans="1:16" s="55" customFormat="1" ht="46.8" x14ac:dyDescent="0.3">
      <c r="A26" s="53">
        <v>1</v>
      </c>
      <c r="B26" s="58" t="s">
        <v>33</v>
      </c>
      <c r="C26" s="53" t="s">
        <v>40</v>
      </c>
      <c r="D26" s="54">
        <f t="shared" ref="D26:D37" si="14">SUM(E26:G26)</f>
        <v>174.9</v>
      </c>
      <c r="E26" s="54">
        <v>79.400000000000006</v>
      </c>
      <c r="F26" s="54">
        <v>65.5</v>
      </c>
      <c r="G26" s="54">
        <v>30</v>
      </c>
      <c r="H26" s="54">
        <f>SUM(I26:K26)</f>
        <v>-3.6</v>
      </c>
      <c r="I26" s="54">
        <v>0</v>
      </c>
      <c r="J26" s="54">
        <v>0</v>
      </c>
      <c r="K26" s="54">
        <v>-3.6</v>
      </c>
      <c r="L26" s="54">
        <f t="shared" ref="L26:L37" si="15">SUM(M26:O26)</f>
        <v>171.3</v>
      </c>
      <c r="M26" s="54">
        <f t="shared" ref="M26:M37" si="16">E26+I26</f>
        <v>79.400000000000006</v>
      </c>
      <c r="N26" s="54">
        <f t="shared" ref="N26:N37" si="17">F26+J26</f>
        <v>65.5</v>
      </c>
      <c r="O26" s="54">
        <f t="shared" ref="O26:O37" si="18">G26+K26</f>
        <v>26.4</v>
      </c>
      <c r="P26" s="61" t="s">
        <v>66</v>
      </c>
    </row>
    <row r="27" spans="1:16" s="55" customFormat="1" ht="46.8" x14ac:dyDescent="0.3">
      <c r="A27" s="53">
        <v>2</v>
      </c>
      <c r="B27" s="37" t="s">
        <v>34</v>
      </c>
      <c r="C27" s="53" t="s">
        <v>36</v>
      </c>
      <c r="D27" s="54">
        <f t="shared" si="14"/>
        <v>20</v>
      </c>
      <c r="E27" s="54">
        <v>0</v>
      </c>
      <c r="F27" s="54">
        <v>0</v>
      </c>
      <c r="G27" s="54">
        <v>20</v>
      </c>
      <c r="H27" s="54">
        <f t="shared" ref="H27:H37" si="19">SUM(I27:K27)</f>
        <v>-6</v>
      </c>
      <c r="I27" s="54">
        <v>0</v>
      </c>
      <c r="J27" s="54">
        <v>0</v>
      </c>
      <c r="K27" s="54">
        <v>-6</v>
      </c>
      <c r="L27" s="54">
        <f t="shared" si="15"/>
        <v>14</v>
      </c>
      <c r="M27" s="54">
        <f t="shared" si="16"/>
        <v>0</v>
      </c>
      <c r="N27" s="54">
        <f t="shared" si="17"/>
        <v>0</v>
      </c>
      <c r="O27" s="54">
        <f t="shared" si="18"/>
        <v>14</v>
      </c>
      <c r="P27" s="62"/>
    </row>
    <row r="28" spans="1:16" s="55" customFormat="1" ht="31.2" x14ac:dyDescent="0.3">
      <c r="A28" s="53">
        <v>3</v>
      </c>
      <c r="B28" s="37" t="s">
        <v>35</v>
      </c>
      <c r="C28" s="53" t="s">
        <v>36</v>
      </c>
      <c r="D28" s="54">
        <f t="shared" si="14"/>
        <v>34.299999999999997</v>
      </c>
      <c r="E28" s="54">
        <v>34.299999999999997</v>
      </c>
      <c r="F28" s="54">
        <v>0</v>
      </c>
      <c r="G28" s="54">
        <v>0</v>
      </c>
      <c r="H28" s="54">
        <f t="shared" si="19"/>
        <v>-9.6999999999999993</v>
      </c>
      <c r="I28" s="54">
        <v>-9.6999999999999993</v>
      </c>
      <c r="J28" s="54">
        <v>0</v>
      </c>
      <c r="K28" s="54">
        <v>0</v>
      </c>
      <c r="L28" s="54">
        <f t="shared" si="15"/>
        <v>24.599999999999998</v>
      </c>
      <c r="M28" s="54">
        <f t="shared" si="16"/>
        <v>24.599999999999998</v>
      </c>
      <c r="N28" s="54">
        <f t="shared" si="17"/>
        <v>0</v>
      </c>
      <c r="O28" s="54">
        <f t="shared" si="18"/>
        <v>0</v>
      </c>
      <c r="P28" s="62"/>
    </row>
    <row r="29" spans="1:16" s="55" customFormat="1" ht="46.8" x14ac:dyDescent="0.3">
      <c r="A29" s="53">
        <v>4</v>
      </c>
      <c r="B29" s="37" t="s">
        <v>24</v>
      </c>
      <c r="C29" s="53" t="s">
        <v>37</v>
      </c>
      <c r="D29" s="54">
        <f t="shared" si="14"/>
        <v>29.378</v>
      </c>
      <c r="E29" s="54">
        <v>29.378</v>
      </c>
      <c r="F29" s="54">
        <v>0</v>
      </c>
      <c r="G29" s="54">
        <v>0</v>
      </c>
      <c r="H29" s="54">
        <f t="shared" si="19"/>
        <v>-14.841392000000001</v>
      </c>
      <c r="I29" s="54">
        <v>-14.841392000000001</v>
      </c>
      <c r="J29" s="54">
        <v>0</v>
      </c>
      <c r="K29" s="54">
        <v>0</v>
      </c>
      <c r="L29" s="54">
        <f t="shared" si="15"/>
        <v>14.536607999999999</v>
      </c>
      <c r="M29" s="54">
        <f t="shared" si="16"/>
        <v>14.536607999999999</v>
      </c>
      <c r="N29" s="54">
        <f t="shared" si="17"/>
        <v>0</v>
      </c>
      <c r="O29" s="54">
        <f t="shared" si="18"/>
        <v>0</v>
      </c>
      <c r="P29" s="62"/>
    </row>
    <row r="30" spans="1:16" s="55" customFormat="1" ht="46.8" x14ac:dyDescent="0.3">
      <c r="A30" s="53">
        <v>5</v>
      </c>
      <c r="B30" s="37" t="s">
        <v>25</v>
      </c>
      <c r="C30" s="53" t="s">
        <v>37</v>
      </c>
      <c r="D30" s="54">
        <f t="shared" si="14"/>
        <v>27.8</v>
      </c>
      <c r="E30" s="54">
        <v>27.8</v>
      </c>
      <c r="F30" s="54">
        <v>0</v>
      </c>
      <c r="G30" s="54">
        <v>0</v>
      </c>
      <c r="H30" s="54">
        <f t="shared" si="19"/>
        <v>-8.8712040000000005</v>
      </c>
      <c r="I30" s="54">
        <v>-8.8712040000000005</v>
      </c>
      <c r="J30" s="54">
        <v>0</v>
      </c>
      <c r="K30" s="54">
        <v>0</v>
      </c>
      <c r="L30" s="54">
        <f t="shared" si="15"/>
        <v>18.928795999999998</v>
      </c>
      <c r="M30" s="54">
        <f t="shared" si="16"/>
        <v>18.928795999999998</v>
      </c>
      <c r="N30" s="54">
        <f t="shared" si="17"/>
        <v>0</v>
      </c>
      <c r="O30" s="54">
        <f t="shared" si="18"/>
        <v>0</v>
      </c>
      <c r="P30" s="62"/>
    </row>
    <row r="31" spans="1:16" s="55" customFormat="1" ht="46.8" x14ac:dyDescent="0.3">
      <c r="A31" s="53">
        <v>6</v>
      </c>
      <c r="B31" s="37" t="s">
        <v>26</v>
      </c>
      <c r="C31" s="53" t="s">
        <v>37</v>
      </c>
      <c r="D31" s="54">
        <f t="shared" si="14"/>
        <v>27.3</v>
      </c>
      <c r="E31" s="54">
        <v>27.3</v>
      </c>
      <c r="F31" s="54">
        <v>0</v>
      </c>
      <c r="G31" s="54">
        <v>0</v>
      </c>
      <c r="H31" s="54">
        <f t="shared" si="19"/>
        <v>-3.513258</v>
      </c>
      <c r="I31" s="54">
        <v>-3.513258</v>
      </c>
      <c r="J31" s="54">
        <v>0</v>
      </c>
      <c r="K31" s="54">
        <v>0</v>
      </c>
      <c r="L31" s="54">
        <f t="shared" si="15"/>
        <v>23.786742</v>
      </c>
      <c r="M31" s="54">
        <f t="shared" si="16"/>
        <v>23.786742</v>
      </c>
      <c r="N31" s="54">
        <f t="shared" si="17"/>
        <v>0</v>
      </c>
      <c r="O31" s="54">
        <f t="shared" si="18"/>
        <v>0</v>
      </c>
      <c r="P31" s="62"/>
    </row>
    <row r="32" spans="1:16" s="55" customFormat="1" ht="46.8" x14ac:dyDescent="0.3">
      <c r="A32" s="53">
        <v>7</v>
      </c>
      <c r="B32" s="37" t="s">
        <v>27</v>
      </c>
      <c r="C32" s="53" t="s">
        <v>37</v>
      </c>
      <c r="D32" s="54">
        <f t="shared" si="14"/>
        <v>18.7</v>
      </c>
      <c r="E32" s="54">
        <v>18.7</v>
      </c>
      <c r="F32" s="54">
        <v>0</v>
      </c>
      <c r="G32" s="54">
        <v>0</v>
      </c>
      <c r="H32" s="54">
        <f t="shared" si="19"/>
        <v>-4.4290000000000003</v>
      </c>
      <c r="I32" s="54">
        <v>-4.4290000000000003</v>
      </c>
      <c r="J32" s="54">
        <v>0</v>
      </c>
      <c r="K32" s="54">
        <v>0</v>
      </c>
      <c r="L32" s="54">
        <f t="shared" si="15"/>
        <v>14.270999999999999</v>
      </c>
      <c r="M32" s="54">
        <f t="shared" si="16"/>
        <v>14.270999999999999</v>
      </c>
      <c r="N32" s="54">
        <f t="shared" si="17"/>
        <v>0</v>
      </c>
      <c r="O32" s="54">
        <f t="shared" si="18"/>
        <v>0</v>
      </c>
      <c r="P32" s="62"/>
    </row>
    <row r="33" spans="1:16" s="55" customFormat="1" ht="46.8" x14ac:dyDescent="0.3">
      <c r="A33" s="53">
        <v>8</v>
      </c>
      <c r="B33" s="37" t="s">
        <v>28</v>
      </c>
      <c r="C33" s="53" t="s">
        <v>37</v>
      </c>
      <c r="D33" s="54">
        <f t="shared" si="14"/>
        <v>17.100000000000001</v>
      </c>
      <c r="E33" s="54">
        <v>17.100000000000001</v>
      </c>
      <c r="F33" s="54">
        <v>0</v>
      </c>
      <c r="G33" s="54">
        <v>0</v>
      </c>
      <c r="H33" s="54">
        <f t="shared" si="19"/>
        <v>-3.9929999999999999</v>
      </c>
      <c r="I33" s="54">
        <v>-3.9929999999999999</v>
      </c>
      <c r="J33" s="54">
        <v>0</v>
      </c>
      <c r="K33" s="54">
        <v>0</v>
      </c>
      <c r="L33" s="54">
        <f t="shared" si="15"/>
        <v>13.107000000000001</v>
      </c>
      <c r="M33" s="54">
        <f t="shared" si="16"/>
        <v>13.107000000000001</v>
      </c>
      <c r="N33" s="54">
        <f t="shared" si="17"/>
        <v>0</v>
      </c>
      <c r="O33" s="54">
        <f t="shared" si="18"/>
        <v>0</v>
      </c>
      <c r="P33" s="62"/>
    </row>
    <row r="34" spans="1:16" s="55" customFormat="1" ht="46.8" x14ac:dyDescent="0.3">
      <c r="A34" s="53">
        <v>9</v>
      </c>
      <c r="B34" s="37" t="s">
        <v>29</v>
      </c>
      <c r="C34" s="53" t="s">
        <v>37</v>
      </c>
      <c r="D34" s="54">
        <f t="shared" si="14"/>
        <v>37.799999999999997</v>
      </c>
      <c r="E34" s="54">
        <v>0</v>
      </c>
      <c r="F34" s="54">
        <v>0</v>
      </c>
      <c r="G34" s="54">
        <v>37.799999999999997</v>
      </c>
      <c r="H34" s="54">
        <f t="shared" si="19"/>
        <v>-5.8203699999999996</v>
      </c>
      <c r="I34" s="54">
        <v>0</v>
      </c>
      <c r="J34" s="54">
        <v>0</v>
      </c>
      <c r="K34" s="54">
        <v>-5.8203699999999996</v>
      </c>
      <c r="L34" s="54">
        <f t="shared" si="15"/>
        <v>31.979629999999997</v>
      </c>
      <c r="M34" s="54">
        <f t="shared" si="16"/>
        <v>0</v>
      </c>
      <c r="N34" s="54">
        <f t="shared" si="17"/>
        <v>0</v>
      </c>
      <c r="O34" s="54">
        <f t="shared" si="18"/>
        <v>31.979629999999997</v>
      </c>
      <c r="P34" s="62"/>
    </row>
    <row r="35" spans="1:16" s="55" customFormat="1" ht="46.8" x14ac:dyDescent="0.3">
      <c r="A35" s="53">
        <v>10</v>
      </c>
      <c r="B35" s="37" t="s">
        <v>30</v>
      </c>
      <c r="C35" s="53" t="s">
        <v>37</v>
      </c>
      <c r="D35" s="54">
        <f t="shared" si="14"/>
        <v>25.4</v>
      </c>
      <c r="E35" s="54">
        <v>25.4</v>
      </c>
      <c r="F35" s="54">
        <v>0</v>
      </c>
      <c r="G35" s="54">
        <v>0</v>
      </c>
      <c r="H35" s="54">
        <f t="shared" si="19"/>
        <v>-16.179373999999999</v>
      </c>
      <c r="I35" s="54">
        <v>-16.179373999999999</v>
      </c>
      <c r="J35" s="54">
        <v>0</v>
      </c>
      <c r="K35" s="54">
        <v>0</v>
      </c>
      <c r="L35" s="54">
        <f t="shared" si="15"/>
        <v>9.2206259999999993</v>
      </c>
      <c r="M35" s="54">
        <f t="shared" si="16"/>
        <v>9.2206259999999993</v>
      </c>
      <c r="N35" s="54">
        <f t="shared" si="17"/>
        <v>0</v>
      </c>
      <c r="O35" s="54">
        <f t="shared" si="18"/>
        <v>0</v>
      </c>
      <c r="P35" s="62"/>
    </row>
    <row r="36" spans="1:16" s="55" customFormat="1" ht="62.4" x14ac:dyDescent="0.3">
      <c r="A36" s="53">
        <v>11</v>
      </c>
      <c r="B36" s="37" t="s">
        <v>31</v>
      </c>
      <c r="C36" s="53" t="s">
        <v>37</v>
      </c>
      <c r="D36" s="54">
        <f t="shared" si="14"/>
        <v>62.7</v>
      </c>
      <c r="E36" s="54">
        <v>62.7</v>
      </c>
      <c r="F36" s="54">
        <v>0</v>
      </c>
      <c r="G36" s="54">
        <v>0</v>
      </c>
      <c r="H36" s="54">
        <f t="shared" si="19"/>
        <v>-38.522508000000002</v>
      </c>
      <c r="I36" s="54">
        <v>-38.522508000000002</v>
      </c>
      <c r="J36" s="54">
        <v>0</v>
      </c>
      <c r="K36" s="54">
        <v>0</v>
      </c>
      <c r="L36" s="54">
        <f t="shared" si="15"/>
        <v>24.177492000000001</v>
      </c>
      <c r="M36" s="54">
        <f t="shared" si="16"/>
        <v>24.177492000000001</v>
      </c>
      <c r="N36" s="54">
        <f t="shared" si="17"/>
        <v>0</v>
      </c>
      <c r="O36" s="54">
        <f t="shared" si="18"/>
        <v>0</v>
      </c>
      <c r="P36" s="62"/>
    </row>
    <row r="37" spans="1:16" s="55" customFormat="1" ht="31.2" x14ac:dyDescent="0.3">
      <c r="A37" s="53">
        <v>12</v>
      </c>
      <c r="B37" s="37" t="s">
        <v>32</v>
      </c>
      <c r="C37" s="53" t="s">
        <v>37</v>
      </c>
      <c r="D37" s="54">
        <f t="shared" si="14"/>
        <v>17.533999999999999</v>
      </c>
      <c r="E37" s="54">
        <v>17.533999999999999</v>
      </c>
      <c r="F37" s="54">
        <v>0</v>
      </c>
      <c r="G37" s="54">
        <v>0</v>
      </c>
      <c r="H37" s="54">
        <f t="shared" si="19"/>
        <v>-7.4459629999999999</v>
      </c>
      <c r="I37" s="54">
        <v>-7.4459629999999999</v>
      </c>
      <c r="J37" s="54">
        <v>0</v>
      </c>
      <c r="K37" s="54">
        <v>0</v>
      </c>
      <c r="L37" s="54">
        <f t="shared" si="15"/>
        <v>10.088037</v>
      </c>
      <c r="M37" s="54">
        <f t="shared" si="16"/>
        <v>10.088037</v>
      </c>
      <c r="N37" s="54">
        <f t="shared" si="17"/>
        <v>0</v>
      </c>
      <c r="O37" s="54">
        <f t="shared" si="18"/>
        <v>0</v>
      </c>
      <c r="P37" s="63"/>
    </row>
  </sheetData>
  <mergeCells count="19">
    <mergeCell ref="M5:O5"/>
    <mergeCell ref="H5:H6"/>
    <mergeCell ref="I5:K5"/>
    <mergeCell ref="P10:P12"/>
    <mergeCell ref="P14:P23"/>
    <mergeCell ref="P26:P37"/>
    <mergeCell ref="A1:P1"/>
    <mergeCell ref="A2:P2"/>
    <mergeCell ref="L3:P3"/>
    <mergeCell ref="P4:P6"/>
    <mergeCell ref="L5:L6"/>
    <mergeCell ref="L4:O4"/>
    <mergeCell ref="D4:G4"/>
    <mergeCell ref="A4:A6"/>
    <mergeCell ref="B4:B6"/>
    <mergeCell ref="C4:C6"/>
    <mergeCell ref="H4:K4"/>
    <mergeCell ref="D5:D6"/>
    <mergeCell ref="E5:G5"/>
  </mergeCells>
  <conditionalFormatting sqref="B26">
    <cfRule type="cellIs" dxfId="1" priority="1" operator="lessThan">
      <formula>0</formula>
    </cfRule>
  </conditionalFormatting>
  <pageMargins left="0.196850393700787" right="0.118110236220472" top="0.25" bottom="0.25" header="0.25" footer="0.25"/>
  <pageSetup paperSize="9" scale="88" fitToHeight="3" orientation="landscape" r:id="rId1"/>
  <headerFooter>
    <oddHeader>&amp;C&amp;P/&amp;N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"/>
  <sheetViews>
    <sheetView workbookViewId="0">
      <selection activeCell="R6" sqref="R6"/>
    </sheetView>
  </sheetViews>
  <sheetFormatPr defaultColWidth="9.109375" defaultRowHeight="15.6" x14ac:dyDescent="0.3"/>
  <cols>
    <col min="1" max="1" width="5.5546875" style="13" customWidth="1"/>
    <col min="2" max="2" width="28.88671875" style="13" customWidth="1"/>
    <col min="3" max="3" width="7.44140625" style="13" customWidth="1"/>
    <col min="4" max="4" width="6.33203125" style="13" customWidth="1"/>
    <col min="5" max="5" width="7.109375" style="13" customWidth="1"/>
    <col min="6" max="6" width="7" style="13" customWidth="1"/>
    <col min="7" max="7" width="9" style="13" customWidth="1"/>
    <col min="8" max="8" width="6.44140625" style="13" bestFit="1" customWidth="1"/>
    <col min="9" max="9" width="7.6640625" style="13" customWidth="1"/>
    <col min="10" max="10" width="7.109375" style="13" customWidth="1"/>
    <col min="11" max="11" width="5.77734375" style="13" customWidth="1"/>
    <col min="12" max="12" width="9.33203125" style="13" bestFit="1" customWidth="1"/>
    <col min="13" max="13" width="5.77734375" style="13" customWidth="1"/>
    <col min="14" max="14" width="8.88671875" style="13" customWidth="1"/>
    <col min="15" max="15" width="8.21875" style="13" customWidth="1"/>
    <col min="16" max="17" width="9.109375" style="13"/>
    <col min="18" max="18" width="16.44140625" style="13" bestFit="1" customWidth="1"/>
    <col min="19" max="19" width="13.109375" style="13" bestFit="1" customWidth="1"/>
    <col min="20" max="16384" width="9.109375" style="13"/>
  </cols>
  <sheetData>
    <row r="1" spans="1:15" ht="27" customHeight="1" x14ac:dyDescent="0.3">
      <c r="A1" s="72" t="s">
        <v>73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</row>
    <row r="2" spans="1:15" x14ac:dyDescent="0.3">
      <c r="A2" s="74" t="s">
        <v>61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spans="1:15" x14ac:dyDescent="0.3">
      <c r="E3" s="11"/>
      <c r="F3" s="11"/>
      <c r="G3" s="11"/>
      <c r="H3" s="11"/>
      <c r="I3" s="75" t="s">
        <v>57</v>
      </c>
      <c r="J3" s="75"/>
      <c r="K3" s="75"/>
      <c r="L3" s="75"/>
      <c r="M3" s="75"/>
      <c r="N3" s="75"/>
      <c r="O3" s="75"/>
    </row>
    <row r="4" spans="1:15" s="16" customFormat="1" ht="34.950000000000003" customHeight="1" x14ac:dyDescent="0.3">
      <c r="A4" s="76" t="s">
        <v>0</v>
      </c>
      <c r="B4" s="76" t="s">
        <v>1</v>
      </c>
      <c r="C4" s="76" t="s">
        <v>11</v>
      </c>
      <c r="D4" s="77" t="s">
        <v>38</v>
      </c>
      <c r="E4" s="78"/>
      <c r="F4" s="78"/>
      <c r="G4" s="78"/>
      <c r="H4" s="79"/>
      <c r="I4" s="77" t="s">
        <v>62</v>
      </c>
      <c r="J4" s="78"/>
      <c r="K4" s="78"/>
      <c r="L4" s="78"/>
      <c r="M4" s="78"/>
      <c r="N4" s="79"/>
      <c r="O4" s="76" t="s">
        <v>2</v>
      </c>
    </row>
    <row r="5" spans="1:15" s="16" customFormat="1" x14ac:dyDescent="0.3">
      <c r="A5" s="76"/>
      <c r="B5" s="76"/>
      <c r="C5" s="76"/>
      <c r="D5" s="76" t="s">
        <v>3</v>
      </c>
      <c r="E5" s="77" t="s">
        <v>4</v>
      </c>
      <c r="F5" s="78"/>
      <c r="G5" s="78"/>
      <c r="H5" s="79"/>
      <c r="I5" s="76" t="s">
        <v>3</v>
      </c>
      <c r="J5" s="76" t="s">
        <v>4</v>
      </c>
      <c r="K5" s="76"/>
      <c r="L5" s="76"/>
      <c r="M5" s="76"/>
      <c r="N5" s="76"/>
      <c r="O5" s="76"/>
    </row>
    <row r="6" spans="1:15" s="16" customFormat="1" ht="140.4" x14ac:dyDescent="0.3">
      <c r="A6" s="76"/>
      <c r="B6" s="76"/>
      <c r="C6" s="76"/>
      <c r="D6" s="76"/>
      <c r="E6" s="15" t="s">
        <v>8</v>
      </c>
      <c r="F6" s="17" t="s">
        <v>10</v>
      </c>
      <c r="G6" s="1" t="s">
        <v>54</v>
      </c>
      <c r="H6" s="1" t="s">
        <v>13</v>
      </c>
      <c r="I6" s="76"/>
      <c r="J6" s="18" t="s">
        <v>8</v>
      </c>
      <c r="K6" s="17" t="s">
        <v>10</v>
      </c>
      <c r="L6" s="7" t="s">
        <v>54</v>
      </c>
      <c r="M6" s="7" t="s">
        <v>13</v>
      </c>
      <c r="N6" s="2" t="s">
        <v>59</v>
      </c>
      <c r="O6" s="76"/>
    </row>
    <row r="7" spans="1:15" s="16" customFormat="1" x14ac:dyDescent="0.3">
      <c r="A7" s="15"/>
      <c r="B7" s="18" t="s">
        <v>55</v>
      </c>
      <c r="C7" s="15"/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5000</v>
      </c>
      <c r="J7" s="19">
        <v>0</v>
      </c>
      <c r="K7" s="19">
        <v>0</v>
      </c>
      <c r="L7" s="19">
        <v>0</v>
      </c>
      <c r="M7" s="19">
        <v>0</v>
      </c>
      <c r="N7" s="19">
        <f>N8</f>
        <v>5000</v>
      </c>
      <c r="O7" s="15"/>
    </row>
    <row r="8" spans="1:15" s="16" customFormat="1" x14ac:dyDescent="0.3">
      <c r="A8" s="15" t="s">
        <v>41</v>
      </c>
      <c r="B8" s="20" t="s">
        <v>52</v>
      </c>
      <c r="C8" s="15"/>
      <c r="D8" s="9">
        <f>D9</f>
        <v>0</v>
      </c>
      <c r="E8" s="9">
        <f t="shared" ref="E8:N8" si="0">E9</f>
        <v>0</v>
      </c>
      <c r="F8" s="9">
        <f t="shared" si="0"/>
        <v>0</v>
      </c>
      <c r="G8" s="9">
        <f t="shared" si="0"/>
        <v>0</v>
      </c>
      <c r="H8" s="9">
        <f t="shared" si="0"/>
        <v>0</v>
      </c>
      <c r="I8" s="9">
        <f>I7</f>
        <v>5000</v>
      </c>
      <c r="J8" s="9">
        <v>0</v>
      </c>
      <c r="K8" s="9">
        <v>0</v>
      </c>
      <c r="L8" s="9">
        <v>0</v>
      </c>
      <c r="M8" s="9">
        <v>0</v>
      </c>
      <c r="N8" s="9">
        <f t="shared" si="0"/>
        <v>5000</v>
      </c>
      <c r="O8" s="15"/>
    </row>
    <row r="9" spans="1:15" s="24" customFormat="1" ht="62.4" x14ac:dyDescent="0.3">
      <c r="A9" s="21">
        <v>1</v>
      </c>
      <c r="B9" s="22" t="s">
        <v>44</v>
      </c>
      <c r="C9" s="21" t="s">
        <v>45</v>
      </c>
      <c r="D9" s="10">
        <f>SUM(E9:H9)</f>
        <v>0</v>
      </c>
      <c r="E9" s="10">
        <v>0</v>
      </c>
      <c r="F9" s="10">
        <v>0</v>
      </c>
      <c r="G9" s="10">
        <v>0</v>
      </c>
      <c r="H9" s="10">
        <v>0</v>
      </c>
      <c r="I9" s="10">
        <f>I8</f>
        <v>5000</v>
      </c>
      <c r="J9" s="10">
        <v>0</v>
      </c>
      <c r="K9" s="10">
        <v>0</v>
      </c>
      <c r="L9" s="10">
        <v>0</v>
      </c>
      <c r="M9" s="10">
        <v>0</v>
      </c>
      <c r="N9" s="8">
        <v>5000</v>
      </c>
      <c r="O9" s="21" t="s">
        <v>67</v>
      </c>
    </row>
  </sheetData>
  <mergeCells count="13">
    <mergeCell ref="A1:O1"/>
    <mergeCell ref="A2:O2"/>
    <mergeCell ref="I3:O3"/>
    <mergeCell ref="A4:A6"/>
    <mergeCell ref="B4:B6"/>
    <mergeCell ref="C4:C6"/>
    <mergeCell ref="D4:H4"/>
    <mergeCell ref="I4:N4"/>
    <mergeCell ref="O4:O6"/>
    <mergeCell ref="D5:D6"/>
    <mergeCell ref="E5:H5"/>
    <mergeCell ref="I5:I6"/>
    <mergeCell ref="J5:N5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5"/>
  <sheetViews>
    <sheetView view="pageBreakPreview" zoomScale="60" zoomScaleNormal="100" workbookViewId="0">
      <selection activeCell="W12" sqref="W12"/>
    </sheetView>
  </sheetViews>
  <sheetFormatPr defaultColWidth="9.109375" defaultRowHeight="15.6" x14ac:dyDescent="0.3"/>
  <cols>
    <col min="1" max="1" width="5.5546875" style="40" customWidth="1"/>
    <col min="2" max="2" width="32.5546875" style="40" customWidth="1"/>
    <col min="3" max="3" width="7.44140625" style="40" customWidth="1"/>
    <col min="4" max="4" width="8.33203125" style="40" bestFit="1" customWidth="1"/>
    <col min="5" max="5" width="9.6640625" style="40" bestFit="1" customWidth="1"/>
    <col min="6" max="6" width="5.44140625" style="40" hidden="1" customWidth="1"/>
    <col min="7" max="7" width="9" style="40" customWidth="1"/>
    <col min="8" max="8" width="6.44140625" style="40" bestFit="1" customWidth="1"/>
    <col min="9" max="9" width="8" style="40" customWidth="1"/>
    <col min="10" max="10" width="8.5546875" style="40" bestFit="1" customWidth="1"/>
    <col min="11" max="11" width="5.44140625" style="40" hidden="1" customWidth="1"/>
    <col min="12" max="12" width="9.33203125" style="40" bestFit="1" customWidth="1"/>
    <col min="13" max="13" width="6.44140625" style="40" bestFit="1" customWidth="1"/>
    <col min="14" max="14" width="8.88671875" style="40" customWidth="1"/>
    <col min="15" max="15" width="9.6640625" style="40" bestFit="1" customWidth="1"/>
    <col min="16" max="16" width="5.44140625" style="40" hidden="1" customWidth="1"/>
    <col min="17" max="17" width="9.33203125" style="40" bestFit="1" customWidth="1"/>
    <col min="18" max="18" width="6.6640625" style="40" bestFit="1" customWidth="1"/>
    <col min="19" max="19" width="4.88671875" style="40" bestFit="1" customWidth="1"/>
    <col min="20" max="21" width="9.109375" style="40"/>
    <col min="22" max="22" width="16.44140625" style="40" bestFit="1" customWidth="1"/>
    <col min="23" max="23" width="13.109375" style="40" bestFit="1" customWidth="1"/>
    <col min="24" max="16384" width="9.109375" style="40"/>
  </cols>
  <sheetData>
    <row r="1" spans="1:23" ht="37.200000000000003" customHeight="1" x14ac:dyDescent="0.3">
      <c r="A1" s="64" t="s">
        <v>74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23" x14ac:dyDescent="0.3">
      <c r="A2" s="66" t="s">
        <v>61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</row>
    <row r="3" spans="1:23" x14ac:dyDescent="0.3">
      <c r="E3" s="41"/>
      <c r="F3" s="41"/>
      <c r="G3" s="41"/>
      <c r="H3" s="41"/>
      <c r="I3" s="41"/>
      <c r="J3" s="41"/>
      <c r="K3" s="41"/>
      <c r="L3" s="41"/>
      <c r="M3" s="41"/>
      <c r="N3" s="67" t="s">
        <v>57</v>
      </c>
      <c r="O3" s="67"/>
      <c r="P3" s="67"/>
      <c r="Q3" s="67"/>
      <c r="R3" s="67"/>
      <c r="S3" s="67"/>
    </row>
    <row r="4" spans="1:23" s="42" customFormat="1" ht="34.950000000000003" customHeight="1" x14ac:dyDescent="0.3">
      <c r="A4" s="68" t="s">
        <v>0</v>
      </c>
      <c r="B4" s="68" t="s">
        <v>1</v>
      </c>
      <c r="C4" s="68" t="s">
        <v>11</v>
      </c>
      <c r="D4" s="69" t="s">
        <v>38</v>
      </c>
      <c r="E4" s="70"/>
      <c r="F4" s="70"/>
      <c r="G4" s="70"/>
      <c r="H4" s="71"/>
      <c r="I4" s="69" t="s">
        <v>63</v>
      </c>
      <c r="J4" s="70"/>
      <c r="K4" s="70"/>
      <c r="L4" s="70"/>
      <c r="M4" s="71"/>
      <c r="N4" s="69" t="s">
        <v>56</v>
      </c>
      <c r="O4" s="70"/>
      <c r="P4" s="70"/>
      <c r="Q4" s="70"/>
      <c r="R4" s="71"/>
      <c r="S4" s="68" t="s">
        <v>71</v>
      </c>
    </row>
    <row r="5" spans="1:23" s="42" customFormat="1" x14ac:dyDescent="0.3">
      <c r="A5" s="68"/>
      <c r="B5" s="68"/>
      <c r="C5" s="68"/>
      <c r="D5" s="68" t="s">
        <v>3</v>
      </c>
      <c r="E5" s="69" t="s">
        <v>4</v>
      </c>
      <c r="F5" s="70"/>
      <c r="G5" s="70"/>
      <c r="H5" s="71"/>
      <c r="I5" s="68" t="s">
        <v>3</v>
      </c>
      <c r="J5" s="69" t="s">
        <v>4</v>
      </c>
      <c r="K5" s="70"/>
      <c r="L5" s="70"/>
      <c r="M5" s="71"/>
      <c r="N5" s="68" t="s">
        <v>3</v>
      </c>
      <c r="O5" s="43" t="s">
        <v>4</v>
      </c>
      <c r="P5" s="43"/>
      <c r="Q5" s="43"/>
      <c r="R5" s="43"/>
      <c r="S5" s="68"/>
    </row>
    <row r="6" spans="1:23" s="42" customFormat="1" ht="140.4" x14ac:dyDescent="0.3">
      <c r="A6" s="68"/>
      <c r="B6" s="68"/>
      <c r="C6" s="68"/>
      <c r="D6" s="68"/>
      <c r="E6" s="44" t="s">
        <v>8</v>
      </c>
      <c r="F6" s="46" t="s">
        <v>10</v>
      </c>
      <c r="G6" s="45" t="s">
        <v>54</v>
      </c>
      <c r="H6" s="45" t="s">
        <v>13</v>
      </c>
      <c r="I6" s="68"/>
      <c r="J6" s="44" t="s">
        <v>8</v>
      </c>
      <c r="K6" s="46" t="s">
        <v>10</v>
      </c>
      <c r="L6" s="45" t="s">
        <v>54</v>
      </c>
      <c r="M6" s="45" t="s">
        <v>13</v>
      </c>
      <c r="N6" s="68"/>
      <c r="O6" s="47" t="s">
        <v>8</v>
      </c>
      <c r="P6" s="46" t="s">
        <v>10</v>
      </c>
      <c r="Q6" s="48" t="s">
        <v>54</v>
      </c>
      <c r="R6" s="48" t="s">
        <v>13</v>
      </c>
      <c r="S6" s="68"/>
    </row>
    <row r="7" spans="1:23" s="42" customFormat="1" x14ac:dyDescent="0.3">
      <c r="A7" s="44"/>
      <c r="B7" s="47" t="s">
        <v>55</v>
      </c>
      <c r="C7" s="44"/>
      <c r="D7" s="49">
        <f>D8</f>
        <v>1311.3000000000002</v>
      </c>
      <c r="E7" s="49">
        <f t="shared" ref="E7:R7" si="0">E8</f>
        <v>1311.4</v>
      </c>
      <c r="F7" s="49">
        <f t="shared" si="0"/>
        <v>0</v>
      </c>
      <c r="G7" s="49">
        <f t="shared" si="0"/>
        <v>0</v>
      </c>
      <c r="H7" s="49">
        <f t="shared" si="0"/>
        <v>0</v>
      </c>
      <c r="I7" s="49">
        <f t="shared" si="0"/>
        <v>660.3</v>
      </c>
      <c r="J7" s="49">
        <f t="shared" si="0"/>
        <v>405.5</v>
      </c>
      <c r="K7" s="49">
        <f t="shared" si="0"/>
        <v>0</v>
      </c>
      <c r="L7" s="49">
        <f t="shared" si="0"/>
        <v>239.4</v>
      </c>
      <c r="M7" s="49">
        <f t="shared" si="0"/>
        <v>15.4</v>
      </c>
      <c r="N7" s="49">
        <f t="shared" si="0"/>
        <v>1971.7000000000003</v>
      </c>
      <c r="O7" s="49">
        <f t="shared" si="0"/>
        <v>1716.9</v>
      </c>
      <c r="P7" s="49">
        <f t="shared" si="0"/>
        <v>0</v>
      </c>
      <c r="Q7" s="49">
        <f t="shared" si="0"/>
        <v>239.4</v>
      </c>
      <c r="R7" s="49">
        <f t="shared" si="0"/>
        <v>15.4</v>
      </c>
      <c r="S7" s="44"/>
    </row>
    <row r="8" spans="1:23" s="42" customFormat="1" ht="31.2" x14ac:dyDescent="0.3">
      <c r="A8" s="44"/>
      <c r="B8" s="50" t="s">
        <v>14</v>
      </c>
      <c r="C8" s="44"/>
      <c r="D8" s="51">
        <f>D9+D13-0.1</f>
        <v>1311.3000000000002</v>
      </c>
      <c r="E8" s="51">
        <f t="shared" ref="E8:R8" si="1">E9+E13</f>
        <v>1311.4</v>
      </c>
      <c r="F8" s="51">
        <f t="shared" si="1"/>
        <v>0</v>
      </c>
      <c r="G8" s="51">
        <f t="shared" si="1"/>
        <v>0</v>
      </c>
      <c r="H8" s="51">
        <f t="shared" si="1"/>
        <v>0</v>
      </c>
      <c r="I8" s="51">
        <f t="shared" si="1"/>
        <v>660.3</v>
      </c>
      <c r="J8" s="51">
        <f t="shared" si="1"/>
        <v>405.5</v>
      </c>
      <c r="K8" s="51">
        <f t="shared" si="1"/>
        <v>0</v>
      </c>
      <c r="L8" s="51">
        <f t="shared" si="1"/>
        <v>239.4</v>
      </c>
      <c r="M8" s="51">
        <f t="shared" si="1"/>
        <v>15.4</v>
      </c>
      <c r="N8" s="51">
        <f t="shared" si="1"/>
        <v>1971.7000000000003</v>
      </c>
      <c r="O8" s="51">
        <f t="shared" si="1"/>
        <v>1716.9</v>
      </c>
      <c r="P8" s="51">
        <f t="shared" si="1"/>
        <v>0</v>
      </c>
      <c r="Q8" s="51">
        <f t="shared" si="1"/>
        <v>239.4</v>
      </c>
      <c r="R8" s="51">
        <f t="shared" si="1"/>
        <v>15.4</v>
      </c>
      <c r="S8" s="43"/>
    </row>
    <row r="9" spans="1:23" s="42" customFormat="1" ht="31.2" x14ac:dyDescent="0.3">
      <c r="A9" s="44" t="s">
        <v>12</v>
      </c>
      <c r="B9" s="52" t="s">
        <v>15</v>
      </c>
      <c r="C9" s="53"/>
      <c r="D9" s="51">
        <f>D10</f>
        <v>0</v>
      </c>
      <c r="E9" s="51">
        <f t="shared" ref="E9:Q9" si="2">E10</f>
        <v>0</v>
      </c>
      <c r="F9" s="51">
        <f t="shared" si="2"/>
        <v>0</v>
      </c>
      <c r="G9" s="51">
        <f t="shared" si="2"/>
        <v>0</v>
      </c>
      <c r="H9" s="51">
        <f t="shared" si="2"/>
        <v>0</v>
      </c>
      <c r="I9" s="51">
        <f t="shared" si="2"/>
        <v>537.4</v>
      </c>
      <c r="J9" s="51">
        <f t="shared" si="2"/>
        <v>298</v>
      </c>
      <c r="K9" s="51">
        <f t="shared" si="2"/>
        <v>0</v>
      </c>
      <c r="L9" s="51">
        <f t="shared" si="2"/>
        <v>239.4</v>
      </c>
      <c r="M9" s="51">
        <f t="shared" si="2"/>
        <v>0</v>
      </c>
      <c r="N9" s="51">
        <f t="shared" si="2"/>
        <v>537.4</v>
      </c>
      <c r="O9" s="51">
        <f t="shared" si="2"/>
        <v>298</v>
      </c>
      <c r="P9" s="51">
        <f t="shared" si="2"/>
        <v>0</v>
      </c>
      <c r="Q9" s="51">
        <f t="shared" si="2"/>
        <v>239.4</v>
      </c>
      <c r="R9" s="51">
        <f>R10</f>
        <v>0</v>
      </c>
      <c r="S9" s="43"/>
      <c r="V9" s="59"/>
      <c r="W9" s="59"/>
    </row>
    <row r="10" spans="1:23" s="42" customFormat="1" x14ac:dyDescent="0.3">
      <c r="A10" s="44" t="s">
        <v>41</v>
      </c>
      <c r="B10" s="52" t="s">
        <v>52</v>
      </c>
      <c r="C10" s="53"/>
      <c r="D10" s="51">
        <f>SUM(D11:D12)</f>
        <v>0</v>
      </c>
      <c r="E10" s="51">
        <f>SUM(E11:E12)</f>
        <v>0</v>
      </c>
      <c r="F10" s="51">
        <f>SUM(F11:F12)</f>
        <v>0</v>
      </c>
      <c r="G10" s="51">
        <f>SUM(G11:G12)</f>
        <v>0</v>
      </c>
      <c r="H10" s="51">
        <f>SUM(H11:H12)</f>
        <v>0</v>
      </c>
      <c r="I10" s="51">
        <f>I11+I12</f>
        <v>537.4</v>
      </c>
      <c r="J10" s="51">
        <f t="shared" ref="J10:R10" si="3">SUM(J11:J12)</f>
        <v>298</v>
      </c>
      <c r="K10" s="51">
        <f t="shared" si="3"/>
        <v>0</v>
      </c>
      <c r="L10" s="51">
        <f t="shared" si="3"/>
        <v>239.4</v>
      </c>
      <c r="M10" s="51">
        <f t="shared" si="3"/>
        <v>0</v>
      </c>
      <c r="N10" s="51">
        <f t="shared" si="3"/>
        <v>537.4</v>
      </c>
      <c r="O10" s="51">
        <f t="shared" si="3"/>
        <v>298</v>
      </c>
      <c r="P10" s="51">
        <f t="shared" si="3"/>
        <v>0</v>
      </c>
      <c r="Q10" s="51">
        <f t="shared" si="3"/>
        <v>239.4</v>
      </c>
      <c r="R10" s="51">
        <f t="shared" si="3"/>
        <v>0</v>
      </c>
      <c r="S10" s="43"/>
    </row>
    <row r="11" spans="1:23" s="55" customFormat="1" ht="31.2" x14ac:dyDescent="0.3">
      <c r="A11" s="53">
        <v>1</v>
      </c>
      <c r="B11" s="37" t="s">
        <v>46</v>
      </c>
      <c r="C11" s="53" t="s">
        <v>40</v>
      </c>
      <c r="D11" s="54">
        <f t="shared" ref="D11:D12" si="4">SUM(E11:H11)</f>
        <v>0</v>
      </c>
      <c r="E11" s="54">
        <v>0</v>
      </c>
      <c r="F11" s="54">
        <v>0</v>
      </c>
      <c r="G11" s="54">
        <v>0</v>
      </c>
      <c r="H11" s="54">
        <v>0</v>
      </c>
      <c r="I11" s="54">
        <f>N11</f>
        <v>512.4</v>
      </c>
      <c r="J11" s="54">
        <f>O11</f>
        <v>273</v>
      </c>
      <c r="K11" s="54">
        <v>0</v>
      </c>
      <c r="L11" s="54">
        <f>Q11</f>
        <v>239.4</v>
      </c>
      <c r="M11" s="54">
        <v>0</v>
      </c>
      <c r="N11" s="54">
        <f>SUM(O11:R11)</f>
        <v>512.4</v>
      </c>
      <c r="O11" s="54">
        <v>273</v>
      </c>
      <c r="P11" s="54">
        <f>F11+K11</f>
        <v>0</v>
      </c>
      <c r="Q11" s="54">
        <v>239.4</v>
      </c>
      <c r="R11" s="54">
        <f>H11+M11</f>
        <v>0</v>
      </c>
      <c r="S11" s="58"/>
      <c r="T11" s="55" t="e">
        <f>#REF!+414</f>
        <v>#REF!</v>
      </c>
    </row>
    <row r="12" spans="1:23" s="55" customFormat="1" ht="31.2" x14ac:dyDescent="0.3">
      <c r="A12" s="53">
        <v>2</v>
      </c>
      <c r="B12" s="37" t="s">
        <v>47</v>
      </c>
      <c r="C12" s="53" t="s">
        <v>40</v>
      </c>
      <c r="D12" s="54">
        <f t="shared" si="4"/>
        <v>0</v>
      </c>
      <c r="E12" s="54">
        <v>0</v>
      </c>
      <c r="F12" s="54">
        <v>0</v>
      </c>
      <c r="G12" s="54">
        <v>0</v>
      </c>
      <c r="H12" s="54">
        <v>0</v>
      </c>
      <c r="I12" s="54">
        <v>25</v>
      </c>
      <c r="J12" s="54">
        <v>25</v>
      </c>
      <c r="K12" s="54">
        <v>0</v>
      </c>
      <c r="L12" s="54">
        <v>0</v>
      </c>
      <c r="M12" s="54">
        <v>0</v>
      </c>
      <c r="N12" s="54">
        <f>SUM(O12:R12)</f>
        <v>25</v>
      </c>
      <c r="O12" s="54">
        <v>25</v>
      </c>
      <c r="P12" s="54">
        <f>F12+K12</f>
        <v>0</v>
      </c>
      <c r="Q12" s="54">
        <f>G12+L12</f>
        <v>0</v>
      </c>
      <c r="R12" s="54">
        <f>H12+M12</f>
        <v>0</v>
      </c>
      <c r="S12" s="58"/>
    </row>
    <row r="13" spans="1:23" s="42" customFormat="1" ht="46.8" x14ac:dyDescent="0.3">
      <c r="A13" s="44" t="s">
        <v>39</v>
      </c>
      <c r="B13" s="52" t="s">
        <v>23</v>
      </c>
      <c r="C13" s="53"/>
      <c r="D13" s="51">
        <f>D14</f>
        <v>1311.4</v>
      </c>
      <c r="E13" s="51">
        <f t="shared" ref="E13:R13" si="5">E14</f>
        <v>1311.4</v>
      </c>
      <c r="F13" s="51">
        <f t="shared" si="5"/>
        <v>0</v>
      </c>
      <c r="G13" s="51">
        <f t="shared" si="5"/>
        <v>0</v>
      </c>
      <c r="H13" s="51">
        <f t="shared" si="5"/>
        <v>0</v>
      </c>
      <c r="I13" s="51">
        <f t="shared" si="5"/>
        <v>122.9</v>
      </c>
      <c r="J13" s="51">
        <f t="shared" si="5"/>
        <v>107.5</v>
      </c>
      <c r="K13" s="51">
        <f t="shared" si="5"/>
        <v>0</v>
      </c>
      <c r="L13" s="51">
        <f t="shared" si="5"/>
        <v>0</v>
      </c>
      <c r="M13" s="51">
        <f t="shared" si="5"/>
        <v>15.4</v>
      </c>
      <c r="N13" s="51">
        <f t="shared" si="5"/>
        <v>1434.3000000000002</v>
      </c>
      <c r="O13" s="51">
        <f t="shared" si="5"/>
        <v>1418.9</v>
      </c>
      <c r="P13" s="51">
        <f t="shared" si="5"/>
        <v>0</v>
      </c>
      <c r="Q13" s="51">
        <f t="shared" si="5"/>
        <v>0</v>
      </c>
      <c r="R13" s="51">
        <f t="shared" si="5"/>
        <v>15.4</v>
      </c>
      <c r="S13" s="43"/>
    </row>
    <row r="14" spans="1:23" s="42" customFormat="1" x14ac:dyDescent="0.3">
      <c r="A14" s="44" t="s">
        <v>41</v>
      </c>
      <c r="B14" s="52" t="s">
        <v>52</v>
      </c>
      <c r="C14" s="53"/>
      <c r="D14" s="51">
        <f>D15</f>
        <v>1311.4</v>
      </c>
      <c r="E14" s="51">
        <f t="shared" ref="E14:R14" si="6">E15</f>
        <v>1311.4</v>
      </c>
      <c r="F14" s="51">
        <f t="shared" si="6"/>
        <v>0</v>
      </c>
      <c r="G14" s="51">
        <f t="shared" si="6"/>
        <v>0</v>
      </c>
      <c r="H14" s="51">
        <f t="shared" si="6"/>
        <v>0</v>
      </c>
      <c r="I14" s="51">
        <f t="shared" si="6"/>
        <v>122.9</v>
      </c>
      <c r="J14" s="51">
        <f t="shared" si="6"/>
        <v>107.5</v>
      </c>
      <c r="K14" s="51">
        <f t="shared" si="6"/>
        <v>0</v>
      </c>
      <c r="L14" s="51">
        <f t="shared" si="6"/>
        <v>0</v>
      </c>
      <c r="M14" s="51">
        <f t="shared" si="6"/>
        <v>15.4</v>
      </c>
      <c r="N14" s="51">
        <f t="shared" si="6"/>
        <v>1434.3000000000002</v>
      </c>
      <c r="O14" s="51">
        <f t="shared" si="6"/>
        <v>1418.9</v>
      </c>
      <c r="P14" s="51">
        <f t="shared" si="6"/>
        <v>0</v>
      </c>
      <c r="Q14" s="51">
        <f t="shared" si="6"/>
        <v>0</v>
      </c>
      <c r="R14" s="51">
        <f t="shared" si="6"/>
        <v>15.4</v>
      </c>
      <c r="S14" s="43"/>
    </row>
    <row r="15" spans="1:23" s="55" customFormat="1" ht="46.8" x14ac:dyDescent="0.3">
      <c r="A15" s="53">
        <v>1</v>
      </c>
      <c r="B15" s="37" t="s">
        <v>53</v>
      </c>
      <c r="C15" s="53" t="s">
        <v>40</v>
      </c>
      <c r="D15" s="54">
        <f>SUM(E15:H15)</f>
        <v>1311.4</v>
      </c>
      <c r="E15" s="54">
        <v>1311.4</v>
      </c>
      <c r="F15" s="54"/>
      <c r="G15" s="54">
        <v>0</v>
      </c>
      <c r="H15" s="54">
        <v>0</v>
      </c>
      <c r="I15" s="54">
        <v>122.9</v>
      </c>
      <c r="J15" s="60">
        <v>107.5</v>
      </c>
      <c r="K15" s="54"/>
      <c r="L15" s="54">
        <v>0</v>
      </c>
      <c r="M15" s="60">
        <f>9.4+6</f>
        <v>15.4</v>
      </c>
      <c r="N15" s="54">
        <f>SUM(O15:R15)</f>
        <v>1434.3000000000002</v>
      </c>
      <c r="O15" s="54">
        <f>E15+J15</f>
        <v>1418.9</v>
      </c>
      <c r="P15" s="54">
        <f t="shared" ref="P15:R15" si="7">F15+K15</f>
        <v>0</v>
      </c>
      <c r="Q15" s="54">
        <f t="shared" si="7"/>
        <v>0</v>
      </c>
      <c r="R15" s="54">
        <f t="shared" si="7"/>
        <v>15.4</v>
      </c>
      <c r="S15" s="58"/>
    </row>
  </sheetData>
  <mergeCells count="15">
    <mergeCell ref="A1:S1"/>
    <mergeCell ref="A2:S2"/>
    <mergeCell ref="N3:S3"/>
    <mergeCell ref="A4:A6"/>
    <mergeCell ref="B4:B6"/>
    <mergeCell ref="C4:C6"/>
    <mergeCell ref="D4:H4"/>
    <mergeCell ref="I4:M4"/>
    <mergeCell ref="S4:S6"/>
    <mergeCell ref="D5:D6"/>
    <mergeCell ref="E5:H5"/>
    <mergeCell ref="I5:I6"/>
    <mergeCell ref="J5:M5"/>
    <mergeCell ref="N5:N6"/>
    <mergeCell ref="N4:R4"/>
  </mergeCells>
  <pageMargins left="0.2" right="0.2" top="0.5" bottom="0.25" header="0.3" footer="0.3"/>
  <pageSetup paperSize="9" scale="95" orientation="landscape" verticalDpi="0" r:id="rId1"/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44"/>
  <sheetViews>
    <sheetView view="pageBreakPreview" zoomScale="60" zoomScaleNormal="100" workbookViewId="0">
      <selection activeCell="E24" sqref="E24"/>
    </sheetView>
  </sheetViews>
  <sheetFormatPr defaultColWidth="9.109375" defaultRowHeight="15.6" x14ac:dyDescent="0.3"/>
  <cols>
    <col min="1" max="1" width="5.5546875" style="13" customWidth="1"/>
    <col min="2" max="2" width="29.109375" style="13" customWidth="1"/>
    <col min="3" max="3" width="7.44140625" style="13" customWidth="1"/>
    <col min="4" max="4" width="8.33203125" style="13" bestFit="1" customWidth="1"/>
    <col min="5" max="5" width="9.6640625" style="13" bestFit="1" customWidth="1"/>
    <col min="6" max="6" width="5.44140625" style="13" hidden="1" customWidth="1"/>
    <col min="7" max="7" width="9" style="13" customWidth="1"/>
    <col min="8" max="8" width="6.44140625" style="13" bestFit="1" customWidth="1"/>
    <col min="9" max="9" width="10.33203125" style="13" bestFit="1" customWidth="1"/>
    <col min="10" max="10" width="8.5546875" style="13" bestFit="1" customWidth="1"/>
    <col min="11" max="11" width="5.44140625" style="13" hidden="1" customWidth="1"/>
    <col min="12" max="12" width="9.33203125" style="13" bestFit="1" customWidth="1"/>
    <col min="13" max="13" width="6.44140625" style="13" bestFit="1" customWidth="1"/>
    <col min="14" max="14" width="9.33203125" style="13" customWidth="1"/>
    <col min="15" max="15" width="8.88671875" style="13" customWidth="1"/>
    <col min="16" max="16" width="9.6640625" style="13" bestFit="1" customWidth="1"/>
    <col min="17" max="17" width="5.44140625" style="13" hidden="1" customWidth="1"/>
    <col min="18" max="18" width="9.33203125" style="13" bestFit="1" customWidth="1"/>
    <col min="19" max="19" width="6.6640625" style="13" bestFit="1" customWidth="1"/>
    <col min="20" max="20" width="8.88671875" style="13" customWidth="1"/>
    <col min="21" max="21" width="4.88671875" style="13" bestFit="1" customWidth="1"/>
    <col min="22" max="23" width="9.109375" style="13"/>
    <col min="24" max="24" width="16.44140625" style="13" bestFit="1" customWidth="1"/>
    <col min="25" max="25" width="13.109375" style="13" bestFit="1" customWidth="1"/>
    <col min="26" max="16384" width="9.109375" style="13"/>
  </cols>
  <sheetData>
    <row r="1" spans="1:25" x14ac:dyDescent="0.3">
      <c r="A1" s="72" t="s">
        <v>60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</row>
    <row r="2" spans="1:25" x14ac:dyDescent="0.3">
      <c r="A2" s="74" t="s">
        <v>61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</row>
    <row r="3" spans="1:25" x14ac:dyDescent="0.3">
      <c r="E3" s="11"/>
      <c r="F3" s="11"/>
      <c r="G3" s="11"/>
      <c r="H3" s="11"/>
      <c r="I3" s="11"/>
      <c r="J3" s="11"/>
      <c r="K3" s="11"/>
      <c r="L3" s="11"/>
      <c r="M3" s="11"/>
      <c r="N3" s="11"/>
      <c r="O3" s="75" t="s">
        <v>57</v>
      </c>
      <c r="P3" s="75"/>
      <c r="Q3" s="75"/>
      <c r="R3" s="75"/>
      <c r="S3" s="75"/>
      <c r="T3" s="75"/>
      <c r="U3" s="75"/>
    </row>
    <row r="4" spans="1:25" s="16" customFormat="1" x14ac:dyDescent="0.3">
      <c r="A4" s="76" t="s">
        <v>0</v>
      </c>
      <c r="B4" s="76" t="s">
        <v>1</v>
      </c>
      <c r="C4" s="76" t="s">
        <v>11</v>
      </c>
      <c r="D4" s="77" t="s">
        <v>38</v>
      </c>
      <c r="E4" s="78"/>
      <c r="F4" s="78"/>
      <c r="G4" s="78"/>
      <c r="H4" s="79"/>
      <c r="I4" s="77" t="s">
        <v>9</v>
      </c>
      <c r="J4" s="78"/>
      <c r="K4" s="78"/>
      <c r="L4" s="78"/>
      <c r="M4" s="79"/>
      <c r="N4" s="80" t="s">
        <v>58</v>
      </c>
      <c r="O4" s="77" t="s">
        <v>56</v>
      </c>
      <c r="P4" s="78"/>
      <c r="Q4" s="78"/>
      <c r="R4" s="78"/>
      <c r="S4" s="78"/>
      <c r="T4" s="79"/>
      <c r="U4" s="76" t="s">
        <v>71</v>
      </c>
    </row>
    <row r="5" spans="1:25" s="16" customFormat="1" x14ac:dyDescent="0.3">
      <c r="A5" s="76"/>
      <c r="B5" s="76"/>
      <c r="C5" s="76"/>
      <c r="D5" s="76" t="s">
        <v>3</v>
      </c>
      <c r="E5" s="77" t="s">
        <v>4</v>
      </c>
      <c r="F5" s="78"/>
      <c r="G5" s="78"/>
      <c r="H5" s="79"/>
      <c r="I5" s="76" t="s">
        <v>3</v>
      </c>
      <c r="J5" s="77" t="s">
        <v>4</v>
      </c>
      <c r="K5" s="78"/>
      <c r="L5" s="78"/>
      <c r="M5" s="79"/>
      <c r="N5" s="81"/>
      <c r="O5" s="76" t="s">
        <v>3</v>
      </c>
      <c r="P5" s="76" t="s">
        <v>4</v>
      </c>
      <c r="Q5" s="76"/>
      <c r="R5" s="76"/>
      <c r="S5" s="76"/>
      <c r="T5" s="76"/>
      <c r="U5" s="76"/>
    </row>
    <row r="6" spans="1:25" s="16" customFormat="1" ht="154.19999999999999" customHeight="1" x14ac:dyDescent="0.3">
      <c r="A6" s="76"/>
      <c r="B6" s="76"/>
      <c r="C6" s="76"/>
      <c r="D6" s="76"/>
      <c r="E6" s="15" t="s">
        <v>8</v>
      </c>
      <c r="F6" s="17" t="s">
        <v>10</v>
      </c>
      <c r="G6" s="1" t="s">
        <v>54</v>
      </c>
      <c r="H6" s="1" t="s">
        <v>13</v>
      </c>
      <c r="I6" s="76"/>
      <c r="J6" s="15" t="s">
        <v>8</v>
      </c>
      <c r="K6" s="17" t="s">
        <v>10</v>
      </c>
      <c r="L6" s="1" t="s">
        <v>54</v>
      </c>
      <c r="M6" s="1" t="s">
        <v>13</v>
      </c>
      <c r="N6" s="82"/>
      <c r="O6" s="76"/>
      <c r="P6" s="18" t="s">
        <v>8</v>
      </c>
      <c r="Q6" s="17" t="s">
        <v>10</v>
      </c>
      <c r="R6" s="7" t="s">
        <v>54</v>
      </c>
      <c r="S6" s="7" t="s">
        <v>13</v>
      </c>
      <c r="T6" s="2" t="s">
        <v>59</v>
      </c>
      <c r="U6" s="76"/>
    </row>
    <row r="7" spans="1:25" s="16" customFormat="1" x14ac:dyDescent="0.3">
      <c r="A7" s="15"/>
      <c r="B7" s="18" t="s">
        <v>55</v>
      </c>
      <c r="C7" s="15"/>
      <c r="D7" s="12">
        <f>D8+D11</f>
        <v>3470.3590000000004</v>
      </c>
      <c r="E7" s="12">
        <f t="shared" ref="E7:T7" si="0">E8+E11</f>
        <v>2631.3339999999998</v>
      </c>
      <c r="F7" s="12">
        <f t="shared" si="0"/>
        <v>0</v>
      </c>
      <c r="G7" s="12">
        <f t="shared" si="0"/>
        <v>751.32500000000005</v>
      </c>
      <c r="H7" s="12">
        <f t="shared" si="0"/>
        <v>87.8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9">
        <f>N8</f>
        <v>5000</v>
      </c>
      <c r="O7" s="12">
        <f t="shared" si="0"/>
        <v>8470.3661309999989</v>
      </c>
      <c r="P7" s="12">
        <f t="shared" si="0"/>
        <v>2631.3290470000002</v>
      </c>
      <c r="Q7" s="12">
        <f t="shared" si="0"/>
        <v>0</v>
      </c>
      <c r="R7" s="12">
        <f t="shared" si="0"/>
        <v>751.25745399999994</v>
      </c>
      <c r="S7" s="12">
        <f t="shared" si="0"/>
        <v>87.779629999999997</v>
      </c>
      <c r="T7" s="19">
        <f t="shared" si="0"/>
        <v>5000</v>
      </c>
      <c r="U7" s="15"/>
    </row>
    <row r="8" spans="1:25" s="16" customFormat="1" x14ac:dyDescent="0.3">
      <c r="A8" s="15" t="s">
        <v>6</v>
      </c>
      <c r="B8" s="20" t="s">
        <v>43</v>
      </c>
      <c r="C8" s="15"/>
      <c r="D8" s="5">
        <f>D9</f>
        <v>0</v>
      </c>
      <c r="E8" s="5">
        <f t="shared" ref="E8:T9" si="1">E9</f>
        <v>0</v>
      </c>
      <c r="F8" s="5">
        <f t="shared" si="1"/>
        <v>0</v>
      </c>
      <c r="G8" s="5">
        <f t="shared" si="1"/>
        <v>0</v>
      </c>
      <c r="H8" s="5">
        <f t="shared" si="1"/>
        <v>0</v>
      </c>
      <c r="I8" s="5">
        <f t="shared" si="1"/>
        <v>0</v>
      </c>
      <c r="J8" s="5">
        <f t="shared" si="1"/>
        <v>0</v>
      </c>
      <c r="K8" s="5">
        <f t="shared" si="1"/>
        <v>0</v>
      </c>
      <c r="L8" s="5">
        <f t="shared" si="1"/>
        <v>0</v>
      </c>
      <c r="M8" s="5">
        <f t="shared" si="1"/>
        <v>0</v>
      </c>
      <c r="N8" s="9">
        <f t="shared" si="1"/>
        <v>5000</v>
      </c>
      <c r="O8" s="5">
        <f t="shared" si="1"/>
        <v>5000</v>
      </c>
      <c r="P8" s="5">
        <f t="shared" si="1"/>
        <v>0</v>
      </c>
      <c r="Q8" s="5">
        <f t="shared" si="1"/>
        <v>0</v>
      </c>
      <c r="R8" s="5">
        <f t="shared" si="1"/>
        <v>0</v>
      </c>
      <c r="S8" s="5">
        <f t="shared" si="1"/>
        <v>0</v>
      </c>
      <c r="T8" s="9">
        <f t="shared" si="1"/>
        <v>5000</v>
      </c>
      <c r="U8" s="15"/>
    </row>
    <row r="9" spans="1:25" s="16" customFormat="1" x14ac:dyDescent="0.3">
      <c r="A9" s="15" t="s">
        <v>41</v>
      </c>
      <c r="B9" s="20" t="s">
        <v>52</v>
      </c>
      <c r="C9" s="15"/>
      <c r="D9" s="5">
        <f>D10</f>
        <v>0</v>
      </c>
      <c r="E9" s="5">
        <f t="shared" si="1"/>
        <v>0</v>
      </c>
      <c r="F9" s="5">
        <f t="shared" si="1"/>
        <v>0</v>
      </c>
      <c r="G9" s="5">
        <f t="shared" si="1"/>
        <v>0</v>
      </c>
      <c r="H9" s="5">
        <f t="shared" si="1"/>
        <v>0</v>
      </c>
      <c r="I9" s="5">
        <f t="shared" si="1"/>
        <v>0</v>
      </c>
      <c r="J9" s="5">
        <f t="shared" si="1"/>
        <v>0</v>
      </c>
      <c r="K9" s="5">
        <f t="shared" si="1"/>
        <v>0</v>
      </c>
      <c r="L9" s="5">
        <f t="shared" si="1"/>
        <v>0</v>
      </c>
      <c r="M9" s="5">
        <f t="shared" si="1"/>
        <v>0</v>
      </c>
      <c r="N9" s="9">
        <f t="shared" si="1"/>
        <v>5000</v>
      </c>
      <c r="O9" s="5">
        <f t="shared" si="1"/>
        <v>5000</v>
      </c>
      <c r="P9" s="5">
        <f t="shared" si="1"/>
        <v>0</v>
      </c>
      <c r="Q9" s="5">
        <f t="shared" si="1"/>
        <v>0</v>
      </c>
      <c r="R9" s="5">
        <f t="shared" si="1"/>
        <v>0</v>
      </c>
      <c r="S9" s="5">
        <f t="shared" si="1"/>
        <v>0</v>
      </c>
      <c r="T9" s="9">
        <f t="shared" si="1"/>
        <v>5000</v>
      </c>
      <c r="U9" s="15"/>
    </row>
    <row r="10" spans="1:25" s="24" customFormat="1" ht="46.8" x14ac:dyDescent="0.3">
      <c r="A10" s="21">
        <v>1</v>
      </c>
      <c r="B10" s="22" t="s">
        <v>44</v>
      </c>
      <c r="C10" s="21" t="s">
        <v>45</v>
      </c>
      <c r="D10" s="3">
        <f>SUM(E10:H10)</f>
        <v>0</v>
      </c>
      <c r="E10" s="3">
        <v>0</v>
      </c>
      <c r="F10" s="3"/>
      <c r="G10" s="3">
        <v>0</v>
      </c>
      <c r="H10" s="3">
        <v>0</v>
      </c>
      <c r="I10" s="3">
        <f>SUM(J10:M10)</f>
        <v>0</v>
      </c>
      <c r="J10" s="3">
        <v>0</v>
      </c>
      <c r="K10" s="3"/>
      <c r="L10" s="3">
        <v>0</v>
      </c>
      <c r="M10" s="3">
        <v>0</v>
      </c>
      <c r="N10" s="10">
        <v>5000</v>
      </c>
      <c r="O10" s="3">
        <f>SUM(P10:T10)</f>
        <v>5000</v>
      </c>
      <c r="P10" s="3">
        <f>E10+J10</f>
        <v>0</v>
      </c>
      <c r="Q10" s="3">
        <f>F10+K10</f>
        <v>0</v>
      </c>
      <c r="R10" s="3">
        <f>G10+L10</f>
        <v>0</v>
      </c>
      <c r="S10" s="3">
        <f>H10+M10</f>
        <v>0</v>
      </c>
      <c r="T10" s="8">
        <v>5000</v>
      </c>
      <c r="U10" s="23"/>
    </row>
    <row r="11" spans="1:25" s="16" customFormat="1" ht="31.2" x14ac:dyDescent="0.3">
      <c r="A11" s="15" t="s">
        <v>7</v>
      </c>
      <c r="B11" s="20" t="s">
        <v>14</v>
      </c>
      <c r="C11" s="15"/>
      <c r="D11" s="6">
        <f>D12+D29-0.1</f>
        <v>3470.3590000000004</v>
      </c>
      <c r="E11" s="6">
        <f t="shared" ref="E11:S11" si="2">E12+E29</f>
        <v>2631.3339999999998</v>
      </c>
      <c r="F11" s="6">
        <f t="shared" si="2"/>
        <v>0</v>
      </c>
      <c r="G11" s="6">
        <f t="shared" si="2"/>
        <v>751.32500000000005</v>
      </c>
      <c r="H11" s="6">
        <f t="shared" si="2"/>
        <v>87.8</v>
      </c>
      <c r="I11" s="6">
        <f t="shared" si="2"/>
        <v>0</v>
      </c>
      <c r="J11" s="6">
        <f t="shared" si="2"/>
        <v>0</v>
      </c>
      <c r="K11" s="6">
        <f t="shared" si="2"/>
        <v>0</v>
      </c>
      <c r="L11" s="6">
        <f t="shared" si="2"/>
        <v>0</v>
      </c>
      <c r="M11" s="6">
        <f t="shared" si="2"/>
        <v>0</v>
      </c>
      <c r="N11" s="6"/>
      <c r="O11" s="6">
        <f t="shared" si="2"/>
        <v>3470.3661309999998</v>
      </c>
      <c r="P11" s="6">
        <f t="shared" si="2"/>
        <v>2631.3290470000002</v>
      </c>
      <c r="Q11" s="6">
        <f t="shared" si="2"/>
        <v>0</v>
      </c>
      <c r="R11" s="6">
        <f t="shared" si="2"/>
        <v>751.25745399999994</v>
      </c>
      <c r="S11" s="6">
        <f t="shared" si="2"/>
        <v>87.779629999999997</v>
      </c>
      <c r="T11" s="6"/>
      <c r="U11" s="25"/>
    </row>
    <row r="12" spans="1:25" s="16" customFormat="1" ht="46.8" x14ac:dyDescent="0.3">
      <c r="A12" s="15" t="s">
        <v>12</v>
      </c>
      <c r="B12" s="26" t="s">
        <v>15</v>
      </c>
      <c r="C12" s="21"/>
      <c r="D12" s="6">
        <f>D13+D18</f>
        <v>1666.1470000000002</v>
      </c>
      <c r="E12" s="6">
        <f t="shared" ref="E12:S12" si="3">E13+E18</f>
        <v>980.32199999999989</v>
      </c>
      <c r="F12" s="6">
        <f t="shared" si="3"/>
        <v>0</v>
      </c>
      <c r="G12" s="6">
        <f t="shared" si="3"/>
        <v>685.82500000000005</v>
      </c>
      <c r="H12" s="6">
        <f t="shared" si="3"/>
        <v>0</v>
      </c>
      <c r="I12" s="6">
        <f t="shared" si="3"/>
        <v>0</v>
      </c>
      <c r="J12" s="6">
        <f t="shared" si="3"/>
        <v>0</v>
      </c>
      <c r="K12" s="6">
        <f t="shared" si="3"/>
        <v>0</v>
      </c>
      <c r="L12" s="6">
        <f t="shared" si="3"/>
        <v>0</v>
      </c>
      <c r="M12" s="6">
        <f t="shared" si="3"/>
        <v>0</v>
      </c>
      <c r="N12" s="6"/>
      <c r="O12" s="6">
        <f>O13+O18-0.1</f>
        <v>1666.0701999999997</v>
      </c>
      <c r="P12" s="6">
        <f t="shared" si="3"/>
        <v>980.31274600000006</v>
      </c>
      <c r="Q12" s="6">
        <f t="shared" si="3"/>
        <v>0</v>
      </c>
      <c r="R12" s="6">
        <f>R13+R18-0.1</f>
        <v>685.75745399999994</v>
      </c>
      <c r="S12" s="6">
        <f t="shared" si="3"/>
        <v>0</v>
      </c>
      <c r="T12" s="6"/>
      <c r="U12" s="25"/>
      <c r="X12" s="27"/>
      <c r="Y12" s="27"/>
    </row>
    <row r="13" spans="1:25" s="16" customFormat="1" x14ac:dyDescent="0.3">
      <c r="A13" s="15" t="s">
        <v>41</v>
      </c>
      <c r="B13" s="26" t="s">
        <v>52</v>
      </c>
      <c r="C13" s="21"/>
      <c r="D13" s="6">
        <f>SUM(D14:D17)</f>
        <v>377</v>
      </c>
      <c r="E13" s="6">
        <f t="shared" ref="E13:S13" si="4">SUM(E14:E17)</f>
        <v>182</v>
      </c>
      <c r="F13" s="6">
        <f t="shared" si="4"/>
        <v>0</v>
      </c>
      <c r="G13" s="6">
        <f t="shared" si="4"/>
        <v>195</v>
      </c>
      <c r="H13" s="6">
        <f t="shared" si="4"/>
        <v>0</v>
      </c>
      <c r="I13" s="6">
        <f>SUM(I14:I17)</f>
        <v>160.3768</v>
      </c>
      <c r="J13" s="6">
        <f>SUM(J14:J17)</f>
        <v>116.009254</v>
      </c>
      <c r="K13" s="6">
        <f t="shared" ref="K13" si="5">SUM(K14:K17)</f>
        <v>0</v>
      </c>
      <c r="L13" s="6">
        <f>SUM(L14:L17)</f>
        <v>44.367546000000004</v>
      </c>
      <c r="M13" s="6">
        <f t="shared" si="4"/>
        <v>0</v>
      </c>
      <c r="N13" s="6"/>
      <c r="O13" s="6">
        <f>SUM(O14:O17)</f>
        <v>537.4</v>
      </c>
      <c r="P13" s="6">
        <f>SUM(P14:P17)</f>
        <v>298</v>
      </c>
      <c r="Q13" s="6">
        <f t="shared" si="4"/>
        <v>0</v>
      </c>
      <c r="R13" s="6">
        <f t="shared" si="4"/>
        <v>239.4</v>
      </c>
      <c r="S13" s="6">
        <f t="shared" si="4"/>
        <v>0</v>
      </c>
      <c r="T13" s="6"/>
      <c r="U13" s="25"/>
    </row>
    <row r="14" spans="1:25" s="24" customFormat="1" ht="31.2" x14ac:dyDescent="0.3">
      <c r="A14" s="21">
        <v>1</v>
      </c>
      <c r="B14" s="28" t="s">
        <v>5</v>
      </c>
      <c r="C14" s="21" t="s">
        <v>40</v>
      </c>
      <c r="D14" s="3">
        <f>SUM(E14:H14)</f>
        <v>250</v>
      </c>
      <c r="E14" s="3">
        <v>55</v>
      </c>
      <c r="F14" s="3">
        <v>0</v>
      </c>
      <c r="G14" s="3">
        <v>195</v>
      </c>
      <c r="H14" s="3">
        <v>0</v>
      </c>
      <c r="I14" s="3">
        <f>SUM(J14:L14)</f>
        <v>-250</v>
      </c>
      <c r="J14" s="3">
        <v>-55</v>
      </c>
      <c r="K14" s="3">
        <v>0</v>
      </c>
      <c r="L14" s="3">
        <v>-195</v>
      </c>
      <c r="M14" s="3">
        <v>0</v>
      </c>
      <c r="N14" s="3"/>
      <c r="O14" s="3">
        <f t="shared" ref="O14:O15" si="6">SUM(P14:S14)</f>
        <v>0</v>
      </c>
      <c r="P14" s="3">
        <f t="shared" ref="P14:S15" si="7">E14+J14</f>
        <v>0</v>
      </c>
      <c r="Q14" s="3">
        <f t="shared" si="7"/>
        <v>0</v>
      </c>
      <c r="R14" s="3">
        <f t="shared" si="7"/>
        <v>0</v>
      </c>
      <c r="S14" s="3">
        <f t="shared" si="7"/>
        <v>0</v>
      </c>
      <c r="T14" s="3"/>
      <c r="U14" s="23"/>
    </row>
    <row r="15" spans="1:25" s="24" customFormat="1" ht="31.2" x14ac:dyDescent="0.3">
      <c r="A15" s="21">
        <v>2</v>
      </c>
      <c r="B15" s="28" t="s">
        <v>51</v>
      </c>
      <c r="C15" s="21" t="s">
        <v>40</v>
      </c>
      <c r="D15" s="3">
        <f t="shared" ref="D15:D17" si="8">SUM(E15:H15)</f>
        <v>127</v>
      </c>
      <c r="E15" s="3">
        <v>127</v>
      </c>
      <c r="F15" s="3">
        <v>0</v>
      </c>
      <c r="G15" s="3">
        <v>0</v>
      </c>
      <c r="H15" s="3">
        <v>0</v>
      </c>
      <c r="I15" s="3">
        <f>SUM(J15:L15)</f>
        <v>-127</v>
      </c>
      <c r="J15" s="3">
        <v>-127</v>
      </c>
      <c r="K15" s="3">
        <v>0</v>
      </c>
      <c r="L15" s="3">
        <v>0</v>
      </c>
      <c r="M15" s="3">
        <v>0</v>
      </c>
      <c r="N15" s="3"/>
      <c r="O15" s="3">
        <f t="shared" si="6"/>
        <v>0</v>
      </c>
      <c r="P15" s="3">
        <f t="shared" si="7"/>
        <v>0</v>
      </c>
      <c r="Q15" s="3">
        <f t="shared" si="7"/>
        <v>0</v>
      </c>
      <c r="R15" s="3">
        <f t="shared" si="7"/>
        <v>0</v>
      </c>
      <c r="S15" s="3">
        <f t="shared" si="7"/>
        <v>0</v>
      </c>
      <c r="T15" s="3"/>
      <c r="U15" s="23"/>
    </row>
    <row r="16" spans="1:25" s="24" customFormat="1" ht="31.2" x14ac:dyDescent="0.3">
      <c r="A16" s="21">
        <v>3</v>
      </c>
      <c r="B16" s="28" t="s">
        <v>46</v>
      </c>
      <c r="C16" s="21" t="s">
        <v>40</v>
      </c>
      <c r="D16" s="3">
        <f t="shared" si="8"/>
        <v>0</v>
      </c>
      <c r="E16" s="3">
        <v>0</v>
      </c>
      <c r="F16" s="3">
        <v>0</v>
      </c>
      <c r="G16" s="3">
        <v>0</v>
      </c>
      <c r="H16" s="3">
        <v>0</v>
      </c>
      <c r="I16" s="3">
        <f>J16+L16</f>
        <v>512.3768</v>
      </c>
      <c r="J16" s="3">
        <f>157-J18</f>
        <v>273.009254</v>
      </c>
      <c r="K16" s="3">
        <v>0</v>
      </c>
      <c r="L16" s="3">
        <f>195-L18</f>
        <v>239.367546</v>
      </c>
      <c r="M16" s="3">
        <v>0</v>
      </c>
      <c r="N16" s="3"/>
      <c r="O16" s="3">
        <f>SUM(P16:S16)</f>
        <v>512.4</v>
      </c>
      <c r="P16" s="3">
        <v>273</v>
      </c>
      <c r="Q16" s="3">
        <f>F16+K16</f>
        <v>0</v>
      </c>
      <c r="R16" s="3">
        <v>239.4</v>
      </c>
      <c r="S16" s="3">
        <f>H16+M16</f>
        <v>0</v>
      </c>
      <c r="T16" s="3"/>
      <c r="U16" s="23"/>
    </row>
    <row r="17" spans="1:22" s="24" customFormat="1" ht="31.2" x14ac:dyDescent="0.3">
      <c r="A17" s="21">
        <v>4</v>
      </c>
      <c r="B17" s="28" t="s">
        <v>47</v>
      </c>
      <c r="C17" s="21" t="s">
        <v>40</v>
      </c>
      <c r="D17" s="3">
        <f t="shared" si="8"/>
        <v>0</v>
      </c>
      <c r="E17" s="3">
        <v>0</v>
      </c>
      <c r="F17" s="3">
        <v>0</v>
      </c>
      <c r="G17" s="3">
        <v>0</v>
      </c>
      <c r="H17" s="3">
        <v>0</v>
      </c>
      <c r="I17" s="3">
        <v>25</v>
      </c>
      <c r="J17" s="3">
        <v>25</v>
      </c>
      <c r="K17" s="3">
        <v>0</v>
      </c>
      <c r="L17" s="3">
        <v>0</v>
      </c>
      <c r="M17" s="3">
        <v>0</v>
      </c>
      <c r="N17" s="3"/>
      <c r="O17" s="3">
        <f>SUM(P17:S17)</f>
        <v>25</v>
      </c>
      <c r="P17" s="3">
        <v>25</v>
      </c>
      <c r="Q17" s="3">
        <f>F17+K17</f>
        <v>0</v>
      </c>
      <c r="R17" s="3">
        <f>G17+L17</f>
        <v>0</v>
      </c>
      <c r="S17" s="3">
        <f>H17+M17</f>
        <v>0</v>
      </c>
      <c r="T17" s="3"/>
      <c r="U17" s="23"/>
    </row>
    <row r="18" spans="1:22" s="16" customFormat="1" x14ac:dyDescent="0.3">
      <c r="A18" s="15" t="s">
        <v>41</v>
      </c>
      <c r="B18" s="26" t="s">
        <v>42</v>
      </c>
      <c r="C18" s="21"/>
      <c r="D18" s="6">
        <f>SUM(D19:D28)</f>
        <v>1289.1470000000002</v>
      </c>
      <c r="E18" s="6">
        <f t="shared" ref="E18:S18" si="9">SUM(E19:E28)</f>
        <v>798.32199999999989</v>
      </c>
      <c r="F18" s="6">
        <f t="shared" si="9"/>
        <v>0</v>
      </c>
      <c r="G18" s="6">
        <f t="shared" si="9"/>
        <v>490.82499999999999</v>
      </c>
      <c r="H18" s="6">
        <f t="shared" si="9"/>
        <v>0</v>
      </c>
      <c r="I18" s="6">
        <f t="shared" si="9"/>
        <v>-160.3768</v>
      </c>
      <c r="J18" s="6">
        <f t="shared" si="9"/>
        <v>-116.00925399999998</v>
      </c>
      <c r="K18" s="6">
        <f t="shared" si="9"/>
        <v>0</v>
      </c>
      <c r="L18" s="6">
        <f t="shared" si="9"/>
        <v>-44.367546000000004</v>
      </c>
      <c r="M18" s="6">
        <f t="shared" si="9"/>
        <v>0</v>
      </c>
      <c r="N18" s="6"/>
      <c r="O18" s="6">
        <f>SUM(O19:O28)</f>
        <v>1128.7701999999997</v>
      </c>
      <c r="P18" s="6">
        <f t="shared" si="9"/>
        <v>682.31274600000006</v>
      </c>
      <c r="Q18" s="6">
        <f t="shared" si="9"/>
        <v>0</v>
      </c>
      <c r="R18" s="6">
        <f t="shared" si="9"/>
        <v>446.45745399999998</v>
      </c>
      <c r="S18" s="6">
        <f t="shared" si="9"/>
        <v>0</v>
      </c>
      <c r="T18" s="6"/>
      <c r="U18" s="25"/>
    </row>
    <row r="19" spans="1:22" s="16" customFormat="1" ht="46.8" x14ac:dyDescent="0.3">
      <c r="A19" s="21">
        <v>1</v>
      </c>
      <c r="B19" s="29" t="s">
        <v>50</v>
      </c>
      <c r="C19" s="21" t="s">
        <v>40</v>
      </c>
      <c r="D19" s="3">
        <f>SUM(E19:H19)</f>
        <v>450</v>
      </c>
      <c r="E19" s="3">
        <v>450</v>
      </c>
      <c r="F19" s="3"/>
      <c r="G19" s="3">
        <v>0</v>
      </c>
      <c r="H19" s="3">
        <v>0</v>
      </c>
      <c r="I19" s="3">
        <f>SUM(J19:M19)</f>
        <v>-4.7</v>
      </c>
      <c r="J19" s="3">
        <v>-4.7</v>
      </c>
      <c r="K19" s="3"/>
      <c r="L19" s="3">
        <v>0</v>
      </c>
      <c r="M19" s="3">
        <v>0</v>
      </c>
      <c r="N19" s="3"/>
      <c r="O19" s="3">
        <f>SUM(P19:S19)</f>
        <v>445.3</v>
      </c>
      <c r="P19" s="3">
        <f t="shared" ref="P19:S28" si="10">E19+J19</f>
        <v>445.3</v>
      </c>
      <c r="Q19" s="3">
        <f t="shared" si="10"/>
        <v>0</v>
      </c>
      <c r="R19" s="3">
        <f t="shared" si="10"/>
        <v>0</v>
      </c>
      <c r="S19" s="3">
        <f t="shared" si="10"/>
        <v>0</v>
      </c>
      <c r="T19" s="3"/>
      <c r="U19" s="25"/>
    </row>
    <row r="20" spans="1:22" s="16" customFormat="1" ht="62.4" x14ac:dyDescent="0.3">
      <c r="A20" s="21">
        <v>2</v>
      </c>
      <c r="B20" s="28" t="s">
        <v>48</v>
      </c>
      <c r="C20" s="21" t="s">
        <v>36</v>
      </c>
      <c r="D20" s="3">
        <f>SUM(E20:H20)</f>
        <v>48</v>
      </c>
      <c r="E20" s="3">
        <v>0</v>
      </c>
      <c r="F20" s="3"/>
      <c r="G20" s="3">
        <v>48</v>
      </c>
      <c r="H20" s="3">
        <v>0</v>
      </c>
      <c r="I20" s="3">
        <f>SUM(J20:M20)</f>
        <v>-14</v>
      </c>
      <c r="J20" s="3">
        <v>0</v>
      </c>
      <c r="K20" s="3"/>
      <c r="L20" s="3">
        <v>-14</v>
      </c>
      <c r="M20" s="3">
        <v>0</v>
      </c>
      <c r="N20" s="3"/>
      <c r="O20" s="3">
        <f>SUM(P20:S20)</f>
        <v>34</v>
      </c>
      <c r="P20" s="3">
        <f t="shared" si="10"/>
        <v>0</v>
      </c>
      <c r="Q20" s="3">
        <f t="shared" si="10"/>
        <v>0</v>
      </c>
      <c r="R20" s="3">
        <f t="shared" si="10"/>
        <v>34</v>
      </c>
      <c r="S20" s="3">
        <f t="shared" si="10"/>
        <v>0</v>
      </c>
      <c r="T20" s="3"/>
      <c r="U20" s="25"/>
      <c r="V20" s="38" t="s">
        <v>69</v>
      </c>
    </row>
    <row r="21" spans="1:22" s="16" customFormat="1" ht="46.8" x14ac:dyDescent="0.3">
      <c r="A21" s="21">
        <v>3</v>
      </c>
      <c r="B21" s="23" t="s">
        <v>49</v>
      </c>
      <c r="C21" s="21" t="s">
        <v>40</v>
      </c>
      <c r="D21" s="3">
        <f>SUM(E21:H21)</f>
        <v>450</v>
      </c>
      <c r="E21" s="3">
        <v>104</v>
      </c>
      <c r="F21" s="3"/>
      <c r="G21" s="3">
        <v>346</v>
      </c>
      <c r="H21" s="3">
        <v>0</v>
      </c>
      <c r="I21" s="3">
        <f>SUM(J21:L21)</f>
        <v>-10</v>
      </c>
      <c r="J21" s="3">
        <v>-10</v>
      </c>
      <c r="K21" s="3"/>
      <c r="L21" s="3">
        <v>0</v>
      </c>
      <c r="M21" s="3">
        <v>0</v>
      </c>
      <c r="N21" s="3"/>
      <c r="O21" s="3">
        <f>SUM(P21:S21)</f>
        <v>440</v>
      </c>
      <c r="P21" s="3">
        <f t="shared" si="10"/>
        <v>94</v>
      </c>
      <c r="Q21" s="3">
        <f t="shared" si="10"/>
        <v>0</v>
      </c>
      <c r="R21" s="3">
        <f t="shared" si="10"/>
        <v>346</v>
      </c>
      <c r="S21" s="3">
        <f t="shared" si="10"/>
        <v>0</v>
      </c>
      <c r="T21" s="3"/>
      <c r="U21" s="25"/>
      <c r="V21" s="39" t="s">
        <v>70</v>
      </c>
    </row>
    <row r="22" spans="1:22" s="24" customFormat="1" ht="78" x14ac:dyDescent="0.3">
      <c r="A22" s="21">
        <v>4</v>
      </c>
      <c r="B22" s="28" t="s">
        <v>16</v>
      </c>
      <c r="C22" s="21" t="s">
        <v>37</v>
      </c>
      <c r="D22" s="3">
        <f>SUM(E22:H22)</f>
        <v>87.3</v>
      </c>
      <c r="E22" s="3">
        <v>87.3</v>
      </c>
      <c r="F22" s="3"/>
      <c r="G22" s="3">
        <v>0</v>
      </c>
      <c r="H22" s="3">
        <v>0</v>
      </c>
      <c r="I22" s="3">
        <f>SUM(J22:M22)</f>
        <v>-21.292399</v>
      </c>
      <c r="J22" s="3">
        <v>-21.292399</v>
      </c>
      <c r="K22" s="3">
        <v>0</v>
      </c>
      <c r="L22" s="3">
        <v>0</v>
      </c>
      <c r="M22" s="3">
        <v>0</v>
      </c>
      <c r="N22" s="3"/>
      <c r="O22" s="3">
        <f>SUM(P22:S22)</f>
        <v>66.007600999999994</v>
      </c>
      <c r="P22" s="3">
        <f t="shared" si="10"/>
        <v>66.007600999999994</v>
      </c>
      <c r="Q22" s="3">
        <f t="shared" si="10"/>
        <v>0</v>
      </c>
      <c r="R22" s="3">
        <f t="shared" si="10"/>
        <v>0</v>
      </c>
      <c r="S22" s="3">
        <f t="shared" si="10"/>
        <v>0</v>
      </c>
      <c r="T22" s="3"/>
      <c r="U22" s="23"/>
    </row>
    <row r="23" spans="1:22" s="24" customFormat="1" ht="31.2" x14ac:dyDescent="0.3">
      <c r="A23" s="21">
        <v>5</v>
      </c>
      <c r="B23" s="28" t="s">
        <v>17</v>
      </c>
      <c r="C23" s="21" t="s">
        <v>37</v>
      </c>
      <c r="D23" s="3">
        <f t="shared" ref="D23:D28" si="11">SUM(E23:H23)</f>
        <v>31.236999999999998</v>
      </c>
      <c r="E23" s="3">
        <v>31.236999999999998</v>
      </c>
      <c r="F23" s="3"/>
      <c r="G23" s="3">
        <v>0</v>
      </c>
      <c r="H23" s="3">
        <v>0</v>
      </c>
      <c r="I23" s="3">
        <f t="shared" ref="I23:I28" si="12">SUM(J23:M23)</f>
        <v>-27.640236000000002</v>
      </c>
      <c r="J23" s="3">
        <v>-27.640236000000002</v>
      </c>
      <c r="K23" s="3">
        <v>0</v>
      </c>
      <c r="L23" s="3">
        <v>0</v>
      </c>
      <c r="M23" s="3">
        <v>0</v>
      </c>
      <c r="N23" s="3"/>
      <c r="O23" s="3">
        <f t="shared" ref="O23:O28" si="13">SUM(P23:S23)</f>
        <v>3.5967639999999967</v>
      </c>
      <c r="P23" s="3">
        <f t="shared" si="10"/>
        <v>3.5967639999999967</v>
      </c>
      <c r="Q23" s="3">
        <f t="shared" si="10"/>
        <v>0</v>
      </c>
      <c r="R23" s="3">
        <f t="shared" si="10"/>
        <v>0</v>
      </c>
      <c r="S23" s="3">
        <f t="shared" si="10"/>
        <v>0</v>
      </c>
      <c r="T23" s="3"/>
      <c r="U23" s="23"/>
    </row>
    <row r="24" spans="1:22" s="24" customFormat="1" ht="46.8" x14ac:dyDescent="0.3">
      <c r="A24" s="21">
        <v>6</v>
      </c>
      <c r="B24" s="28" t="s">
        <v>18</v>
      </c>
      <c r="C24" s="21" t="s">
        <v>37</v>
      </c>
      <c r="D24" s="3">
        <f t="shared" si="11"/>
        <v>33.700000000000003</v>
      </c>
      <c r="E24" s="3">
        <v>33.700000000000003</v>
      </c>
      <c r="F24" s="3"/>
      <c r="G24" s="3">
        <v>0</v>
      </c>
      <c r="H24" s="3">
        <v>0</v>
      </c>
      <c r="I24" s="3">
        <f t="shared" si="12"/>
        <v>-21.906419</v>
      </c>
      <c r="J24" s="3">
        <v>-21.906419</v>
      </c>
      <c r="K24" s="3">
        <v>0</v>
      </c>
      <c r="L24" s="3">
        <v>0</v>
      </c>
      <c r="M24" s="3">
        <v>0</v>
      </c>
      <c r="N24" s="3"/>
      <c r="O24" s="3">
        <f t="shared" si="13"/>
        <v>11.793581000000003</v>
      </c>
      <c r="P24" s="3">
        <f t="shared" si="10"/>
        <v>11.793581000000003</v>
      </c>
      <c r="Q24" s="3">
        <f t="shared" si="10"/>
        <v>0</v>
      </c>
      <c r="R24" s="3">
        <f t="shared" si="10"/>
        <v>0</v>
      </c>
      <c r="S24" s="3">
        <f t="shared" si="10"/>
        <v>0</v>
      </c>
      <c r="T24" s="3"/>
      <c r="U24" s="23"/>
    </row>
    <row r="25" spans="1:22" s="24" customFormat="1" ht="31.2" x14ac:dyDescent="0.3">
      <c r="A25" s="21">
        <v>7</v>
      </c>
      <c r="B25" s="4" t="s">
        <v>19</v>
      </c>
      <c r="C25" s="21" t="s">
        <v>37</v>
      </c>
      <c r="D25" s="3">
        <f t="shared" si="11"/>
        <v>48.405000000000001</v>
      </c>
      <c r="E25" s="3">
        <v>48.405000000000001</v>
      </c>
      <c r="F25" s="3"/>
      <c r="G25" s="3">
        <v>0</v>
      </c>
      <c r="H25" s="3">
        <v>0</v>
      </c>
      <c r="I25" s="3">
        <f t="shared" si="12"/>
        <v>-13.3522</v>
      </c>
      <c r="J25" s="3">
        <v>-13.3522</v>
      </c>
      <c r="K25" s="3">
        <v>0</v>
      </c>
      <c r="L25" s="3">
        <v>0</v>
      </c>
      <c r="M25" s="3">
        <v>0</v>
      </c>
      <c r="N25" s="3"/>
      <c r="O25" s="3">
        <f t="shared" si="13"/>
        <v>35.052800000000005</v>
      </c>
      <c r="P25" s="3">
        <f t="shared" si="10"/>
        <v>35.052800000000005</v>
      </c>
      <c r="Q25" s="3">
        <f t="shared" si="10"/>
        <v>0</v>
      </c>
      <c r="R25" s="3">
        <f t="shared" si="10"/>
        <v>0</v>
      </c>
      <c r="S25" s="3">
        <f t="shared" si="10"/>
        <v>0</v>
      </c>
      <c r="T25" s="3"/>
      <c r="U25" s="23"/>
    </row>
    <row r="26" spans="1:22" s="24" customFormat="1" ht="31.2" x14ac:dyDescent="0.3">
      <c r="A26" s="21">
        <v>8</v>
      </c>
      <c r="B26" s="4" t="s">
        <v>20</v>
      </c>
      <c r="C26" s="21" t="s">
        <v>37</v>
      </c>
      <c r="D26" s="3">
        <f t="shared" si="11"/>
        <v>64.745000000000005</v>
      </c>
      <c r="E26" s="3">
        <v>0</v>
      </c>
      <c r="F26" s="3"/>
      <c r="G26" s="3">
        <v>64.745000000000005</v>
      </c>
      <c r="H26" s="3">
        <v>0</v>
      </c>
      <c r="I26" s="3">
        <f t="shared" si="12"/>
        <v>-18.358546</v>
      </c>
      <c r="J26" s="3">
        <v>0</v>
      </c>
      <c r="K26" s="3">
        <v>0</v>
      </c>
      <c r="L26" s="3">
        <v>-18.358546</v>
      </c>
      <c r="M26" s="3">
        <v>0</v>
      </c>
      <c r="N26" s="3"/>
      <c r="O26" s="3">
        <f t="shared" si="13"/>
        <v>46.386454000000001</v>
      </c>
      <c r="P26" s="3">
        <f t="shared" si="10"/>
        <v>0</v>
      </c>
      <c r="Q26" s="3">
        <f t="shared" si="10"/>
        <v>0</v>
      </c>
      <c r="R26" s="3">
        <f t="shared" si="10"/>
        <v>46.386454000000001</v>
      </c>
      <c r="S26" s="3">
        <f t="shared" si="10"/>
        <v>0</v>
      </c>
      <c r="T26" s="3"/>
      <c r="U26" s="23"/>
    </row>
    <row r="27" spans="1:22" s="24" customFormat="1" ht="46.8" x14ac:dyDescent="0.3">
      <c r="A27" s="21">
        <v>9</v>
      </c>
      <c r="B27" s="28" t="s">
        <v>21</v>
      </c>
      <c r="C27" s="21" t="s">
        <v>36</v>
      </c>
      <c r="D27" s="3">
        <f t="shared" si="11"/>
        <v>32.08</v>
      </c>
      <c r="E27" s="3">
        <v>0</v>
      </c>
      <c r="F27" s="3"/>
      <c r="G27" s="3">
        <v>32.08</v>
      </c>
      <c r="H27" s="3">
        <v>0</v>
      </c>
      <c r="I27" s="3">
        <f t="shared" si="12"/>
        <v>-12.009</v>
      </c>
      <c r="J27" s="3">
        <v>0</v>
      </c>
      <c r="K27" s="3">
        <v>0</v>
      </c>
      <c r="L27" s="3">
        <v>-12.009</v>
      </c>
      <c r="M27" s="3">
        <v>0</v>
      </c>
      <c r="N27" s="3"/>
      <c r="O27" s="3">
        <f t="shared" si="13"/>
        <v>20.070999999999998</v>
      </c>
      <c r="P27" s="3">
        <f t="shared" si="10"/>
        <v>0</v>
      </c>
      <c r="Q27" s="3">
        <f t="shared" si="10"/>
        <v>0</v>
      </c>
      <c r="R27" s="3">
        <f t="shared" si="10"/>
        <v>20.070999999999998</v>
      </c>
      <c r="S27" s="3">
        <f t="shared" si="10"/>
        <v>0</v>
      </c>
      <c r="T27" s="3"/>
      <c r="U27" s="23"/>
    </row>
    <row r="28" spans="1:22" s="24" customFormat="1" ht="46.8" x14ac:dyDescent="0.3">
      <c r="A28" s="21">
        <v>10</v>
      </c>
      <c r="B28" s="28" t="s">
        <v>22</v>
      </c>
      <c r="C28" s="21" t="s">
        <v>36</v>
      </c>
      <c r="D28" s="3">
        <f t="shared" si="11"/>
        <v>43.68</v>
      </c>
      <c r="E28" s="3">
        <v>43.68</v>
      </c>
      <c r="F28" s="3"/>
      <c r="G28" s="3">
        <v>0</v>
      </c>
      <c r="H28" s="3">
        <v>0</v>
      </c>
      <c r="I28" s="3">
        <f t="shared" si="12"/>
        <v>-17.117999999999999</v>
      </c>
      <c r="J28" s="3">
        <v>-17.117999999999999</v>
      </c>
      <c r="K28" s="3">
        <v>0</v>
      </c>
      <c r="L28" s="3">
        <v>0</v>
      </c>
      <c r="M28" s="3">
        <v>0</v>
      </c>
      <c r="N28" s="3"/>
      <c r="O28" s="3">
        <f t="shared" si="13"/>
        <v>26.562000000000001</v>
      </c>
      <c r="P28" s="3">
        <f t="shared" si="10"/>
        <v>26.562000000000001</v>
      </c>
      <c r="Q28" s="3">
        <f t="shared" si="10"/>
        <v>0</v>
      </c>
      <c r="R28" s="3">
        <f t="shared" si="10"/>
        <v>0</v>
      </c>
      <c r="S28" s="3">
        <f t="shared" si="10"/>
        <v>0</v>
      </c>
      <c r="T28" s="3"/>
      <c r="U28" s="23"/>
    </row>
    <row r="29" spans="1:22" s="16" customFormat="1" ht="62.4" x14ac:dyDescent="0.3">
      <c r="A29" s="15" t="s">
        <v>39</v>
      </c>
      <c r="B29" s="26" t="s">
        <v>23</v>
      </c>
      <c r="C29" s="21"/>
      <c r="D29" s="6">
        <f>D30+D32</f>
        <v>1804.3120000000001</v>
      </c>
      <c r="E29" s="6">
        <f t="shared" ref="E29:S29" si="14">E30+E32</f>
        <v>1651.0120000000002</v>
      </c>
      <c r="F29" s="6">
        <f t="shared" si="14"/>
        <v>0</v>
      </c>
      <c r="G29" s="6">
        <f t="shared" si="14"/>
        <v>65.5</v>
      </c>
      <c r="H29" s="6">
        <f t="shared" si="14"/>
        <v>87.8</v>
      </c>
      <c r="I29" s="6">
        <v>0</v>
      </c>
      <c r="J29" s="6">
        <v>0</v>
      </c>
      <c r="K29" s="6">
        <f t="shared" si="14"/>
        <v>0</v>
      </c>
      <c r="L29" s="6">
        <f t="shared" si="14"/>
        <v>0</v>
      </c>
      <c r="M29" s="6">
        <v>0</v>
      </c>
      <c r="N29" s="6"/>
      <c r="O29" s="6">
        <f t="shared" si="14"/>
        <v>1804.2959310000001</v>
      </c>
      <c r="P29" s="6">
        <f t="shared" si="14"/>
        <v>1651.0163010000001</v>
      </c>
      <c r="Q29" s="6">
        <f t="shared" si="14"/>
        <v>0</v>
      </c>
      <c r="R29" s="6">
        <f t="shared" si="14"/>
        <v>65.5</v>
      </c>
      <c r="S29" s="6">
        <f t="shared" si="14"/>
        <v>87.779629999999997</v>
      </c>
      <c r="T29" s="6"/>
      <c r="U29" s="25"/>
    </row>
    <row r="30" spans="1:22" s="16" customFormat="1" x14ac:dyDescent="0.3">
      <c r="A30" s="15" t="s">
        <v>41</v>
      </c>
      <c r="B30" s="26" t="s">
        <v>52</v>
      </c>
      <c r="C30" s="21"/>
      <c r="D30" s="6">
        <f>D31</f>
        <v>1311.4</v>
      </c>
      <c r="E30" s="6">
        <f t="shared" ref="E30:S30" si="15">E31</f>
        <v>1311.4</v>
      </c>
      <c r="F30" s="6">
        <f t="shared" si="15"/>
        <v>0</v>
      </c>
      <c r="G30" s="6">
        <f t="shared" si="15"/>
        <v>0</v>
      </c>
      <c r="H30" s="6">
        <f t="shared" si="15"/>
        <v>0</v>
      </c>
      <c r="I30" s="6">
        <f t="shared" si="15"/>
        <v>122.9</v>
      </c>
      <c r="J30" s="6">
        <f t="shared" si="15"/>
        <v>107.5</v>
      </c>
      <c r="K30" s="6">
        <f t="shared" si="15"/>
        <v>0</v>
      </c>
      <c r="L30" s="6">
        <f t="shared" si="15"/>
        <v>0</v>
      </c>
      <c r="M30" s="6">
        <f t="shared" si="15"/>
        <v>15.4</v>
      </c>
      <c r="N30" s="6"/>
      <c r="O30" s="6">
        <f t="shared" si="15"/>
        <v>1434.3000000000002</v>
      </c>
      <c r="P30" s="6">
        <f t="shared" si="15"/>
        <v>1418.9</v>
      </c>
      <c r="Q30" s="6">
        <f t="shared" si="15"/>
        <v>0</v>
      </c>
      <c r="R30" s="6">
        <f t="shared" si="15"/>
        <v>0</v>
      </c>
      <c r="S30" s="6">
        <f t="shared" si="15"/>
        <v>15.4</v>
      </c>
      <c r="T30" s="6"/>
      <c r="U30" s="25"/>
    </row>
    <row r="31" spans="1:22" s="24" customFormat="1" ht="46.8" x14ac:dyDescent="0.3">
      <c r="A31" s="21">
        <v>1</v>
      </c>
      <c r="B31" s="28" t="s">
        <v>53</v>
      </c>
      <c r="C31" s="21" t="s">
        <v>40</v>
      </c>
      <c r="D31" s="3">
        <f>SUM(E31:H31)</f>
        <v>1311.4</v>
      </c>
      <c r="E31" s="3">
        <v>1311.4</v>
      </c>
      <c r="F31" s="3"/>
      <c r="G31" s="3">
        <v>0</v>
      </c>
      <c r="H31" s="3">
        <v>0</v>
      </c>
      <c r="I31" s="3">
        <v>122.9</v>
      </c>
      <c r="J31" s="14">
        <v>107.5</v>
      </c>
      <c r="K31" s="3"/>
      <c r="L31" s="3">
        <v>0</v>
      </c>
      <c r="M31" s="14">
        <f>9.4+6</f>
        <v>15.4</v>
      </c>
      <c r="N31" s="3"/>
      <c r="O31" s="3">
        <f>SUM(P31:S31)</f>
        <v>1434.3000000000002</v>
      </c>
      <c r="P31" s="3">
        <f>E31+J31</f>
        <v>1418.9</v>
      </c>
      <c r="Q31" s="3">
        <f t="shared" ref="Q31:S31" si="16">F31+K31</f>
        <v>0</v>
      </c>
      <c r="R31" s="3">
        <f t="shared" si="16"/>
        <v>0</v>
      </c>
      <c r="S31" s="3">
        <f t="shared" si="16"/>
        <v>15.4</v>
      </c>
      <c r="T31" s="3"/>
      <c r="U31" s="23"/>
    </row>
    <row r="32" spans="1:22" s="16" customFormat="1" x14ac:dyDescent="0.3">
      <c r="A32" s="15" t="s">
        <v>41</v>
      </c>
      <c r="B32" s="26" t="s">
        <v>42</v>
      </c>
      <c r="C32" s="21"/>
      <c r="D32" s="6">
        <f>SUM(D33:D44)</f>
        <v>492.91199999999998</v>
      </c>
      <c r="E32" s="6">
        <f t="shared" ref="E32:S32" si="17">SUM(E33:E44)</f>
        <v>339.61199999999997</v>
      </c>
      <c r="F32" s="6">
        <f t="shared" si="17"/>
        <v>0</v>
      </c>
      <c r="G32" s="6">
        <f t="shared" si="17"/>
        <v>65.5</v>
      </c>
      <c r="H32" s="6">
        <f t="shared" si="17"/>
        <v>87.8</v>
      </c>
      <c r="I32" s="6">
        <f t="shared" si="17"/>
        <v>-122.91606900000001</v>
      </c>
      <c r="J32" s="6">
        <f t="shared" si="17"/>
        <v>-107.49569900000002</v>
      </c>
      <c r="K32" s="6">
        <f t="shared" si="17"/>
        <v>0</v>
      </c>
      <c r="L32" s="6">
        <f t="shared" si="17"/>
        <v>0</v>
      </c>
      <c r="M32" s="6">
        <f t="shared" si="17"/>
        <v>-15.420369999999998</v>
      </c>
      <c r="N32" s="6"/>
      <c r="O32" s="6">
        <f t="shared" si="17"/>
        <v>369.99593100000004</v>
      </c>
      <c r="P32" s="6">
        <f t="shared" si="17"/>
        <v>232.11630100000002</v>
      </c>
      <c r="Q32" s="6">
        <f t="shared" si="17"/>
        <v>0</v>
      </c>
      <c r="R32" s="6">
        <f t="shared" si="17"/>
        <v>65.5</v>
      </c>
      <c r="S32" s="6">
        <f t="shared" si="17"/>
        <v>72.379629999999992</v>
      </c>
      <c r="T32" s="6"/>
      <c r="U32" s="25"/>
    </row>
    <row r="33" spans="1:22" s="24" customFormat="1" ht="62.4" x14ac:dyDescent="0.3">
      <c r="A33" s="21">
        <v>1</v>
      </c>
      <c r="B33" s="23" t="s">
        <v>33</v>
      </c>
      <c r="C33" s="21" t="s">
        <v>40</v>
      </c>
      <c r="D33" s="3">
        <f>SUM(E33:H33)</f>
        <v>174.9</v>
      </c>
      <c r="E33" s="3">
        <v>79.400000000000006</v>
      </c>
      <c r="F33" s="3"/>
      <c r="G33" s="3">
        <v>65.5</v>
      </c>
      <c r="H33" s="3">
        <v>30</v>
      </c>
      <c r="I33" s="3">
        <f>SUM(J33:M33)</f>
        <v>-3.6</v>
      </c>
      <c r="J33" s="3">
        <v>0</v>
      </c>
      <c r="K33" s="3"/>
      <c r="L33" s="3">
        <v>0</v>
      </c>
      <c r="M33" s="3">
        <v>-3.6</v>
      </c>
      <c r="N33" s="3"/>
      <c r="O33" s="3">
        <f>SUM(P33:S33)</f>
        <v>171.3</v>
      </c>
      <c r="P33" s="3">
        <f t="shared" ref="P33:S44" si="18">E33+J33</f>
        <v>79.400000000000006</v>
      </c>
      <c r="Q33" s="3">
        <f t="shared" si="18"/>
        <v>0</v>
      </c>
      <c r="R33" s="3">
        <f t="shared" si="18"/>
        <v>65.5</v>
      </c>
      <c r="S33" s="3">
        <f t="shared" si="18"/>
        <v>26.4</v>
      </c>
      <c r="T33" s="3"/>
      <c r="U33" s="23"/>
      <c r="V33" s="39" t="s">
        <v>68</v>
      </c>
    </row>
    <row r="34" spans="1:22" s="24" customFormat="1" ht="46.8" x14ac:dyDescent="0.3">
      <c r="A34" s="21">
        <v>2</v>
      </c>
      <c r="B34" s="28" t="s">
        <v>34</v>
      </c>
      <c r="C34" s="21" t="s">
        <v>36</v>
      </c>
      <c r="D34" s="3">
        <f t="shared" ref="D34:D44" si="19">SUM(E34:H34)</f>
        <v>20</v>
      </c>
      <c r="E34" s="3">
        <v>0</v>
      </c>
      <c r="F34" s="3"/>
      <c r="G34" s="3">
        <v>0</v>
      </c>
      <c r="H34" s="3">
        <v>20</v>
      </c>
      <c r="I34" s="3">
        <f t="shared" ref="I34:I44" si="20">SUM(J34:M34)</f>
        <v>-6</v>
      </c>
      <c r="J34" s="3">
        <v>0</v>
      </c>
      <c r="K34" s="3"/>
      <c r="L34" s="3">
        <v>0</v>
      </c>
      <c r="M34" s="3">
        <v>-6</v>
      </c>
      <c r="N34" s="3"/>
      <c r="O34" s="3">
        <f t="shared" ref="O34:O44" si="21">SUM(P34:S34)</f>
        <v>14</v>
      </c>
      <c r="P34" s="3">
        <f t="shared" si="18"/>
        <v>0</v>
      </c>
      <c r="Q34" s="3">
        <f t="shared" si="18"/>
        <v>0</v>
      </c>
      <c r="R34" s="3">
        <f t="shared" si="18"/>
        <v>0</v>
      </c>
      <c r="S34" s="3">
        <f t="shared" si="18"/>
        <v>14</v>
      </c>
      <c r="T34" s="3"/>
      <c r="U34" s="23"/>
      <c r="V34" s="38" t="s">
        <v>69</v>
      </c>
    </row>
    <row r="35" spans="1:22" s="24" customFormat="1" ht="31.2" x14ac:dyDescent="0.3">
      <c r="A35" s="21">
        <v>3</v>
      </c>
      <c r="B35" s="28" t="s">
        <v>35</v>
      </c>
      <c r="C35" s="21" t="s">
        <v>36</v>
      </c>
      <c r="D35" s="3">
        <f t="shared" si="19"/>
        <v>34.299999999999997</v>
      </c>
      <c r="E35" s="3">
        <v>34.299999999999997</v>
      </c>
      <c r="F35" s="3"/>
      <c r="G35" s="3">
        <v>0</v>
      </c>
      <c r="H35" s="3">
        <v>0</v>
      </c>
      <c r="I35" s="3">
        <f t="shared" si="20"/>
        <v>-9.6999999999999993</v>
      </c>
      <c r="J35" s="3">
        <v>-9.6999999999999993</v>
      </c>
      <c r="K35" s="3"/>
      <c r="L35" s="3">
        <v>0</v>
      </c>
      <c r="M35" s="3">
        <v>0</v>
      </c>
      <c r="N35" s="3"/>
      <c r="O35" s="3">
        <f t="shared" si="21"/>
        <v>24.599999999999998</v>
      </c>
      <c r="P35" s="3">
        <f t="shared" si="18"/>
        <v>24.599999999999998</v>
      </c>
      <c r="Q35" s="3">
        <f t="shared" si="18"/>
        <v>0</v>
      </c>
      <c r="R35" s="3">
        <f t="shared" si="18"/>
        <v>0</v>
      </c>
      <c r="S35" s="3">
        <f t="shared" si="18"/>
        <v>0</v>
      </c>
      <c r="T35" s="3"/>
      <c r="U35" s="23"/>
      <c r="V35" s="38" t="s">
        <v>69</v>
      </c>
    </row>
    <row r="36" spans="1:22" s="24" customFormat="1" ht="62.4" x14ac:dyDescent="0.3">
      <c r="A36" s="21">
        <v>4</v>
      </c>
      <c r="B36" s="28" t="s">
        <v>24</v>
      </c>
      <c r="C36" s="21" t="s">
        <v>37</v>
      </c>
      <c r="D36" s="3">
        <f t="shared" si="19"/>
        <v>29.378</v>
      </c>
      <c r="E36" s="3">
        <v>29.378</v>
      </c>
      <c r="F36" s="3"/>
      <c r="G36" s="3">
        <v>0</v>
      </c>
      <c r="H36" s="3">
        <v>0</v>
      </c>
      <c r="I36" s="3">
        <f t="shared" si="20"/>
        <v>-14.841392000000001</v>
      </c>
      <c r="J36" s="3">
        <v>-14.841392000000001</v>
      </c>
      <c r="K36" s="3"/>
      <c r="L36" s="3">
        <v>0</v>
      </c>
      <c r="M36" s="3">
        <v>0</v>
      </c>
      <c r="N36" s="3"/>
      <c r="O36" s="3">
        <f t="shared" si="21"/>
        <v>14.536607999999999</v>
      </c>
      <c r="P36" s="3">
        <f t="shared" si="18"/>
        <v>14.536607999999999</v>
      </c>
      <c r="Q36" s="3">
        <f t="shared" si="18"/>
        <v>0</v>
      </c>
      <c r="R36" s="3">
        <f t="shared" si="18"/>
        <v>0</v>
      </c>
      <c r="S36" s="3">
        <f t="shared" si="18"/>
        <v>0</v>
      </c>
      <c r="T36" s="3"/>
      <c r="U36" s="23"/>
    </row>
    <row r="37" spans="1:22" s="24" customFormat="1" ht="62.4" x14ac:dyDescent="0.3">
      <c r="A37" s="21">
        <v>5</v>
      </c>
      <c r="B37" s="28" t="s">
        <v>25</v>
      </c>
      <c r="C37" s="21" t="s">
        <v>37</v>
      </c>
      <c r="D37" s="3">
        <f t="shared" si="19"/>
        <v>27.8</v>
      </c>
      <c r="E37" s="3">
        <v>27.8</v>
      </c>
      <c r="F37" s="3"/>
      <c r="G37" s="3">
        <v>0</v>
      </c>
      <c r="H37" s="3">
        <v>0</v>
      </c>
      <c r="I37" s="3">
        <f t="shared" si="20"/>
        <v>-8.8712040000000005</v>
      </c>
      <c r="J37" s="3">
        <v>-8.8712040000000005</v>
      </c>
      <c r="K37" s="3"/>
      <c r="L37" s="3">
        <v>0</v>
      </c>
      <c r="M37" s="3">
        <v>0</v>
      </c>
      <c r="N37" s="3"/>
      <c r="O37" s="3">
        <f t="shared" si="21"/>
        <v>18.928795999999998</v>
      </c>
      <c r="P37" s="3">
        <f t="shared" si="18"/>
        <v>18.928795999999998</v>
      </c>
      <c r="Q37" s="3">
        <f t="shared" si="18"/>
        <v>0</v>
      </c>
      <c r="R37" s="3">
        <f t="shared" si="18"/>
        <v>0</v>
      </c>
      <c r="S37" s="3">
        <f t="shared" si="18"/>
        <v>0</v>
      </c>
      <c r="T37" s="3"/>
      <c r="U37" s="23"/>
    </row>
    <row r="38" spans="1:22" s="24" customFormat="1" ht="62.4" x14ac:dyDescent="0.3">
      <c r="A38" s="21">
        <v>6</v>
      </c>
      <c r="B38" s="28" t="s">
        <v>26</v>
      </c>
      <c r="C38" s="21" t="s">
        <v>37</v>
      </c>
      <c r="D38" s="3">
        <f t="shared" si="19"/>
        <v>27.3</v>
      </c>
      <c r="E38" s="3">
        <v>27.3</v>
      </c>
      <c r="F38" s="3"/>
      <c r="G38" s="3">
        <v>0</v>
      </c>
      <c r="H38" s="3">
        <v>0</v>
      </c>
      <c r="I38" s="3">
        <f t="shared" si="20"/>
        <v>-3.513258</v>
      </c>
      <c r="J38" s="3">
        <v>-3.513258</v>
      </c>
      <c r="K38" s="3"/>
      <c r="L38" s="3">
        <v>0</v>
      </c>
      <c r="M38" s="3">
        <v>0</v>
      </c>
      <c r="N38" s="3"/>
      <c r="O38" s="3">
        <f t="shared" si="21"/>
        <v>23.786742</v>
      </c>
      <c r="P38" s="3">
        <f t="shared" si="18"/>
        <v>23.786742</v>
      </c>
      <c r="Q38" s="3">
        <f t="shared" si="18"/>
        <v>0</v>
      </c>
      <c r="R38" s="3">
        <f t="shared" si="18"/>
        <v>0</v>
      </c>
      <c r="S38" s="3">
        <f t="shared" si="18"/>
        <v>0</v>
      </c>
      <c r="T38" s="3"/>
      <c r="U38" s="23"/>
    </row>
    <row r="39" spans="1:22" s="24" customFormat="1" ht="62.4" x14ac:dyDescent="0.3">
      <c r="A39" s="21">
        <v>7</v>
      </c>
      <c r="B39" s="28" t="s">
        <v>27</v>
      </c>
      <c r="C39" s="21" t="s">
        <v>37</v>
      </c>
      <c r="D39" s="3">
        <f t="shared" si="19"/>
        <v>18.7</v>
      </c>
      <c r="E39" s="3">
        <v>18.7</v>
      </c>
      <c r="F39" s="3"/>
      <c r="G39" s="3">
        <v>0</v>
      </c>
      <c r="H39" s="3">
        <v>0</v>
      </c>
      <c r="I39" s="3">
        <f t="shared" si="20"/>
        <v>-4.4290000000000003</v>
      </c>
      <c r="J39" s="3">
        <v>-4.4290000000000003</v>
      </c>
      <c r="K39" s="3"/>
      <c r="L39" s="3">
        <v>0</v>
      </c>
      <c r="M39" s="3">
        <v>0</v>
      </c>
      <c r="N39" s="3"/>
      <c r="O39" s="3">
        <f t="shared" si="21"/>
        <v>14.270999999999999</v>
      </c>
      <c r="P39" s="3">
        <f t="shared" si="18"/>
        <v>14.270999999999999</v>
      </c>
      <c r="Q39" s="3">
        <f t="shared" si="18"/>
        <v>0</v>
      </c>
      <c r="R39" s="3">
        <f t="shared" si="18"/>
        <v>0</v>
      </c>
      <c r="S39" s="3">
        <f t="shared" si="18"/>
        <v>0</v>
      </c>
      <c r="T39" s="3"/>
      <c r="U39" s="23"/>
    </row>
    <row r="40" spans="1:22" s="24" customFormat="1" ht="62.4" x14ac:dyDescent="0.3">
      <c r="A40" s="21">
        <v>8</v>
      </c>
      <c r="B40" s="28" t="s">
        <v>28</v>
      </c>
      <c r="C40" s="21" t="s">
        <v>37</v>
      </c>
      <c r="D40" s="3">
        <f t="shared" si="19"/>
        <v>17.100000000000001</v>
      </c>
      <c r="E40" s="3">
        <v>17.100000000000001</v>
      </c>
      <c r="F40" s="3"/>
      <c r="G40" s="3">
        <v>0</v>
      </c>
      <c r="H40" s="3">
        <v>0</v>
      </c>
      <c r="I40" s="3">
        <f t="shared" si="20"/>
        <v>-3.9929999999999999</v>
      </c>
      <c r="J40" s="3">
        <v>-3.9929999999999999</v>
      </c>
      <c r="K40" s="3"/>
      <c r="L40" s="3">
        <v>0</v>
      </c>
      <c r="M40" s="3">
        <v>0</v>
      </c>
      <c r="N40" s="3"/>
      <c r="O40" s="3">
        <f t="shared" si="21"/>
        <v>13.107000000000001</v>
      </c>
      <c r="P40" s="3">
        <f t="shared" si="18"/>
        <v>13.107000000000001</v>
      </c>
      <c r="Q40" s="3">
        <f t="shared" si="18"/>
        <v>0</v>
      </c>
      <c r="R40" s="3">
        <f t="shared" si="18"/>
        <v>0</v>
      </c>
      <c r="S40" s="3">
        <f t="shared" si="18"/>
        <v>0</v>
      </c>
      <c r="T40" s="3"/>
      <c r="U40" s="23"/>
    </row>
    <row r="41" spans="1:22" s="24" customFormat="1" ht="62.4" x14ac:dyDescent="0.3">
      <c r="A41" s="21">
        <v>9</v>
      </c>
      <c r="B41" s="28" t="s">
        <v>29</v>
      </c>
      <c r="C41" s="21" t="s">
        <v>37</v>
      </c>
      <c r="D41" s="3">
        <f t="shared" si="19"/>
        <v>37.799999999999997</v>
      </c>
      <c r="E41" s="3">
        <v>0</v>
      </c>
      <c r="F41" s="3"/>
      <c r="G41" s="3">
        <v>0</v>
      </c>
      <c r="H41" s="3">
        <v>37.799999999999997</v>
      </c>
      <c r="I41" s="3">
        <f t="shared" si="20"/>
        <v>-5.8203699999999996</v>
      </c>
      <c r="J41" s="3">
        <v>0</v>
      </c>
      <c r="K41" s="3"/>
      <c r="L41" s="3">
        <v>0</v>
      </c>
      <c r="M41" s="3">
        <v>-5.8203699999999996</v>
      </c>
      <c r="N41" s="3"/>
      <c r="O41" s="3">
        <f t="shared" si="21"/>
        <v>31.979629999999997</v>
      </c>
      <c r="P41" s="3">
        <f t="shared" si="18"/>
        <v>0</v>
      </c>
      <c r="Q41" s="3">
        <f t="shared" si="18"/>
        <v>0</v>
      </c>
      <c r="R41" s="3">
        <f t="shared" si="18"/>
        <v>0</v>
      </c>
      <c r="S41" s="3">
        <f t="shared" si="18"/>
        <v>31.979629999999997</v>
      </c>
      <c r="T41" s="3"/>
      <c r="U41" s="23"/>
    </row>
    <row r="42" spans="1:22" s="24" customFormat="1" ht="62.4" x14ac:dyDescent="0.3">
      <c r="A42" s="21">
        <v>10</v>
      </c>
      <c r="B42" s="28" t="s">
        <v>30</v>
      </c>
      <c r="C42" s="21" t="s">
        <v>37</v>
      </c>
      <c r="D42" s="3">
        <f t="shared" si="19"/>
        <v>25.4</v>
      </c>
      <c r="E42" s="3">
        <v>25.4</v>
      </c>
      <c r="F42" s="3"/>
      <c r="G42" s="3">
        <v>0</v>
      </c>
      <c r="H42" s="3">
        <v>0</v>
      </c>
      <c r="I42" s="3">
        <f t="shared" si="20"/>
        <v>-16.179373999999999</v>
      </c>
      <c r="J42" s="3">
        <v>-16.179373999999999</v>
      </c>
      <c r="K42" s="3"/>
      <c r="L42" s="3">
        <v>0</v>
      </c>
      <c r="M42" s="3">
        <v>0</v>
      </c>
      <c r="N42" s="3"/>
      <c r="O42" s="3">
        <f t="shared" si="21"/>
        <v>9.2206259999999993</v>
      </c>
      <c r="P42" s="3">
        <f t="shared" si="18"/>
        <v>9.2206259999999993</v>
      </c>
      <c r="Q42" s="3">
        <f t="shared" si="18"/>
        <v>0</v>
      </c>
      <c r="R42" s="3">
        <f t="shared" si="18"/>
        <v>0</v>
      </c>
      <c r="S42" s="3">
        <f t="shared" si="18"/>
        <v>0</v>
      </c>
      <c r="T42" s="3"/>
      <c r="U42" s="23"/>
    </row>
    <row r="43" spans="1:22" s="24" customFormat="1" ht="62.4" x14ac:dyDescent="0.3">
      <c r="A43" s="21">
        <v>11</v>
      </c>
      <c r="B43" s="28" t="s">
        <v>31</v>
      </c>
      <c r="C43" s="21" t="s">
        <v>37</v>
      </c>
      <c r="D43" s="3">
        <f t="shared" si="19"/>
        <v>62.7</v>
      </c>
      <c r="E43" s="3">
        <v>62.7</v>
      </c>
      <c r="F43" s="3"/>
      <c r="G43" s="3">
        <v>0</v>
      </c>
      <c r="H43" s="3">
        <v>0</v>
      </c>
      <c r="I43" s="3">
        <f t="shared" si="20"/>
        <v>-38.522508000000002</v>
      </c>
      <c r="J43" s="3">
        <v>-38.522508000000002</v>
      </c>
      <c r="K43" s="3"/>
      <c r="L43" s="3">
        <v>0</v>
      </c>
      <c r="M43" s="3">
        <v>0</v>
      </c>
      <c r="N43" s="3"/>
      <c r="O43" s="3">
        <f t="shared" si="21"/>
        <v>24.177492000000001</v>
      </c>
      <c r="P43" s="3">
        <f t="shared" si="18"/>
        <v>24.177492000000001</v>
      </c>
      <c r="Q43" s="3">
        <f t="shared" si="18"/>
        <v>0</v>
      </c>
      <c r="R43" s="3">
        <f t="shared" si="18"/>
        <v>0</v>
      </c>
      <c r="S43" s="3">
        <f t="shared" si="18"/>
        <v>0</v>
      </c>
      <c r="T43" s="3"/>
      <c r="U43" s="23"/>
    </row>
    <row r="44" spans="1:22" s="24" customFormat="1" ht="46.8" x14ac:dyDescent="0.3">
      <c r="A44" s="21">
        <v>12</v>
      </c>
      <c r="B44" s="28" t="s">
        <v>32</v>
      </c>
      <c r="C44" s="21" t="s">
        <v>37</v>
      </c>
      <c r="D44" s="3">
        <f t="shared" si="19"/>
        <v>17.533999999999999</v>
      </c>
      <c r="E44" s="3">
        <v>17.533999999999999</v>
      </c>
      <c r="F44" s="3"/>
      <c r="G44" s="3">
        <v>0</v>
      </c>
      <c r="H44" s="3">
        <v>0</v>
      </c>
      <c r="I44" s="3">
        <f t="shared" si="20"/>
        <v>-7.4459629999999999</v>
      </c>
      <c r="J44" s="3">
        <v>-7.4459629999999999</v>
      </c>
      <c r="K44" s="3"/>
      <c r="L44" s="3">
        <v>0</v>
      </c>
      <c r="M44" s="3">
        <v>0</v>
      </c>
      <c r="N44" s="3"/>
      <c r="O44" s="3">
        <f t="shared" si="21"/>
        <v>10.088037</v>
      </c>
      <c r="P44" s="3">
        <f t="shared" si="18"/>
        <v>10.088037</v>
      </c>
      <c r="Q44" s="3">
        <f t="shared" si="18"/>
        <v>0</v>
      </c>
      <c r="R44" s="3">
        <f t="shared" si="18"/>
        <v>0</v>
      </c>
      <c r="S44" s="3">
        <f t="shared" si="18"/>
        <v>0</v>
      </c>
      <c r="T44" s="3"/>
      <c r="U44" s="23"/>
    </row>
  </sheetData>
  <mergeCells count="17">
    <mergeCell ref="J5:M5"/>
    <mergeCell ref="O5:O6"/>
    <mergeCell ref="P5:T5"/>
    <mergeCell ref="A1:U1"/>
    <mergeCell ref="A2:U2"/>
    <mergeCell ref="O3:U3"/>
    <mergeCell ref="A4:A6"/>
    <mergeCell ref="B4:B6"/>
    <mergeCell ref="C4:C6"/>
    <mergeCell ref="D4:H4"/>
    <mergeCell ref="I4:M4"/>
    <mergeCell ref="N4:N6"/>
    <mergeCell ref="O4:T4"/>
    <mergeCell ref="U4:U6"/>
    <mergeCell ref="D5:D6"/>
    <mergeCell ref="E5:H5"/>
    <mergeCell ref="I5:I6"/>
  </mergeCells>
  <conditionalFormatting sqref="B33">
    <cfRule type="cellIs" dxfId="0" priority="1" operator="lessThan">
      <formula>0</formula>
    </cfRule>
  </conditionalFormatting>
  <pageMargins left="0.11811023622047245" right="0.11811023622047245" top="0.74803149606299213" bottom="0.74803149606299213" header="0.31496062992125984" footer="0.31496062992125984"/>
  <pageSetup paperSize="9" scale="85" orientation="landscape" verticalDpi="0" r:id="rId1"/>
  <colBreaks count="1" manualBreakCount="1"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danh mục giảm</vt:lpstr>
      <vt:lpstr>danh mục bổ sung</vt:lpstr>
      <vt:lpstr>danh mục tăng</vt:lpstr>
      <vt:lpstr>biểu tổng hợp</vt:lpstr>
      <vt:lpstr>'biểu tổng hợp'!Print_Area</vt:lpstr>
      <vt:lpstr>'danh mục giảm'!Print_Area</vt:lpstr>
      <vt:lpstr>'danh mục tăng'!Print_Area</vt:lpstr>
      <vt:lpstr>'biểu tổng hợp'!Print_Titles</vt:lpstr>
      <vt:lpstr>'danh mục giảm'!Print_Titles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2025-10-15T07:14:39Z</cp:lastPrinted>
  <dcterms:created xsi:type="dcterms:W3CDTF">2025-03-16T07:38:22Z</dcterms:created>
  <dcterms:modified xsi:type="dcterms:W3CDTF">2025-10-15T07:16:31Z</dcterms:modified>
</cp:coreProperties>
</file>