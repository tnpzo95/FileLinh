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D:\QUANG SON\HDND\NQ HĐND\"/>
    </mc:Choice>
  </mc:AlternateContent>
  <xr:revisionPtr revIDLastSave="0" documentId="8_{D68D6C2D-C59E-41A5-BA63-7EBAA9C5B95A}" xr6:coauthVersionLast="47" xr6:coauthVersionMax="47" xr10:uidLastSave="{00000000-0000-0000-0000-000000000000}"/>
  <bookViews>
    <workbookView xWindow="-108" yWindow="-108" windowWidth="23256" windowHeight="12456" firstSheet="3" activeTab="3" xr2:uid="{00000000-000D-0000-FFFF-FFFF00000000}"/>
  </bookViews>
  <sheets>
    <sheet name="foxz" sheetId="4" state="veryHidden" r:id="rId1"/>
    <sheet name="NSDP" sheetId="5" state="hidden" r:id="rId2"/>
    <sheet name=" XA TAN LONG" sheetId="11" state="hidden" r:id="rId3"/>
    <sheet name="2026-2030" sheetId="12" r:id="rId4"/>
  </sheets>
  <externalReferences>
    <externalReference r:id="rId5"/>
  </externalReferences>
  <definedNames>
    <definedName name="_xlnm.Print_Area" localSheetId="2">' XA TAN LONG'!$A$1:$G$59</definedName>
    <definedName name="_xlnm.Print_Area" localSheetId="3">'2026-2030'!$A$1:$J$79</definedName>
    <definedName name="_xlnm.Print_Titles" localSheetId="2">' XA TAN LONG'!$5:$6</definedName>
    <definedName name="_xlnm.Print_Titles" localSheetId="3">'2026-2030'!$5:$6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8" i="12" l="1"/>
  <c r="G54" i="12" l="1"/>
  <c r="H66" i="12" l="1"/>
  <c r="I66" i="12"/>
  <c r="G71" i="12"/>
  <c r="H28" i="12" l="1"/>
  <c r="H27" i="12" s="1"/>
  <c r="I27" i="12"/>
  <c r="G69" i="12"/>
  <c r="G70" i="12"/>
  <c r="G67" i="12"/>
  <c r="G40" i="12"/>
  <c r="G41" i="12"/>
  <c r="G42" i="12"/>
  <c r="G43" i="12"/>
  <c r="G44" i="12"/>
  <c r="G45" i="12"/>
  <c r="G46" i="12"/>
  <c r="G47" i="12"/>
  <c r="G48" i="12"/>
  <c r="G49" i="12"/>
  <c r="G50" i="12"/>
  <c r="G51" i="12"/>
  <c r="G52" i="12"/>
  <c r="G53" i="12"/>
  <c r="G55" i="12"/>
  <c r="G56" i="12"/>
  <c r="G57" i="12"/>
  <c r="G58" i="12"/>
  <c r="G59" i="12"/>
  <c r="I12" i="12"/>
  <c r="H12" i="12"/>
  <c r="G26" i="12"/>
  <c r="G66" i="12" l="1"/>
  <c r="H65" i="12"/>
  <c r="I61" i="12"/>
  <c r="I60" i="12" s="1"/>
  <c r="H39" i="12" l="1"/>
  <c r="G10" i="12" l="1"/>
  <c r="I65" i="12" l="1"/>
  <c r="I39" i="12"/>
  <c r="I36" i="12" s="1"/>
  <c r="I11" i="12"/>
  <c r="I8" i="12"/>
  <c r="H9" i="12"/>
  <c r="H8" i="12" s="1"/>
  <c r="I9" i="12"/>
  <c r="G9" i="12"/>
  <c r="F37" i="12"/>
  <c r="F36" i="12" s="1"/>
  <c r="F72" i="12" s="1"/>
  <c r="H37" i="12"/>
  <c r="G38" i="12"/>
  <c r="G37" i="12" s="1"/>
  <c r="E38" i="12"/>
  <c r="E37" i="12" s="1"/>
  <c r="E36" i="12" s="1"/>
  <c r="E72" i="12" s="1"/>
  <c r="I72" i="12" l="1"/>
  <c r="G39" i="12"/>
  <c r="H36" i="12"/>
  <c r="G36" i="12" s="1"/>
  <c r="G8" i="12"/>
  <c r="G25" i="12" l="1"/>
  <c r="G17" i="12"/>
  <c r="G64" i="12"/>
  <c r="G63" i="12"/>
  <c r="G24" i="12"/>
  <c r="G23" i="12"/>
  <c r="G22" i="12"/>
  <c r="G21" i="12"/>
  <c r="G20" i="12"/>
  <c r="G19" i="12"/>
  <c r="G30" i="12"/>
  <c r="G32" i="12"/>
  <c r="G34" i="12"/>
  <c r="G18" i="12"/>
  <c r="G31" i="12"/>
  <c r="G33" i="12"/>
  <c r="G35" i="12"/>
  <c r="H61" i="12"/>
  <c r="G61" i="12" l="1"/>
  <c r="G60" i="12" s="1"/>
  <c r="H60" i="12"/>
  <c r="G62" i="12"/>
  <c r="G29" i="12"/>
  <c r="G28" i="12" s="1"/>
  <c r="G27" i="12" s="1"/>
  <c r="G16" i="12"/>
  <c r="G15" i="12"/>
  <c r="G13" i="12"/>
  <c r="H11" i="12" l="1"/>
  <c r="H72" i="12" s="1"/>
  <c r="K72" i="12" s="1"/>
  <c r="G12" i="12"/>
  <c r="G11" i="12" s="1"/>
  <c r="G14" i="12"/>
  <c r="D53" i="11"/>
  <c r="I53" i="11" s="1"/>
  <c r="J53" i="11" s="1"/>
  <c r="D51" i="11"/>
  <c r="I51" i="11" s="1"/>
  <c r="J51" i="11" s="1"/>
  <c r="E53" i="11"/>
  <c r="E51" i="11"/>
  <c r="C53" i="11"/>
  <c r="C51" i="11"/>
  <c r="C42" i="11"/>
  <c r="C38" i="11"/>
  <c r="C29" i="11"/>
  <c r="C23" i="11"/>
  <c r="C21" i="11"/>
  <c r="C9" i="11"/>
  <c r="E42" i="11"/>
  <c r="E38" i="11"/>
  <c r="E29" i="11"/>
  <c r="E23" i="11"/>
  <c r="E21" i="11"/>
  <c r="E9" i="11"/>
  <c r="D29" i="11"/>
  <c r="D9" i="11"/>
  <c r="D23" i="11"/>
  <c r="D42" i="11"/>
  <c r="D21" i="11"/>
  <c r="D38" i="11"/>
  <c r="I54" i="11"/>
  <c r="J54" i="11" s="1"/>
  <c r="I52" i="11"/>
  <c r="J52" i="11" s="1"/>
  <c r="I41" i="11"/>
  <c r="J41" i="11" s="1"/>
  <c r="I37" i="11"/>
  <c r="J37" i="11" s="1"/>
  <c r="I10" i="11"/>
  <c r="J10" i="11" s="1"/>
  <c r="I28" i="11"/>
  <c r="J28" i="11" s="1"/>
  <c r="I22" i="11"/>
  <c r="J22" i="11"/>
  <c r="A3"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1" i="5"/>
  <c r="E127" i="5"/>
  <c r="F127" i="5"/>
  <c r="G127" i="5"/>
  <c r="H127" i="5"/>
  <c r="H118" i="5" s="1"/>
  <c r="I127" i="5"/>
  <c r="J127" i="5"/>
  <c r="K127" i="5"/>
  <c r="L127" i="5"/>
  <c r="M127" i="5"/>
  <c r="N127" i="5"/>
  <c r="O127" i="5"/>
  <c r="P127" i="5"/>
  <c r="Q127" i="5"/>
  <c r="R127" i="5"/>
  <c r="S127" i="5"/>
  <c r="T127" i="5"/>
  <c r="U127" i="5"/>
  <c r="V127" i="5"/>
  <c r="W127" i="5"/>
  <c r="X127" i="5"/>
  <c r="X118" i="5" s="1"/>
  <c r="D127" i="5"/>
  <c r="E122" i="5"/>
  <c r="F122" i="5"/>
  <c r="G122" i="5"/>
  <c r="H122" i="5"/>
  <c r="I122" i="5"/>
  <c r="J122" i="5"/>
  <c r="K122" i="5"/>
  <c r="L122" i="5"/>
  <c r="M122" i="5"/>
  <c r="N122" i="5"/>
  <c r="O122" i="5"/>
  <c r="P122" i="5"/>
  <c r="Q122" i="5"/>
  <c r="R122" i="5"/>
  <c r="R118" i="5" s="1"/>
  <c r="S122" i="5"/>
  <c r="T122" i="5"/>
  <c r="U122" i="5"/>
  <c r="V122" i="5"/>
  <c r="W122" i="5"/>
  <c r="X122" i="5"/>
  <c r="D122" i="5"/>
  <c r="E119" i="5"/>
  <c r="F119" i="5"/>
  <c r="G119" i="5"/>
  <c r="H119" i="5"/>
  <c r="I119" i="5"/>
  <c r="J119" i="5"/>
  <c r="K119" i="5"/>
  <c r="L119" i="5"/>
  <c r="M119" i="5"/>
  <c r="N119" i="5"/>
  <c r="O119" i="5"/>
  <c r="P119" i="5"/>
  <c r="Q119" i="5"/>
  <c r="R119" i="5"/>
  <c r="S119" i="5"/>
  <c r="T119" i="5"/>
  <c r="U119" i="5"/>
  <c r="V119" i="5"/>
  <c r="W119" i="5"/>
  <c r="X119" i="5"/>
  <c r="D119" i="5"/>
  <c r="E114" i="5"/>
  <c r="F114" i="5"/>
  <c r="G114" i="5"/>
  <c r="H114" i="5"/>
  <c r="I114" i="5"/>
  <c r="J114" i="5"/>
  <c r="K114" i="5"/>
  <c r="L114" i="5"/>
  <c r="M114" i="5"/>
  <c r="N114" i="5"/>
  <c r="O114" i="5"/>
  <c r="P114" i="5"/>
  <c r="Q114" i="5"/>
  <c r="R114" i="5"/>
  <c r="S114" i="5"/>
  <c r="T114" i="5"/>
  <c r="U114" i="5"/>
  <c r="V114" i="5"/>
  <c r="W114" i="5"/>
  <c r="X114" i="5"/>
  <c r="D114" i="5"/>
  <c r="E109" i="5"/>
  <c r="F109" i="5"/>
  <c r="G109" i="5"/>
  <c r="H109" i="5"/>
  <c r="I109" i="5"/>
  <c r="J109" i="5"/>
  <c r="K109" i="5"/>
  <c r="L109" i="5"/>
  <c r="M109" i="5"/>
  <c r="N109" i="5"/>
  <c r="O109" i="5"/>
  <c r="P109" i="5"/>
  <c r="Q109" i="5"/>
  <c r="R109" i="5"/>
  <c r="S109" i="5"/>
  <c r="T109" i="5"/>
  <c r="U109" i="5"/>
  <c r="V109" i="5"/>
  <c r="W109" i="5"/>
  <c r="X109" i="5"/>
  <c r="D109" i="5"/>
  <c r="E98" i="5"/>
  <c r="F98" i="5"/>
  <c r="G98" i="5"/>
  <c r="H98" i="5"/>
  <c r="I98" i="5"/>
  <c r="J98" i="5"/>
  <c r="K98" i="5"/>
  <c r="L98" i="5"/>
  <c r="M98" i="5"/>
  <c r="N98" i="5"/>
  <c r="O98" i="5"/>
  <c r="P98" i="5"/>
  <c r="Q98" i="5"/>
  <c r="R98" i="5"/>
  <c r="S98" i="5"/>
  <c r="T98" i="5"/>
  <c r="U98" i="5"/>
  <c r="V98" i="5"/>
  <c r="W98" i="5"/>
  <c r="X98" i="5"/>
  <c r="D98" i="5"/>
  <c r="E89" i="5"/>
  <c r="F89" i="5"/>
  <c r="G89" i="5"/>
  <c r="H89" i="5"/>
  <c r="I89" i="5"/>
  <c r="J89" i="5"/>
  <c r="K89" i="5"/>
  <c r="L89" i="5"/>
  <c r="M89" i="5"/>
  <c r="N89" i="5"/>
  <c r="O89" i="5"/>
  <c r="P89" i="5"/>
  <c r="Q89" i="5"/>
  <c r="R89" i="5"/>
  <c r="S89" i="5"/>
  <c r="T89" i="5"/>
  <c r="U89" i="5"/>
  <c r="V89" i="5"/>
  <c r="W89" i="5"/>
  <c r="X89" i="5"/>
  <c r="D89" i="5"/>
  <c r="E85" i="5"/>
  <c r="F85" i="5"/>
  <c r="G85" i="5"/>
  <c r="H85" i="5"/>
  <c r="I85" i="5"/>
  <c r="J85" i="5"/>
  <c r="K85" i="5"/>
  <c r="L85" i="5"/>
  <c r="M85" i="5"/>
  <c r="N85" i="5"/>
  <c r="O85" i="5"/>
  <c r="P85" i="5"/>
  <c r="Q85" i="5"/>
  <c r="R85" i="5"/>
  <c r="S85" i="5"/>
  <c r="T85" i="5"/>
  <c r="U85" i="5"/>
  <c r="V85" i="5"/>
  <c r="W85" i="5"/>
  <c r="X85" i="5"/>
  <c r="D85" i="5"/>
  <c r="E81" i="5"/>
  <c r="F81" i="5"/>
  <c r="G81" i="5"/>
  <c r="H81" i="5"/>
  <c r="I81" i="5"/>
  <c r="J81" i="5"/>
  <c r="K81" i="5"/>
  <c r="L81" i="5"/>
  <c r="M81" i="5"/>
  <c r="N81" i="5"/>
  <c r="O81" i="5"/>
  <c r="P81" i="5"/>
  <c r="Q81" i="5"/>
  <c r="R81" i="5"/>
  <c r="S81" i="5"/>
  <c r="T81" i="5"/>
  <c r="U81" i="5"/>
  <c r="V81" i="5"/>
  <c r="W81" i="5"/>
  <c r="X81" i="5"/>
  <c r="D81" i="5"/>
  <c r="E76" i="5"/>
  <c r="F76" i="5"/>
  <c r="G76" i="5"/>
  <c r="H76" i="5"/>
  <c r="I76" i="5"/>
  <c r="J76" i="5"/>
  <c r="K76" i="5"/>
  <c r="L76" i="5"/>
  <c r="M76" i="5"/>
  <c r="N76" i="5"/>
  <c r="O76" i="5"/>
  <c r="P76" i="5"/>
  <c r="Q76" i="5"/>
  <c r="R76" i="5"/>
  <c r="S76" i="5"/>
  <c r="T76" i="5"/>
  <c r="U76" i="5"/>
  <c r="V76" i="5"/>
  <c r="W76" i="5"/>
  <c r="X76" i="5"/>
  <c r="D76" i="5"/>
  <c r="E62" i="5"/>
  <c r="F62" i="5"/>
  <c r="G62" i="5"/>
  <c r="H62" i="5"/>
  <c r="I62" i="5"/>
  <c r="J62" i="5"/>
  <c r="K62" i="5"/>
  <c r="L62" i="5"/>
  <c r="M62" i="5"/>
  <c r="N62" i="5"/>
  <c r="O62" i="5"/>
  <c r="P62" i="5"/>
  <c r="Q62" i="5"/>
  <c r="R62" i="5"/>
  <c r="S62" i="5"/>
  <c r="T62" i="5"/>
  <c r="V62" i="5"/>
  <c r="W62" i="5"/>
  <c r="X62" i="5"/>
  <c r="D62" i="5"/>
  <c r="E57" i="5"/>
  <c r="F57" i="5"/>
  <c r="G57" i="5"/>
  <c r="H57" i="5"/>
  <c r="I57" i="5"/>
  <c r="J57" i="5"/>
  <c r="K57" i="5"/>
  <c r="L57" i="5"/>
  <c r="M57" i="5"/>
  <c r="N57" i="5"/>
  <c r="O57" i="5"/>
  <c r="P57" i="5"/>
  <c r="Q57" i="5"/>
  <c r="R57" i="5"/>
  <c r="R56" i="5" s="1"/>
  <c r="S57" i="5"/>
  <c r="T57" i="5"/>
  <c r="U57" i="5"/>
  <c r="V57" i="5"/>
  <c r="W57" i="5"/>
  <c r="X57" i="5"/>
  <c r="D57" i="5"/>
  <c r="E51" i="5"/>
  <c r="F51" i="5"/>
  <c r="G51" i="5"/>
  <c r="H51" i="5"/>
  <c r="I51" i="5"/>
  <c r="J51" i="5"/>
  <c r="K51" i="5"/>
  <c r="L51" i="5"/>
  <c r="M51" i="5"/>
  <c r="N51" i="5"/>
  <c r="O51" i="5"/>
  <c r="P51" i="5"/>
  <c r="Q51" i="5"/>
  <c r="R51" i="5"/>
  <c r="S51" i="5"/>
  <c r="T51" i="5"/>
  <c r="U51" i="5"/>
  <c r="V51" i="5"/>
  <c r="W51" i="5"/>
  <c r="X51" i="5"/>
  <c r="D51" i="5"/>
  <c r="E48" i="5"/>
  <c r="F48" i="5"/>
  <c r="G48" i="5"/>
  <c r="H48" i="5"/>
  <c r="I48" i="5"/>
  <c r="J48" i="5"/>
  <c r="K48" i="5"/>
  <c r="L48" i="5"/>
  <c r="M48" i="5"/>
  <c r="N48" i="5"/>
  <c r="O48" i="5"/>
  <c r="P48" i="5"/>
  <c r="Q48" i="5"/>
  <c r="R48" i="5"/>
  <c r="S48" i="5"/>
  <c r="T48" i="5"/>
  <c r="U48" i="5"/>
  <c r="V48" i="5"/>
  <c r="W48" i="5"/>
  <c r="X48" i="5"/>
  <c r="D48" i="5"/>
  <c r="E46" i="5"/>
  <c r="F46" i="5"/>
  <c r="G46" i="5"/>
  <c r="H46" i="5"/>
  <c r="I46" i="5"/>
  <c r="J46" i="5"/>
  <c r="K46" i="5"/>
  <c r="L46" i="5"/>
  <c r="M46" i="5"/>
  <c r="N46" i="5"/>
  <c r="O46" i="5"/>
  <c r="P46" i="5"/>
  <c r="Q46" i="5"/>
  <c r="R46" i="5"/>
  <c r="S46" i="5"/>
  <c r="T46" i="5"/>
  <c r="U46" i="5"/>
  <c r="V46" i="5"/>
  <c r="W46" i="5"/>
  <c r="X46" i="5"/>
  <c r="D46" i="5"/>
  <c r="E37" i="5"/>
  <c r="F37" i="5"/>
  <c r="G37" i="5"/>
  <c r="H37" i="5"/>
  <c r="I37" i="5"/>
  <c r="J37" i="5"/>
  <c r="K37" i="5"/>
  <c r="L37" i="5"/>
  <c r="M37" i="5"/>
  <c r="N37" i="5"/>
  <c r="O37" i="5"/>
  <c r="P37" i="5"/>
  <c r="Q37" i="5"/>
  <c r="R37" i="5"/>
  <c r="S37" i="5"/>
  <c r="T37" i="5"/>
  <c r="U37" i="5"/>
  <c r="V37" i="5"/>
  <c r="W37" i="5"/>
  <c r="X37" i="5"/>
  <c r="D37" i="5"/>
  <c r="E25" i="5"/>
  <c r="F25" i="5"/>
  <c r="G25" i="5"/>
  <c r="H25" i="5"/>
  <c r="I25" i="5"/>
  <c r="J25" i="5"/>
  <c r="K25" i="5"/>
  <c r="L25" i="5"/>
  <c r="M25" i="5"/>
  <c r="N25" i="5"/>
  <c r="O25" i="5"/>
  <c r="O11" i="5" s="1"/>
  <c r="P25" i="5"/>
  <c r="Q25" i="5"/>
  <c r="R25" i="5"/>
  <c r="S25" i="5"/>
  <c r="T25" i="5"/>
  <c r="V25" i="5"/>
  <c r="W25" i="5"/>
  <c r="X25" i="5"/>
  <c r="D25" i="5"/>
  <c r="E12" i="5"/>
  <c r="E11" i="5" s="1"/>
  <c r="F12" i="5"/>
  <c r="G12" i="5"/>
  <c r="H12" i="5"/>
  <c r="I12" i="5"/>
  <c r="J12" i="5"/>
  <c r="K12" i="5"/>
  <c r="L12" i="5"/>
  <c r="M12" i="5"/>
  <c r="N12" i="5"/>
  <c r="O12" i="5"/>
  <c r="P12" i="5"/>
  <c r="Q12" i="5"/>
  <c r="R12" i="5"/>
  <c r="S12" i="5"/>
  <c r="T12" i="5"/>
  <c r="V12" i="5"/>
  <c r="W12" i="5"/>
  <c r="X12" i="5"/>
  <c r="D12" i="5"/>
  <c r="U25" i="5"/>
  <c r="U64" i="5"/>
  <c r="U62" i="5" s="1"/>
  <c r="U12" i="5"/>
  <c r="V11" i="5" l="1"/>
  <c r="S11" i="5"/>
  <c r="Q56" i="5"/>
  <c r="V56" i="5"/>
  <c r="E56" i="5"/>
  <c r="I84" i="5"/>
  <c r="M118" i="5"/>
  <c r="N56" i="5"/>
  <c r="J118" i="5"/>
  <c r="I11" i="5"/>
  <c r="F56" i="5"/>
  <c r="P56" i="5"/>
  <c r="U84" i="5"/>
  <c r="E84" i="5"/>
  <c r="O84" i="5"/>
  <c r="N118" i="5"/>
  <c r="H11" i="5"/>
  <c r="M11" i="5"/>
  <c r="J56" i="5"/>
  <c r="W84" i="5"/>
  <c r="Q84" i="5"/>
  <c r="Q11" i="5"/>
  <c r="L84" i="5"/>
  <c r="V118" i="5"/>
  <c r="F118" i="5"/>
  <c r="P118" i="5"/>
  <c r="D56" i="5"/>
  <c r="I56" i="5"/>
  <c r="U118" i="5"/>
  <c r="E118" i="5"/>
  <c r="E10" i="5" s="1"/>
  <c r="D8" i="11"/>
  <c r="H56" i="5"/>
  <c r="T84" i="5"/>
  <c r="D84" i="5"/>
  <c r="R11" i="5"/>
  <c r="J11" i="5"/>
  <c r="K11" i="5"/>
  <c r="X11" i="5"/>
  <c r="X10" i="5" s="1"/>
  <c r="W56" i="5"/>
  <c r="O56" i="5"/>
  <c r="G56" i="5"/>
  <c r="R84" i="5"/>
  <c r="J84" i="5"/>
  <c r="G84" i="5"/>
  <c r="S118" i="5"/>
  <c r="K118" i="5"/>
  <c r="C8" i="11"/>
  <c r="E8" i="11"/>
  <c r="P11" i="5"/>
  <c r="M56" i="5"/>
  <c r="X84" i="5"/>
  <c r="P84" i="5"/>
  <c r="P10" i="5" s="1"/>
  <c r="H84" i="5"/>
  <c r="Q118" i="5"/>
  <c r="I118" i="5"/>
  <c r="U11" i="5"/>
  <c r="W11" i="5"/>
  <c r="N11" i="5"/>
  <c r="F11" i="5"/>
  <c r="G11" i="5"/>
  <c r="T11" i="5"/>
  <c r="L11" i="5"/>
  <c r="D11" i="5"/>
  <c r="S56" i="5"/>
  <c r="K56" i="5"/>
  <c r="X56" i="5"/>
  <c r="T56" i="5"/>
  <c r="L56" i="5"/>
  <c r="V84" i="5"/>
  <c r="N84" i="5"/>
  <c r="F84" i="5"/>
  <c r="S84" i="5"/>
  <c r="S10" i="5" s="1"/>
  <c r="K84" i="5"/>
  <c r="M84" i="5"/>
  <c r="W118" i="5"/>
  <c r="O118" i="5"/>
  <c r="G118" i="5"/>
  <c r="T118" i="5"/>
  <c r="L118" i="5"/>
  <c r="D118" i="5"/>
  <c r="U56" i="5"/>
  <c r="V10" i="5" l="1"/>
  <c r="I10" i="5"/>
  <c r="Q10" i="5"/>
  <c r="F10" i="5"/>
  <c r="G10" i="5"/>
  <c r="N10" i="5"/>
  <c r="W10" i="5"/>
  <c r="D10" i="5"/>
  <c r="O10" i="5"/>
  <c r="T10" i="5"/>
  <c r="J10" i="5"/>
  <c r="H10" i="5"/>
  <c r="M10" i="5"/>
  <c r="R10" i="5"/>
  <c r="L10" i="5"/>
  <c r="U10" i="5"/>
  <c r="K10" i="5"/>
  <c r="G65" i="12" l="1"/>
  <c r="G72" i="12" s="1"/>
  <c r="L72" i="12" s="1"/>
</calcChain>
</file>

<file path=xl/sharedStrings.xml><?xml version="1.0" encoding="utf-8"?>
<sst xmlns="http://schemas.openxmlformats.org/spreadsheetml/2006/main" count="465" uniqueCount="337">
  <si>
    <t>Đơn vị: Triệu đồng</t>
  </si>
  <si>
    <t>STT</t>
  </si>
  <si>
    <t>Danh mục dự án</t>
  </si>
  <si>
    <t>Năm 2022</t>
  </si>
  <si>
    <t>Đã bố trí vốn đến hết KH năm 2022</t>
  </si>
  <si>
    <t>Tổng số (tất cả các nguồn vốn)</t>
  </si>
  <si>
    <t>Trong đó:</t>
  </si>
  <si>
    <t>Giai đoạn 2021-2025</t>
  </si>
  <si>
    <t>Tổng số</t>
  </si>
  <si>
    <t>NSTW</t>
  </si>
  <si>
    <t>NSĐP</t>
  </si>
  <si>
    <t>Thu hồi các khoản vốn ứng trước</t>
  </si>
  <si>
    <t>Chuẩn bị đầu tư</t>
  </si>
  <si>
    <t>QĐ chủ trương đầu tư/ QĐ phê duyệt dự án QĐ phê duyệt quyết toán</t>
  </si>
  <si>
    <t>Dự kiến kế hoạch 2023</t>
  </si>
  <si>
    <t>Kế hoạch</t>
  </si>
  <si>
    <t>Ước giải ngân từ 1/1/2022 đến 31/1/2023</t>
  </si>
  <si>
    <t>Trong đó: đã giao kế hoạch các năm 2021, 2022</t>
  </si>
  <si>
    <t>*</t>
  </si>
  <si>
    <t>I</t>
  </si>
  <si>
    <t>KH đầu tư trung hạn vốn NSĐP giai đoạn 2021-2025</t>
  </si>
  <si>
    <t>Trong đó: NSĐP</t>
  </si>
  <si>
    <t>II</t>
  </si>
  <si>
    <t>III</t>
  </si>
  <si>
    <t>IV</t>
  </si>
  <si>
    <t>1</t>
  </si>
  <si>
    <t>Phụ lục II</t>
  </si>
  <si>
    <t>TÌNH HÌNH THỰC HIỆN KẾ HOẠCH ĐẦU TƯ VỐN NGÂN SÁCH ĐỊA PHƯƠNG NĂM 2022
VÀ DỰ KIẾN KẾ HOẠCH NĂM 2023 ĐỐI VỚI DANH MỤC NHIỆM VỤ, DỰ ÁN THUỘC KẾ HOẠCH ĐẦU TƯ TRUNG HẠN VỐN NSNN GIAI ĐOẠN 2021-2025</t>
  </si>
  <si>
    <t>Số ngày tháng năm</t>
  </si>
  <si>
    <t>Trong đó: Vốn</t>
  </si>
  <si>
    <t>Giải ngân từ 01/1/2022 đến 30/9/2022</t>
  </si>
  <si>
    <t>Công trình hoàn thành đã phê duyệt quyết toán</t>
  </si>
  <si>
    <t>Giao thông vận tải</t>
  </si>
  <si>
    <t>Cải tạo, nâng cấp tuyến đường từ đường ĐT269B đi xóm Đoàn Kết, xã Hợp Tiến</t>
  </si>
  <si>
    <t>Nâng cấp tuyến đường từ đường QL17 đi xóm Mỏ Sắt, xã Hợp Tiến</t>
  </si>
  <si>
    <t>Nâng cấp tuyến đường từ xóm Mỏ Sắt đi xóm Bãi Vàng, xã Hợp Tiến</t>
  </si>
  <si>
    <t>Cải tạo, nâng cấp tuyến đường từ đường xóm Đoàn Kết đi xóm Đèo Bụt, xã Hợp Tiến</t>
  </si>
  <si>
    <t>Cải tạo sửa chữa Cầu treo Khe Tiên xã Văn Lăng</t>
  </si>
  <si>
    <t>Cải tạo, sửa chữa cầu treo thác Nhật xã Minh Lập</t>
  </si>
  <si>
    <t>07 cầu Hóa Thượng Hòa Bình</t>
  </si>
  <si>
    <t>Đường giao thông NT từ cầu treo Văn Khánh đi xóm Bản Tèn, xã Văn Lăng</t>
  </si>
  <si>
    <t>Xây dựng cầu xóm Đồng mẫu, xã Tân Long</t>
  </si>
  <si>
    <t>Xây dựng cầu xóm Ba Đình 1, Ba Đình 2, xã Tân Long</t>
  </si>
  <si>
    <t>Sửa chữa nâng cấp đoạn đường thuộc xóm làng Mới xã Tân Long</t>
  </si>
  <si>
    <t>Giáo dục và đào tạo</t>
  </si>
  <si>
    <t>Cải tạo sửa chữa trường tiểu học số 1 Hóa Thượng</t>
  </si>
  <si>
    <t>Xây dựng công trình nhà lớp học 4 phòng Trường tiểu học số 2 Văn Lăng - Điểm trường Bản Tèn</t>
  </si>
  <si>
    <t>Cải tạo, sửa chữa Trường THCS Hợp Tiến huyện Đồng Hỷ</t>
  </si>
  <si>
    <t>Nhà nội trú Trường phổ thông dân tộc bán trú tiểu học số 1 Văn Lăng</t>
  </si>
  <si>
    <t>Cải tạo, sửa chữa nhà hiệu bộ và nhà lớp học 2 tầng 8 phòng trường tiểu học và trung học cơ sở Hóa Trung</t>
  </si>
  <si>
    <t>Cải tạo, sửa chữa trường phổ thông dân tộc bán trú THCS Tân Long</t>
  </si>
  <si>
    <t>Cải tạo, sửa chữa các phòng chức năng trường THCS Minh Lập</t>
  </si>
  <si>
    <t>Nhà lớp học 2 tầng 8 phòng Trường phổ thông dân tộc bán trú tiểu học số 1 Văn Lăng</t>
  </si>
  <si>
    <t>Quản lý nhà nước</t>
  </si>
  <si>
    <t>Xây dựng nhà ở, bếp ăn, khu vệ sinh công an xã Tân Lợi</t>
  </si>
  <si>
    <t>Sơn bề mặt ngoài nhà, sơn cửa đi + cửa sổ nhà làm việc 3 tầng UBND xã Tân Lợi</t>
  </si>
  <si>
    <t>Cải tạo, sửa chữa nhà ở, bếp ăn, khu vệ sinh công an xã Hòa Bình</t>
  </si>
  <si>
    <t>Cải tạo, sửa chữa trụ sở làm việc, bếp ăn, khu vệ sinh công an xã Khe Mo</t>
  </si>
  <si>
    <t>Xây dựng sân cổng tường rào xã Hóa Trung</t>
  </si>
  <si>
    <t>Xây dựng nhà một cửa UBND xã Tân Long</t>
  </si>
  <si>
    <t>Cải tạo sân, cổng, hàng rào UBND xã Minh Lập</t>
  </si>
  <si>
    <t>Cải tạo sửa chữa nhà ở, bếp ăn, nhà hội trường, nhà trực, nhà y tế cơ sở điều trị nghiện ma túy tự nguyện huyện Đồng Hỷ</t>
  </si>
  <si>
    <t>Xã hội</t>
  </si>
  <si>
    <t>Xây dựng nhà đình chợ, sân bê tông, cổng hàng rào xã Khe Mo</t>
  </si>
  <si>
    <t>Quốc phòng</t>
  </si>
  <si>
    <t>Xây dựng công trình ngầm trong căn cứ chiến đấu huyện Đồng Hỷ</t>
  </si>
  <si>
    <t>Trận địa phòng không 12,7mm + Đài quan sát xã Khe Mo huyện Đồng Hỷ</t>
  </si>
  <si>
    <t>Lĩnh vực khác</t>
  </si>
  <si>
    <t>Cải tạo nâng cấp kênh mương và đường vào trường mầm non Hợp Tiến</t>
  </si>
  <si>
    <t>Xây dựng Cầu tránh lũ suối Đồng Mây đi xóm Lân Quan, xã Tân Long</t>
  </si>
  <si>
    <t>Công trình hoàn thành chưa phê duyệt quyết toán</t>
  </si>
  <si>
    <t>Xây dựng tuyến đường liên xã Khe Mo - Sông Cầu</t>
  </si>
  <si>
    <t xml:space="preserve">Trường THCS Trại Cau </t>
  </si>
  <si>
    <t>Nhà LH 2 tầng 6 phòng trường TH số 2 Văn Lăng</t>
  </si>
  <si>
    <t>Trường mầm non Tân Long - Điểm Đồng Mây</t>
  </si>
  <si>
    <t>Nhà lớp học 2 tầng trường tiểu học số 1 Vân Hán</t>
  </si>
  <si>
    <t>Nhà lớp học 2 tầng 6 phòng trường tiểu học Hợp Tiến - Khu trung tâm</t>
  </si>
  <si>
    <t>Xây dựng nhà làm việc một cửa xã Minh Lập</t>
  </si>
  <si>
    <t>Cải tạo sửa chữa nhà trụ sở làm việc, sân UBND thị trấn Trại Cau</t>
  </si>
  <si>
    <t>Cải tạo sửa chữa nhà trụ sở làm việc, sân UBND xã Văn Hán</t>
  </si>
  <si>
    <t>Cải tạo sửa chữa trụ sở UBND xã Tân Long</t>
  </si>
  <si>
    <t>Xây dựng hạ tầng khu hành chính mới huyện Đồng Hỷ; Hạng mục: Quảng trường và đường giao thông</t>
  </si>
  <si>
    <t>Xây dựng khu tái định cư khu hành chính mới huyện Đồng Hỷ</t>
  </si>
  <si>
    <t>Xây dựng nhà làm việc một cửa xã Cây Thị</t>
  </si>
  <si>
    <t>Xây dựng nhà một cửa UBND xã Hóa Thượng</t>
  </si>
  <si>
    <t>Cải tạo sửa chữa sân khuôn viên UBND xã, xây dựng nhà để xe cơ quan Đảng ủy, HĐND, UBND xã Minh Lập</t>
  </si>
  <si>
    <t>Nâng cấp tuyến đường từ UBND xã đi xóm Mỏ Ba xã Tân Long</t>
  </si>
  <si>
    <t>Xây dựng đường nội thị khu hành chính mới huyện Đồng Hỷ (giai đoạn 1)</t>
  </si>
  <si>
    <t>Cải tạo, nâng cấp tuyến đường liên  xóm Dạt đi xóm Tam Va xã Văn Lăng</t>
  </si>
  <si>
    <t>Cải tạo, nâng cấp tuyến đường xóm Thịnh Lâm đi xóm Cầu Mai, xã Văn Hán</t>
  </si>
  <si>
    <t>Cải tạo, nâng cấp tuyến đường xóm Phả Lý, xã Văn Hán đi xóm Thống Nhất xã Khe Mo</t>
  </si>
  <si>
    <t>Xây dựng đường vào khu tập thể động lực tổ dân phố số 5, thị trấn Trại Cau, huyện Đồng Hỷ</t>
  </si>
  <si>
    <t>Xây dựng đường bê tông thôn, xóm xã Văn Hán</t>
  </si>
  <si>
    <t>Xây dựng đường bê tông thôn, xóm xã Tân Long</t>
  </si>
  <si>
    <t>Cải tạo, sửa chữa các phòng học trường tiểu học Quang Sơn - Điểm trường Lân Đăm</t>
  </si>
  <si>
    <t>Nhà ở nội trú trường PTDT bán trú THCS Tân Long</t>
  </si>
  <si>
    <t>Nhà lớp học 2 tầng 8 phòng trường tiểu học Tân Long - Khu trung tâm</t>
  </si>
  <si>
    <t>Nhà lớp học 2 tầng 8 phòng trường mầm non Hòa Bình</t>
  </si>
  <si>
    <t>Nhà lớp học 2 tầng 4 phòng trường mầm non Hợp Tiến - Khu trung tâm</t>
  </si>
  <si>
    <t>Nhà lớp học 2 tầng 8 phòng trường TH  số 1 Hóa Thượng</t>
  </si>
  <si>
    <t>Cải tạo, sửa chữa nhà lớp học 2 tầng 8 phòng trường tiểu học Quang Sơn - Điểm trường trung tâm</t>
  </si>
  <si>
    <t>Cải tạo, sửa chữa trường tiểu học Tân Lợi</t>
  </si>
  <si>
    <t>Sửa chữa trường tiểu học Cây Thị - Phân trường Khe Cạn</t>
  </si>
  <si>
    <t>Cải tạo, sửa chữa phòng học, các phòng chức năng và công trình phụ trợ trường tiểu học Tân Long - khu trung tâm</t>
  </si>
  <si>
    <t>Văn hóa, thể thao</t>
  </si>
  <si>
    <t>Cải tạo, nâng cấp trung tâm văn hóa thể thao thị trấn Trại Cau</t>
  </si>
  <si>
    <t xml:space="preserve">Sửa chữa nhà văn hóa trung tâm và sân cổng, hàng rào UBND xã Tân Long </t>
  </si>
  <si>
    <t>Xây dựng 4 phòng chức năng và nâng cấp sân trung tâm văn hóa thể thao xã Tân Long</t>
  </si>
  <si>
    <t>Nhà văn hóa trung tâm xã Văn Lăng</t>
  </si>
  <si>
    <t>Xây dựng mương thoát nước thải khu dân cư xóm Hưng Thái xã  Hoá Thượng</t>
  </si>
  <si>
    <t>Đối ứng thực hiện bồi thường GPMB, CTMTQG</t>
  </si>
  <si>
    <t>Bồi thường GPMB trụ sở công an xã Hóa Thượng</t>
  </si>
  <si>
    <t>Bồi thường GPMB trụ sở công an xã Hợp Tiến</t>
  </si>
  <si>
    <t>Bồi thường GPMB trụ sở công an thị trấn Sông Cầu</t>
  </si>
  <si>
    <t>Đối ứng thực hiện chương trình MTQG phát triển vùng đồng bào DTTS và miền núi</t>
  </si>
  <si>
    <t>Nghĩa trang liệt sỹ huyện Đồng Hỷ</t>
  </si>
  <si>
    <t>Kiên cố hóa trường lớp học mầm non, TH cho đồng bào dân tộc vùng sâu vùng xa trên địa bàn huyện Đồng Hỷ</t>
  </si>
  <si>
    <t>Xây dựng công trình nước sinh hoạt tập trung xóm Khe Cạn, xã Văn Lăng</t>
  </si>
  <si>
    <t>Cải tạo, nâng cấp tuyến đường từ xóm Làng Cháy, xã Khe Mo đi xã Quang Sơn</t>
  </si>
  <si>
    <t>Cải tạo, sửa chữa 4 phòng học, bếp ăn một chiều trường mầm non Văn Lăng - điểm trường Tân Sơn</t>
  </si>
  <si>
    <t>Cải tạo sửa chữa nhà lớp học trường PTDT bán trú TH số 1 Văn Lăng- điểm Khe Quân</t>
  </si>
  <si>
    <t>Cải tạo, nâng cấp tuyến đường từ xóm Khe Quân xã Văn Lăng đi Đồng Vung xã Hòa Bình</t>
  </si>
  <si>
    <t>Cải tạo, nâng cấp tuyến đường Khau Bí xóm Liên Phương xã Văn Lăng</t>
  </si>
  <si>
    <t>Cải tạo, nâng cấp tuyến đường Thịnh Đức 1 - La Đùm xã Văn Hán</t>
  </si>
  <si>
    <t>Cải tạo sửa chữa nhà hiệu bộ và các phòng chức năng khu trung tâm trường Mầm non Hóa Thượng và nhà lớp học 5 phòng học, bếp ăn một chiều điểm trường Tam Thái</t>
  </si>
  <si>
    <t>Cải tạo sửa chữa nhà lớp học 2 tầng trường THCS Vân Hán</t>
  </si>
  <si>
    <t>Cải tạo, sửa chữa nhà lớp học 2 tầng trường tiểu học Sông Cầu</t>
  </si>
  <si>
    <t>Nhà hiệu bộ và các công trình phụ trợ trường mầm non Nam Hòa - Điểm trường Ngòi Chẹo</t>
  </si>
  <si>
    <t>Nhà hiệu bộ và các công trình phụ trợ trường mầm non Vân Hán</t>
  </si>
  <si>
    <t>Nhà lớp học 2 tầng 8 phòng trường tiểu học số 2 Minh Lập</t>
  </si>
  <si>
    <t>Nhà lớp học 2 tầng, 6 phòng trường TH Quang Sơn</t>
  </si>
  <si>
    <t>Công trình chuyển tiếp</t>
  </si>
  <si>
    <t>Cải tạo sửa chữa nhà lớp học 2 tầng 8 phòng trường tiểu học Quang Sơn- Điểm trường Trung tâm</t>
  </si>
  <si>
    <t>Xây dựng nhà làm việc một cửa UBND xã Khe Mo</t>
  </si>
  <si>
    <t>Cải tạo, sửa chữa nhà làm việc 2 tầng, sân, cổng, hàng rào, nhà để xe UBND xã Khe Mo</t>
  </si>
  <si>
    <t>Cấp nước sinh hoạt tập trung xã Minh Lập</t>
  </si>
  <si>
    <t>Cấp nước sinh hoạt tập trung xã Nam Hòa</t>
  </si>
  <si>
    <t>Thực hiện các chương trình, chuyên đề, các chương trình mục tiêu quốc gia</t>
  </si>
  <si>
    <t>Bố trí vốn thực hiện các chương trình, chuyên đề</t>
  </si>
  <si>
    <t>Thực hiện các chương trình mục tiêu quốc gia xây dựng nông thôn mới</t>
  </si>
  <si>
    <t>Thực hiện các dự án phát triển vùng đồng bào dân tộc thiểu số và miền núi</t>
  </si>
  <si>
    <t>TỔNG CỘNG:</t>
  </si>
  <si>
    <t>Công trình khởi công mới</t>
  </si>
  <si>
    <t>Đơn vị tính: Triệu đồng</t>
  </si>
  <si>
    <t>3</t>
  </si>
  <si>
    <t>6</t>
  </si>
  <si>
    <t>Ghi chú</t>
  </si>
  <si>
    <t>Danh mục công trình</t>
  </si>
  <si>
    <t>(Kèm theo Công văn số        /CV-UBND ngày       /04/2023 của UBND xã Tân Long)</t>
  </si>
  <si>
    <t>NGƯỜI LẬP BIỂU</t>
  </si>
  <si>
    <t>Trần Đức Mạnh</t>
  </si>
  <si>
    <t>Đường bê tông xóm Đồng Mẫu xã Tân Long</t>
  </si>
  <si>
    <t>Tổng cộng</t>
  </si>
  <si>
    <t>Xóm Ba Đình</t>
  </si>
  <si>
    <t>Xóm Đồng Mẫu</t>
  </si>
  <si>
    <t>Xóm Làng Giếng</t>
  </si>
  <si>
    <t>Xóm Đồng Mây</t>
  </si>
  <si>
    <t>V</t>
  </si>
  <si>
    <t>Xóm Đồng Luông</t>
  </si>
  <si>
    <t>VI</t>
  </si>
  <si>
    <t>Xóm Mỏ Ba</t>
  </si>
  <si>
    <t>VIII</t>
  </si>
  <si>
    <t>Xóm Làng Mới</t>
  </si>
  <si>
    <t>Xóm Hồng Phong</t>
  </si>
  <si>
    <t xml:space="preserve">Tuyến 1 vào nhà ông Lý Văn Chỉ, Lý Văn Vấn. </t>
  </si>
  <si>
    <t>Tuyến 2 vào nhà Lý Văn Thao, Lý Văn Toàn</t>
  </si>
  <si>
    <t>Tuyến 3 vào ông Triệu Văn Minh, Triệu Văn Ngân</t>
  </si>
  <si>
    <t>Tuyến 4 vào nhà ông Phan Văn Kỷ, ông Phan Văn Vương</t>
  </si>
  <si>
    <t>Tuyến 5 vào nhà Dương Ngọc bích, Dương Văn Dũng</t>
  </si>
  <si>
    <t>Tuyến 6 vào nhà ông Đặng Văn Hồ, Đặng Văn Trồ</t>
  </si>
  <si>
    <t>Tuyến 8 vào nhà Đặng Văn Trung và cánh đồng Ba Chiêu</t>
  </si>
  <si>
    <t>Tuyến 1 vào nhà Hoàng Văn Thủy, ông Lý Văn Vin</t>
  </si>
  <si>
    <t>Tuyến 2 Vào khu dân cư nhà ông Lý Văn Lắt</t>
  </si>
  <si>
    <t xml:space="preserve">Tuyến 3 vào ông Lâm Văn Chính </t>
  </si>
  <si>
    <t>Tuyến 1 vào Khu dân cư ông Vương Văn Mía</t>
  </si>
  <si>
    <t>Tuyến 2 vào Khu dân cư ông Vương Văn Sung</t>
  </si>
  <si>
    <t>Tuyến 3 vào khu dân cư ông Hông văn Rùa</t>
  </si>
  <si>
    <t>Tuyến 4 vào ông Triệu Nho Tài</t>
  </si>
  <si>
    <t>Tuyến 5 vào Triệu Văn Tiến</t>
  </si>
  <si>
    <t xml:space="preserve">Tuyến 6 vào 3 hộ Hồng Văn Tu </t>
  </si>
  <si>
    <t>Tuyến 7 vào khu dân cư Lâm Văn Hiệp</t>
  </si>
  <si>
    <t>Tuyến 8 vào khu ông Lý Văn Đồng, Lý Văn Sinh</t>
  </si>
  <si>
    <t>Tuyến 1 vào nhà ông Hoàng Văn Linh</t>
  </si>
  <si>
    <t>Tuyến 2 vào nhà ông Dương Văn Cảm</t>
  </si>
  <si>
    <t>Tuyến 3 vào nhà ông Hoàng Văn Nam</t>
  </si>
  <si>
    <t>Tuyến 4 vào nhà bà Hoàng Thị Món</t>
  </si>
  <si>
    <t>Tuyến 5 vào nhà ông Dương Văn Ký</t>
  </si>
  <si>
    <t>Tuyến 1 vào nhà ông Thắng</t>
  </si>
  <si>
    <t>Tuyến 3 vào nhà ông Lý Đại</t>
  </si>
  <si>
    <t>Tuyến 4 vào nhà ông Sung</t>
  </si>
  <si>
    <t>Tuyến 5 vào nhà ông Dần</t>
  </si>
  <si>
    <t>Tuyến 6 vào nhà ông Quỳnh</t>
  </si>
  <si>
    <t>Tuyến 7 vào nhà ông Thành</t>
  </si>
  <si>
    <t>Tuyến 8 và nhà ông Tùng</t>
  </si>
  <si>
    <t>Tuyến 9 vào nhà ông Tú</t>
  </si>
  <si>
    <t>Tuyến 10 vào nhà ông Minh</t>
  </si>
  <si>
    <t>Tuyến 11 vào nhà ông Hợp</t>
  </si>
  <si>
    <t>Tuyến 1 ra cánh đồng ruộng gốc của 7 hộ gia đình</t>
  </si>
  <si>
    <t>Tuyến 2 vào khu dân cư nhà ông Nồng Văn Vẹn</t>
  </si>
  <si>
    <t>Tuyến 6 vào ông Đặng Văn Hoàn</t>
  </si>
  <si>
    <t>Tuyến 2 vào nhà ông Đạo,ông Dũng</t>
  </si>
  <si>
    <t>Chiều dài đăng ký</t>
  </si>
  <si>
    <t>Chiều dài kiểm tra đo đạc hiện trang</t>
  </si>
  <si>
    <t>Chiều dài thẩm định quy hoạch</t>
  </si>
  <si>
    <t>Giảm 20m vào đất ông Thanh</t>
  </si>
  <si>
    <t>làm trên đất ông Lâm Văn Tươi</t>
  </si>
  <si>
    <t>Giảm 10 m vào đất ông Tường</t>
  </si>
  <si>
    <t>Giảm 35 m vào đất ông Minh</t>
  </si>
  <si>
    <t>Giảm 15 m vào đất ông Tý</t>
  </si>
  <si>
    <t>Giảm 3m vào đất ông Sử</t>
  </si>
  <si>
    <t>Làm trên đất ông Nam</t>
  </si>
  <si>
    <t>Làm trên đất ông Nóm</t>
  </si>
  <si>
    <t>Đo lại</t>
  </si>
  <si>
    <t>Giảm 16m vào nhà ông Ngân, 10m vào nhà Mai, giảm 10m vào nhà Minh</t>
  </si>
  <si>
    <t>Giảm 22m vào đất nhà Vinh, nhà Chi</t>
  </si>
  <si>
    <t>Vào đất ở ông Đặng Văn Hoàn</t>
  </si>
  <si>
    <t>Giảm 5m vào đất ông Trung</t>
  </si>
  <si>
    <t>Vào đất ông Tiến</t>
  </si>
  <si>
    <t>BIỂU ĐĂNG KÝ DANH MỤC CÔNG TRÌNH XÂY DỰNG ĐƯỜNG BÊ TÔNG NĂM 2024 XÃ TÂN LONG</t>
  </si>
  <si>
    <t>Tổ trưởng và tổ trưởng</t>
  </si>
  <si>
    <t>4 hộ hưởng lơi: Ngọc Văn Phiêu - Tổ trưởng, Nông Văn Vẹt, Hoàng Văn Đạo, Ngọc Văn Duy</t>
  </si>
  <si>
    <t>Giảm 15 m vào đất ông Vẹn: Thiếu biên bản (đã đôn đốc xóm)</t>
  </si>
  <si>
    <t>7 hộ hưởng lợi: Đàm Văn Ít - Tổ trưởng, Đàm Văn Hoàng, Hà Ngọc Chức, Hà Xuân Thủy, Lâm Thị Phương, Mộ Thị Mon, Lâm Khắc Huy</t>
  </si>
  <si>
    <t>Đã ký biên bản cam kết xây dựng</t>
  </si>
  <si>
    <t>2</t>
  </si>
  <si>
    <t>4</t>
  </si>
  <si>
    <t>5</t>
  </si>
  <si>
    <t>7</t>
  </si>
  <si>
    <t>8</t>
  </si>
  <si>
    <t>9</t>
  </si>
  <si>
    <t>10</t>
  </si>
  <si>
    <t>11</t>
  </si>
  <si>
    <t>Quy mô đầu tư</t>
  </si>
  <si>
    <t>Ngân sách nhà nước hỗ trợ</t>
  </si>
  <si>
    <t>Nguồn vốn đối ứng và các nguồn vốn huy động hợp pháp khác</t>
  </si>
  <si>
    <t>Xây dựng kênh mương Đồng Thượng xóm Hồng Phong xã Quang Sơn (giai đoạn 2)</t>
  </si>
  <si>
    <t>500</t>
  </si>
  <si>
    <t>Chiều dài 3km, mở rộng mỗi bên 1m, mặt BTXM dày 16 cm</t>
  </si>
  <si>
    <t>Cải tạo, mở rộng tuyến đường bê tông liên xóm Đồng Luông-xóm Đồng Mây-xóm Làng Giếng - xóm Lân Quan,  xã Quang Sơn</t>
  </si>
  <si>
    <t>Cải tạo, mở rộng tuyến đường bê tông xóm liên xóm Làng Mới - xóm Ba Đình, xã Quang Sơn</t>
  </si>
  <si>
    <t>Xây dựng đường bê tông xóm Đồng Mẫu, xã Quang Sơn</t>
  </si>
  <si>
    <t>Chiều dài 0,3 km, mặt BTXM rộng 3m, dày 16 cm</t>
  </si>
  <si>
    <t>Xây dựng đường bê tông xóm Hồng Phong, xã Quang Sơn</t>
  </si>
  <si>
    <t>Chiều dài 1 km, mặt BTXM rộng 3m, dày 16 cm</t>
  </si>
  <si>
    <t>Xây dựng đường bê tông xóm Làng Giếng, xã Quang Sơn</t>
  </si>
  <si>
    <t>Chiều dài 0,6 km, mặt BTXM rộng 3m, dày 16 cm</t>
  </si>
  <si>
    <t>Xây dựng đường bê tông xóm Đồng Mây, xã Quang Sơn</t>
  </si>
  <si>
    <t>Xây dựng đường bê tông xóm Đồng Tâm, xã Quang Sơn</t>
  </si>
  <si>
    <t>Xây dựng đường bê tông xóm Đồng Thu, xã Quang Sơn</t>
  </si>
  <si>
    <t>Chiều dài 0,43 km, mặt BTXM rộng 3m, dày 16 cm</t>
  </si>
  <si>
    <t>Chiều dài 0,14 km, mặt BTXM rộng 3m, dày 16 cm</t>
  </si>
  <si>
    <t>Xây dựng 4 điểm cầu</t>
  </si>
  <si>
    <t>Cải tạo, mở rộng tuyến đường bê tông  xóm Hồng Phong, xã Quang Sơn</t>
  </si>
  <si>
    <t>Nâng cấp, cải tạo tuyến đường bê tông  xóm Đồng Luông đi xóm Đồng Mẫu, xã Quang Sơn</t>
  </si>
  <si>
    <t>Tuyến có chiều dài: 0,4km, nền đường rộng 10m, mặt đường BTXM dày 30cm, rộng 8m; xây dựng 1 cống ngầm qua suối</t>
  </si>
  <si>
    <t>Mở rộng tuyến đường tránh từ cổng làng Na Lay cũ sang mỏ sét Xuân Quang, xã Quang Sơn</t>
  </si>
  <si>
    <t>Cải tạo, mở rộng tuyến đường bê tông liên xóm Xuân Quang- xóm Ba Đình, xã Quang Sơn</t>
  </si>
  <si>
    <t>Cải tạo, mở rộng tuyến đường bê tông  xóm Đồng Mẫu, xã Quang Sơn</t>
  </si>
  <si>
    <t>Xây dựng trạm bơm điện và kênh mương đồng voi đằm xóm Đồng Mẫu, xã Quang Sơn</t>
  </si>
  <si>
    <t>Xây dựng 01 trạm bơm điện và 0,4 km kênh mương phục vụ tưới cho 7ha đất lúa</t>
  </si>
  <si>
    <t>Xây dựng kênh có chiều dài 0,3km</t>
  </si>
  <si>
    <t>Xây dựng  kênh mương Lọ Nặm xóm Đồng Mẫu, xã Quang Sơn</t>
  </si>
  <si>
    <t>Xây dựng kênh có chiều dài 0,8km</t>
  </si>
  <si>
    <t>Cải tạo, sửa chữa Đập Nước Hai xóm Hồng Phong, xã Quang Sơn</t>
  </si>
  <si>
    <t>Sửa chữa phần đập bị xói lở, dò rỉ nước, tạo hồ chứa nước</t>
  </si>
  <si>
    <t>Xây dựng kênh mương xóm Đồng Mây, xã Quang Sơn</t>
  </si>
  <si>
    <t>Xây dựng kênh có chiều dài 0,2km</t>
  </si>
  <si>
    <t>Xây dựng các công trình phụ trợ nhà văn hóa, khu thể thao xóm Đồng Mẫu, xã Quang Sơn</t>
  </si>
  <si>
    <t>Xây dựng các công trình phụ trợ nhà văn hóa, khu thể thao xóm Đồng Mây, xã Quang Sơn</t>
  </si>
  <si>
    <t>Xây dựng nhà văn hoá xóm Đồng Thu, xã Quang Sơn</t>
  </si>
  <si>
    <t>Cải tạo, sửa kênh mương xóm Đồng Tâm, xã Quang Sơn</t>
  </si>
  <si>
    <t>Cải tại, sửa chữa tuyến kênh có chiều dài 0,4km</t>
  </si>
  <si>
    <t>Cải tạo, sửa kênh mương xóm Đồng Luông, xã Quang Sơn</t>
  </si>
  <si>
    <t>Cải tại, sửa chữa tuyến kênh có chiều dài 1km</t>
  </si>
  <si>
    <t>150</t>
  </si>
  <si>
    <t>12</t>
  </si>
  <si>
    <t>13</t>
  </si>
  <si>
    <t>14</t>
  </si>
  <si>
    <t>16</t>
  </si>
  <si>
    <t>Lĩnh vực giao thông</t>
  </si>
  <si>
    <t>Lĩnh vực Thuỷ lợi</t>
  </si>
  <si>
    <t>Lĩnh vực Giáo dục</t>
  </si>
  <si>
    <t>Lĩnh vực Văn hoá</t>
  </si>
  <si>
    <t xml:space="preserve">Tổng cộng </t>
  </si>
  <si>
    <t>Chiều dài 7,5km, mở rộng mỗi bên 1m, mặt BTXM dày 16 cm</t>
  </si>
  <si>
    <t>Chiều dài 1,14 km, mở rộng mỗi bên 1m, mặt BTXM dày 16 cm</t>
  </si>
  <si>
    <t>Chiều dài 4,4 km, mở rộng mỗi bên 1m, mặt BTXM dày 16 cm</t>
  </si>
  <si>
    <t>Chiều dài 4,4 km, nâng cấp cải tạo mặt đường, lề đường, hệ thống rãnh thoát nước</t>
  </si>
  <si>
    <t>Sơn lại nhà, thay trần, cửa đi, cửa sổ, lát gạch nền nhà</t>
  </si>
  <si>
    <t xml:space="preserve">Xây dựng sân chơi, khu vườn cổ tích, hệ thống mái vòm </t>
  </si>
  <si>
    <t>Xây dựng nhà đa năng trường Tiểu học Sa Lung, xã Quang Sơn</t>
  </si>
  <si>
    <t>Cải tạo, sửa chữa nhà hiệu bộ, các phòng chức năng, công trình phụ trợ trường Tiểu học Sa Lung, xã Quang Sơn</t>
  </si>
  <si>
    <t>Xây dựng nhà đa năng trường Tiểu học Quang Sơn</t>
  </si>
  <si>
    <t>Cải tạo, sửa chữa cổng, tường rào trường Tiểu học Quang Sơn</t>
  </si>
  <si>
    <t xml:space="preserve">Xây dựng nhà hiệu bộ, các phòng chức năng, công trình phụ trợ trường Mầm Non Quang Sơn </t>
  </si>
  <si>
    <t>Xây dựng nhà hiệu bộ và các phòng chức năng trường THCS Quang Sơn</t>
  </si>
  <si>
    <t>Cải tạo, sửa chữa công trình phụ trợ trường THCS Quang Sơn</t>
  </si>
  <si>
    <t>Cải tạo, sửa chữa nhà lớp học, bếp ăn điểm trường  Mầm Non Tân Long, xã Quang Sơn</t>
  </si>
  <si>
    <t>Cải tạo, sửa chữa nhà lớp học, bếp ăn  điểm trường Mỏ Ba của trường Mầm Non Tân Long, xã Quang Sơn</t>
  </si>
  <si>
    <t>Xây dựng sân, vườn, mái vòm điểm trường Đồng Mây của trường Mầm Non Tân Long, xã Quang Sơn</t>
  </si>
  <si>
    <t>Cải tạo, sửa chữa nhà lớp học 2 tầng trường Tiểu học Tân Long, xã Quang Sơn</t>
  </si>
  <si>
    <t>Cải tạo, sửa chữa  nhà lớp học, bếp ăn điểm trường Trung Sơn của trường Mầm Non Quang Sơn</t>
  </si>
  <si>
    <t>Xây nhà lớp học 2 tầng 10 phòng học trường THCS, PTDT bán trú Tân Long, xã Quang Sơn</t>
  </si>
  <si>
    <t>Xây nhà đa năng  trường THCS, PTDT bán trú Tân Long, xã Quang Sơn</t>
  </si>
  <si>
    <t>Xây cổng, hàng rào trường THCS, PTDT bán trú Tân Long, xã Quang Sơn</t>
  </si>
  <si>
    <t>Nâng cấp, cải tạo chợ Quang Sơn</t>
  </si>
  <si>
    <t>Lĩnh vực Quy hoạch</t>
  </si>
  <si>
    <t>Quy hoạch chung xã Quang Sơn</t>
  </si>
  <si>
    <t>Xây dựng trụ sở làm việc Đảng ủy, HĐND, UB MTTQVN xã Quang Sơn</t>
  </si>
  <si>
    <t xml:space="preserve">Quyết định chủ trương đầu tư/Quyết định phê duyệt dự án/Quyết định phê duyệt quyết toán/Tổng mức đầu tư dự kiến </t>
  </si>
  <si>
    <t>Trong đó: Nguồn vốn huy động hợp pháp khác</t>
  </si>
  <si>
    <t>Dự kiến kế hoạch đầu tư công trung hạn giai đoạn 2026-2030</t>
  </si>
  <si>
    <t>Tổng số 
(tất cả các nguồn vốn)</t>
  </si>
  <si>
    <t>7=8+9</t>
  </si>
  <si>
    <t>Xây dựng trường mầm non Quang Sơn. Hạng mục: Nhà lớp học và các công trình phụ trợ</t>
  </si>
  <si>
    <t>a</t>
  </si>
  <si>
    <t>Dự án giai đoạn 2021-2025 chuyển tiếp sang giai đoạn 2026-2030</t>
  </si>
  <si>
    <t>b</t>
  </si>
  <si>
    <t>Dự án khởi công mới giai đoạn 2026-2030</t>
  </si>
  <si>
    <t>Quyết định số 346/QĐ-UBND
ngày 20/10/2025</t>
  </si>
  <si>
    <t>18</t>
  </si>
  <si>
    <t>DỰ KIẾN KẾ HOẠCH ĐẦU TƯ CÔNG TRUNG HẠN GIAI ĐOẠN 2026-2030  XÃ QUANG SƠN</t>
  </si>
  <si>
    <t>Lũy kế dự kiến vốn bố trí 
từ khởi công đến hết 
năm 2025</t>
  </si>
  <si>
    <t>Phụ lục I</t>
  </si>
  <si>
    <t>Nâng cấp, cải tạo đường lên xóm Mỏ Ba, xã Quang Sơn</t>
  </si>
  <si>
    <t>15</t>
  </si>
  <si>
    <t>Xây dựng nhà hiệu bộ, phòng chức năng trường Tiểu học Quang Sơn</t>
  </si>
  <si>
    <t xml:space="preserve">Xây dựng nhà lớp học điểm trường Trung Sơn trường Tiểu học Quang Sơn </t>
  </si>
  <si>
    <t>19</t>
  </si>
  <si>
    <t>Nhiệm vụ quy hoạch</t>
  </si>
  <si>
    <t>Nâng tầng Nhà lớp học và các công trình phụ trợ trường mầm non Quang Sơn</t>
  </si>
  <si>
    <t>Xây dựng khu dân cư, tái định cư xã Quang Sơn</t>
  </si>
  <si>
    <t>Cải tạo, nâng cấp sân vận động thể thao xã Quang Sơn</t>
  </si>
  <si>
    <t xml:space="preserve">Xây mới nhà lớp học mầm non điểm trường Lân Quan xã Quang Sơn </t>
  </si>
  <si>
    <t>Cải tạo, sửa chữa nhà lớp học điểm trường Mỏ Ba trường Tiểu học Tân Long</t>
  </si>
  <si>
    <t>Cải tạo, mở rộng nhà làm việc Trung tâm phục vụ hành chính công xã Quang Sơn</t>
  </si>
  <si>
    <t>(Kèm theo Nghị quyết số       /NQ-HĐND ngày     tháng 12 năm 2025 của HĐND xã Quang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</si>
</sst>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_-* #,##0_-;\-* #,##0_-;_-* &quot;-&quot;??_-;_-@_-"/>
  </numFmts>
  <fonts count="37" x14ac:knownFonts="1">
    <font>
      <sz val="12"/>
      <color theme="1"/>
      <name val="Times New Roman"/>
      <family val="2"/>
    </font>
    <font>
      <sz val="12"/>
      <color theme="1"/>
      <name val="Times New Roman"/>
      <family val="2"/>
    </font>
    <font>
      <sz val="10"/>
      <name val="Arial"/>
      <family val="2"/>
    </font>
    <font>
      <sz val="11"/>
      <color rgb="FF000000"/>
      <name val="Calibri"/>
      <family val="2"/>
      <scheme val="minor"/>
    </font>
    <font>
      <b/>
      <sz val="12"/>
      <name val="Times New Roman"/>
      <family val="1"/>
    </font>
    <font>
      <sz val="11"/>
      <color theme="1"/>
      <name val="Calibri"/>
      <family val="2"/>
      <scheme val="minor"/>
    </font>
    <font>
      <b/>
      <i/>
      <sz val="12"/>
      <name val="Times New Roman"/>
      <family val="1"/>
    </font>
    <font>
      <sz val="12"/>
      <name val="Times New Roman"/>
      <family val="1"/>
    </font>
    <font>
      <b/>
      <i/>
      <sz val="10"/>
      <name val="Times New Roman"/>
      <family val="1"/>
    </font>
    <font>
      <sz val="12"/>
      <name val="Times New Roman"/>
      <family val="2"/>
    </font>
    <font>
      <b/>
      <sz val="16"/>
      <name val="Times New Roman"/>
      <family val="1"/>
    </font>
    <font>
      <i/>
      <sz val="16"/>
      <name val="Times New Roman"/>
      <family val="1"/>
    </font>
    <font>
      <b/>
      <sz val="12"/>
      <name val="Calibri"/>
      <family val="2"/>
      <scheme val="minor"/>
    </font>
    <font>
      <b/>
      <sz val="12"/>
      <name val="Calibri"/>
      <family val="2"/>
    </font>
    <font>
      <i/>
      <sz val="12"/>
      <name val="Times New Roman"/>
      <family val="1"/>
    </font>
    <font>
      <b/>
      <sz val="14"/>
      <name val="Times New Roman"/>
      <family val="1"/>
    </font>
    <font>
      <sz val="14"/>
      <name val="Times New Roman"/>
      <family val="1"/>
    </font>
    <font>
      <b/>
      <sz val="13"/>
      <color theme="1"/>
      <name val="Calibri Light"/>
      <family val="1"/>
      <charset val="163"/>
      <scheme val="major"/>
    </font>
    <font>
      <sz val="13"/>
      <color theme="1"/>
      <name val="Calibri Light"/>
      <family val="1"/>
      <charset val="163"/>
      <scheme val="major"/>
    </font>
    <font>
      <b/>
      <sz val="13"/>
      <color theme="1"/>
      <name val="Times New Roman"/>
      <family val="1"/>
    </font>
    <font>
      <i/>
      <sz val="13"/>
      <color theme="1"/>
      <name val="Times New Roman"/>
      <family val="1"/>
    </font>
    <font>
      <sz val="14"/>
      <name val="Times New Roman"/>
      <family val="1"/>
      <charset val="163"/>
    </font>
    <font>
      <b/>
      <sz val="12"/>
      <name val="Times New Roman"/>
      <family val="1"/>
      <charset val="163"/>
    </font>
    <font>
      <b/>
      <sz val="14"/>
      <name val="Times New Roman"/>
      <family val="1"/>
      <charset val="163"/>
    </font>
    <font>
      <i/>
      <sz val="12"/>
      <name val="Times New Roman"/>
      <family val="1"/>
      <charset val="163"/>
    </font>
    <font>
      <i/>
      <sz val="14"/>
      <name val="Times New Roman"/>
      <family val="1"/>
      <charset val="163"/>
    </font>
    <font>
      <b/>
      <i/>
      <sz val="14"/>
      <name val="Times New Roman"/>
      <family val="1"/>
    </font>
    <font>
      <b/>
      <sz val="14"/>
      <color theme="1"/>
      <name val="Times New Roman"/>
      <family val="1"/>
    </font>
    <font>
      <sz val="14"/>
      <color theme="1"/>
      <name val="Times New Roman"/>
      <family val="1"/>
    </font>
    <font>
      <i/>
      <sz val="14"/>
      <name val="Times New Roman"/>
      <family val="1"/>
    </font>
    <font>
      <b/>
      <sz val="13"/>
      <name val="Times New Roman"/>
      <family val="1"/>
    </font>
    <font>
      <b/>
      <sz val="13"/>
      <name val="Calibri Light"/>
      <family val="1"/>
      <charset val="163"/>
      <scheme val="major"/>
    </font>
    <font>
      <i/>
      <sz val="13"/>
      <name val="Times New Roman"/>
      <family val="1"/>
    </font>
    <font>
      <sz val="12"/>
      <color rgb="FFFF0000"/>
      <name val="Times New Roman"/>
      <family val="1"/>
    </font>
    <font>
      <i/>
      <sz val="14"/>
      <color rgb="FFFF0000"/>
      <name val="Times New Roman"/>
      <family val="1"/>
    </font>
    <font>
      <sz val="14"/>
      <color rgb="FFFF0000"/>
      <name val="Times New Roman"/>
      <family val="1"/>
    </font>
    <font>
      <b/>
      <sz val="12"/>
      <color rgb="FFFF000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2" fillId="0" borderId="0" applyAlignment="0"/>
    <xf numFmtId="0" fontId="3" fillId="0" borderId="0" applyAlignment="0"/>
    <xf numFmtId="0" fontId="2" fillId="0" borderId="0"/>
    <xf numFmtId="0" fontId="5" fillId="0" borderId="0"/>
    <xf numFmtId="0" fontId="5" fillId="0" borderId="0"/>
    <xf numFmtId="0" fontId="7" fillId="0" borderId="0"/>
    <xf numFmtId="43" fontId="2" fillId="0" borderId="0" applyFont="0" applyFill="0" applyBorder="0" applyAlignment="0" applyProtection="0"/>
    <xf numFmtId="0" fontId="1" fillId="0" borderId="0"/>
    <xf numFmtId="164" fontId="1" fillId="0" borderId="0" applyFont="0" applyFill="0" applyBorder="0" applyAlignment="0" applyProtection="0"/>
    <xf numFmtId="0" fontId="7" fillId="0" borderId="0"/>
    <xf numFmtId="0" fontId="5" fillId="0" borderId="0"/>
  </cellStyleXfs>
  <cellXfs count="190">
    <xf numFmtId="0" fontId="0" fillId="0" borderId="0" xfId="0"/>
    <xf numFmtId="3" fontId="8" fillId="2" borderId="1" xfId="3" applyNumberFormat="1" applyFont="1" applyFill="1" applyBorder="1" applyAlignment="1">
      <alignment horizontal="center" vertical="center" wrapText="1"/>
    </xf>
    <xf numFmtId="0" fontId="9" fillId="2" borderId="0" xfId="0" applyFont="1" applyFill="1" applyAlignment="1">
      <alignment vertical="center"/>
    </xf>
    <xf numFmtId="164" fontId="9" fillId="2" borderId="0" xfId="9" applyFont="1" applyFill="1" applyAlignment="1">
      <alignment vertical="center"/>
    </xf>
    <xf numFmtId="0" fontId="4" fillId="2" borderId="0" xfId="0" applyFont="1" applyFill="1" applyAlignment="1">
      <alignment vertical="center"/>
    </xf>
    <xf numFmtId="165" fontId="4" fillId="2" borderId="0" xfId="0" applyNumberFormat="1" applyFont="1" applyFill="1" applyAlignment="1">
      <alignment vertical="center"/>
    </xf>
    <xf numFmtId="49" fontId="9" fillId="2" borderId="0" xfId="0" applyNumberFormat="1"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xf numFmtId="3" fontId="6"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165" fontId="4" fillId="2" borderId="1" xfId="9"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165" fontId="4" fillId="2" borderId="1" xfId="9" applyNumberFormat="1" applyFont="1" applyFill="1" applyBorder="1" applyAlignment="1">
      <alignment horizontal="center" vertical="center"/>
    </xf>
    <xf numFmtId="165" fontId="7" fillId="2" borderId="0" xfId="9" applyNumberFormat="1" applyFont="1" applyFill="1"/>
    <xf numFmtId="0" fontId="4" fillId="2" borderId="0" xfId="0" applyFont="1" applyFill="1"/>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xf>
    <xf numFmtId="165" fontId="9" fillId="2" borderId="1" xfId="9" applyNumberFormat="1" applyFont="1" applyFill="1" applyBorder="1" applyAlignment="1">
      <alignment horizontal="center" vertical="center"/>
    </xf>
    <xf numFmtId="165" fontId="9" fillId="2" borderId="0" xfId="9" applyNumberFormat="1" applyFont="1" applyFill="1"/>
    <xf numFmtId="0" fontId="9" fillId="2" borderId="0" xfId="0" applyFont="1" applyFill="1" applyAlignment="1">
      <alignment horizontal="center"/>
    </xf>
    <xf numFmtId="0" fontId="9" fillId="2" borderId="0" xfId="0" applyFont="1" applyFill="1" applyAlignment="1">
      <alignment horizontal="left"/>
    </xf>
    <xf numFmtId="0" fontId="4" fillId="2" borderId="0" xfId="0" applyFont="1" applyFill="1" applyAlignment="1">
      <alignment horizontal="center" vertical="center"/>
    </xf>
    <xf numFmtId="0" fontId="11" fillId="2" borderId="0" xfId="0" applyFont="1" applyFill="1" applyAlignment="1">
      <alignment horizontal="right" vertical="center"/>
    </xf>
    <xf numFmtId="0" fontId="9" fillId="2" borderId="0" xfId="0" applyFont="1" applyFill="1" applyAlignment="1">
      <alignment horizontal="center" vertical="center" wrapText="1"/>
    </xf>
    <xf numFmtId="164" fontId="14" fillId="2" borderId="0" xfId="9" applyFont="1" applyFill="1" applyAlignment="1">
      <alignment horizontal="right" vertical="center"/>
    </xf>
    <xf numFmtId="164" fontId="11" fillId="2" borderId="0" xfId="9" applyFont="1" applyFill="1" applyBorder="1" applyAlignment="1">
      <alignment horizontal="right" vertical="center"/>
    </xf>
    <xf numFmtId="0" fontId="7" fillId="2" borderId="0" xfId="0" applyFont="1" applyFill="1" applyAlignment="1">
      <alignment vertical="center"/>
    </xf>
    <xf numFmtId="0" fontId="14" fillId="2" borderId="0" xfId="0" applyFont="1" applyFill="1" applyAlignment="1">
      <alignment horizontal="right" vertical="center"/>
    </xf>
    <xf numFmtId="164" fontId="4" fillId="2" borderId="0" xfId="9" applyFont="1" applyFill="1" applyBorder="1" applyAlignment="1">
      <alignment horizontal="center" vertical="center" wrapText="1"/>
    </xf>
    <xf numFmtId="3" fontId="6" fillId="2" borderId="0" xfId="3" applyNumberFormat="1" applyFont="1" applyFill="1" applyAlignment="1">
      <alignment horizontal="center" vertical="center" wrapText="1"/>
    </xf>
    <xf numFmtId="164" fontId="6" fillId="2" borderId="0" xfId="9" applyFont="1" applyFill="1" applyBorder="1" applyAlignment="1">
      <alignment horizontal="center" vertical="center" wrapText="1"/>
    </xf>
    <xf numFmtId="165" fontId="4" fillId="2" borderId="0" xfId="9" applyNumberFormat="1" applyFont="1" applyFill="1" applyBorder="1" applyAlignment="1">
      <alignment horizontal="center" vertical="center" wrapText="1"/>
    </xf>
    <xf numFmtId="165" fontId="4" fillId="2" borderId="0" xfId="9" applyNumberFormat="1" applyFont="1" applyFill="1" applyBorder="1" applyAlignment="1">
      <alignment vertical="center"/>
    </xf>
    <xf numFmtId="164" fontId="4" fillId="2" borderId="0" xfId="9" applyFont="1" applyFill="1" applyBorder="1" applyAlignment="1">
      <alignment vertical="center"/>
    </xf>
    <xf numFmtId="0" fontId="4" fillId="2" borderId="0" xfId="4" applyFont="1" applyFill="1" applyAlignment="1">
      <alignment vertical="center"/>
    </xf>
    <xf numFmtId="164" fontId="7" fillId="2" borderId="0" xfId="9" applyFont="1" applyFill="1" applyAlignment="1">
      <alignment vertical="center"/>
    </xf>
    <xf numFmtId="49" fontId="7" fillId="2" borderId="0" xfId="0" applyNumberFormat="1" applyFont="1" applyFill="1" applyAlignment="1">
      <alignment horizontal="center" vertical="center"/>
    </xf>
    <xf numFmtId="0" fontId="7" fillId="2" borderId="0" xfId="0" applyFont="1" applyFill="1" applyAlignment="1">
      <alignment horizontal="left" vertical="center" wrapText="1"/>
    </xf>
    <xf numFmtId="49" fontId="16" fillId="2" borderId="0" xfId="0" applyNumberFormat="1" applyFont="1" applyFill="1" applyAlignment="1">
      <alignment horizontal="center" vertical="center"/>
    </xf>
    <xf numFmtId="0" fontId="16" fillId="2" borderId="0" xfId="0" applyFont="1" applyFill="1" applyAlignment="1">
      <alignment horizontal="left" vertical="center" wrapText="1"/>
    </xf>
    <xf numFmtId="0" fontId="16" fillId="2" borderId="0" xfId="0" applyFont="1" applyFill="1" applyAlignment="1">
      <alignment horizontal="center" vertical="center" wrapText="1"/>
    </xf>
    <xf numFmtId="0" fontId="17" fillId="0" borderId="0" xfId="0" applyFont="1"/>
    <xf numFmtId="0" fontId="18" fillId="0" borderId="0" xfId="0" applyFont="1"/>
    <xf numFmtId="0" fontId="22" fillId="2" borderId="0" xfId="0" applyFont="1" applyFill="1" applyAlignment="1">
      <alignment horizontal="center" vertical="center" wrapText="1"/>
    </xf>
    <xf numFmtId="49" fontId="21" fillId="2" borderId="0" xfId="0" applyNumberFormat="1" applyFont="1" applyFill="1" applyAlignment="1">
      <alignment horizontal="center" vertical="center" wrapText="1"/>
    </xf>
    <xf numFmtId="0" fontId="16" fillId="2" borderId="0" xfId="6" applyFont="1" applyFill="1" applyAlignment="1">
      <alignment horizontal="center" vertical="center" wrapText="1"/>
    </xf>
    <xf numFmtId="165" fontId="16" fillId="2" borderId="0" xfId="9" applyNumberFormat="1" applyFont="1" applyFill="1" applyBorder="1" applyAlignment="1">
      <alignment horizontal="right" vertical="center" wrapText="1"/>
    </xf>
    <xf numFmtId="0" fontId="7" fillId="2" borderId="0" xfId="0" applyFont="1" applyFill="1" applyAlignment="1">
      <alignment horizontal="center" vertical="center" wrapText="1"/>
    </xf>
    <xf numFmtId="164" fontId="22" fillId="2" borderId="0" xfId="9" applyFont="1" applyFill="1" applyBorder="1" applyAlignment="1">
      <alignment horizontal="center" vertical="center" wrapText="1"/>
    </xf>
    <xf numFmtId="165" fontId="22" fillId="2" borderId="0" xfId="9" applyNumberFormat="1" applyFont="1" applyFill="1" applyBorder="1" applyAlignment="1">
      <alignment horizontal="center" vertical="center" wrapText="1"/>
    </xf>
    <xf numFmtId="165" fontId="22" fillId="2" borderId="0" xfId="9" applyNumberFormat="1" applyFont="1" applyFill="1" applyBorder="1" applyAlignment="1">
      <alignment vertical="center"/>
    </xf>
    <xf numFmtId="165" fontId="22" fillId="2" borderId="0" xfId="0" applyNumberFormat="1" applyFont="1" applyFill="1" applyAlignment="1">
      <alignment vertical="center"/>
    </xf>
    <xf numFmtId="0" fontId="22" fillId="2" borderId="0" xfId="0" applyFont="1" applyFill="1" applyAlignment="1">
      <alignment vertical="center"/>
    </xf>
    <xf numFmtId="49" fontId="15" fillId="2" borderId="3" xfId="0" applyNumberFormat="1" applyFont="1" applyFill="1" applyBorder="1" applyAlignment="1">
      <alignment horizontal="center" vertical="center"/>
    </xf>
    <xf numFmtId="0" fontId="15" fillId="2" borderId="3" xfId="0" applyFont="1" applyFill="1" applyBorder="1" applyAlignment="1">
      <alignment horizontal="center" vertical="center" wrapText="1"/>
    </xf>
    <xf numFmtId="3" fontId="15" fillId="2" borderId="3" xfId="3" applyNumberFormat="1" applyFont="1" applyFill="1" applyBorder="1" applyAlignment="1">
      <alignment horizontal="right" vertical="center" wrapText="1"/>
    </xf>
    <xf numFmtId="164" fontId="26" fillId="2" borderId="0" xfId="9" applyFont="1" applyFill="1" applyBorder="1" applyAlignment="1">
      <alignment horizontal="center" vertical="center" wrapText="1"/>
    </xf>
    <xf numFmtId="3" fontId="26" fillId="2" borderId="0" xfId="3" applyNumberFormat="1" applyFont="1" applyFill="1" applyAlignment="1">
      <alignment horizontal="center" vertical="center" wrapText="1"/>
    </xf>
    <xf numFmtId="0" fontId="16" fillId="2" borderId="0" xfId="0" applyFont="1" applyFill="1" applyAlignment="1">
      <alignment vertical="center"/>
    </xf>
    <xf numFmtId="0" fontId="21" fillId="2" borderId="0" xfId="0" applyFont="1" applyFill="1" applyAlignment="1">
      <alignment vertical="center" wrapText="1"/>
    </xf>
    <xf numFmtId="165" fontId="21" fillId="2" borderId="0" xfId="9" applyNumberFormat="1" applyFont="1" applyFill="1" applyBorder="1" applyAlignment="1">
      <alignment vertical="center" wrapText="1"/>
    </xf>
    <xf numFmtId="165" fontId="21" fillId="2" borderId="0" xfId="9" applyNumberFormat="1" applyFont="1" applyFill="1" applyBorder="1" applyAlignment="1">
      <alignment horizontal="right" vertical="center" wrapText="1"/>
    </xf>
    <xf numFmtId="0" fontId="14" fillId="2" borderId="4" xfId="0" applyFont="1" applyFill="1" applyBorder="1" applyAlignment="1">
      <alignment horizontal="right" vertical="center"/>
    </xf>
    <xf numFmtId="0" fontId="21" fillId="2" borderId="0" xfId="6" applyFont="1" applyFill="1" applyAlignment="1">
      <alignment horizontal="center" vertical="center" wrapText="1"/>
    </xf>
    <xf numFmtId="49" fontId="27" fillId="2" borderId="3" xfId="0" applyNumberFormat="1" applyFont="1" applyFill="1" applyBorder="1" applyAlignment="1">
      <alignment horizontal="center" vertical="center"/>
    </xf>
    <xf numFmtId="0" fontId="27" fillId="2" borderId="3" xfId="0" applyFont="1" applyFill="1" applyBorder="1" applyAlignment="1">
      <alignment horizontal="left" vertical="center" wrapText="1"/>
    </xf>
    <xf numFmtId="3" fontId="27" fillId="2" borderId="3" xfId="3" applyNumberFormat="1" applyFont="1" applyFill="1" applyBorder="1" applyAlignment="1">
      <alignment horizontal="right" vertical="center" wrapText="1"/>
    </xf>
    <xf numFmtId="49" fontId="28" fillId="2" borderId="1" xfId="0" applyNumberFormat="1" applyFont="1" applyFill="1" applyBorder="1" applyAlignment="1">
      <alignment horizontal="center" vertical="center" wrapText="1"/>
    </xf>
    <xf numFmtId="0" fontId="28" fillId="2" borderId="1" xfId="0" applyFont="1" applyFill="1" applyBorder="1" applyAlignment="1">
      <alignment vertical="center" wrapText="1"/>
    </xf>
    <xf numFmtId="165" fontId="28" fillId="2" borderId="1" xfId="9" applyNumberFormat="1" applyFont="1" applyFill="1" applyBorder="1" applyAlignment="1">
      <alignment vertical="center" wrapText="1"/>
    </xf>
    <xf numFmtId="49" fontId="27" fillId="2" borderId="1" xfId="0" applyNumberFormat="1" applyFont="1" applyFill="1" applyBorder="1" applyAlignment="1">
      <alignment horizontal="center" vertical="center" wrapText="1"/>
    </xf>
    <xf numFmtId="0" fontId="27" fillId="2" borderId="1" xfId="0" applyFont="1" applyFill="1" applyBorder="1" applyAlignment="1">
      <alignment vertical="center" wrapText="1"/>
    </xf>
    <xf numFmtId="0" fontId="27" fillId="2" borderId="1" xfId="6" applyFont="1" applyFill="1" applyBorder="1" applyAlignment="1">
      <alignment horizontal="center" vertical="center" wrapText="1"/>
    </xf>
    <xf numFmtId="165" fontId="27" fillId="2" borderId="1" xfId="9" applyNumberFormat="1" applyFont="1" applyFill="1" applyBorder="1" applyAlignment="1">
      <alignment vertical="center" wrapText="1"/>
    </xf>
    <xf numFmtId="0" fontId="28" fillId="2" borderId="1" xfId="6" applyFont="1" applyFill="1" applyBorder="1" applyAlignment="1">
      <alignment horizontal="center" vertical="center" wrapText="1"/>
    </xf>
    <xf numFmtId="165" fontId="27" fillId="2" borderId="1" xfId="9" applyNumberFormat="1" applyFont="1" applyFill="1" applyBorder="1" applyAlignment="1">
      <alignment horizontal="center" vertical="center" wrapText="1"/>
    </xf>
    <xf numFmtId="165" fontId="28" fillId="2" borderId="1" xfId="9" applyNumberFormat="1" applyFont="1" applyFill="1" applyBorder="1" applyAlignment="1">
      <alignment horizontal="center" vertical="center" wrapText="1"/>
    </xf>
    <xf numFmtId="0" fontId="28" fillId="2" borderId="2" xfId="6" applyFont="1" applyFill="1" applyBorder="1" applyAlignment="1">
      <alignment horizontal="center" vertical="center" wrapText="1"/>
    </xf>
    <xf numFmtId="0" fontId="28" fillId="2" borderId="3" xfId="6" applyFont="1" applyFill="1" applyBorder="1" applyAlignment="1">
      <alignment horizontal="center" vertical="center" wrapText="1"/>
    </xf>
    <xf numFmtId="165" fontId="15" fillId="2" borderId="3" xfId="0" applyNumberFormat="1" applyFont="1" applyFill="1" applyBorder="1" applyAlignment="1">
      <alignment horizontal="center" vertical="center" wrapText="1"/>
    </xf>
    <xf numFmtId="3" fontId="27" fillId="2" borderId="3" xfId="0" applyNumberFormat="1" applyFont="1" applyFill="1" applyBorder="1" applyAlignment="1">
      <alignment horizontal="center" vertical="center" wrapText="1"/>
    </xf>
    <xf numFmtId="49" fontId="29" fillId="2" borderId="0" xfId="9" applyNumberFormat="1" applyFont="1" applyFill="1" applyBorder="1" applyAlignment="1">
      <alignment horizontal="center" vertical="center" wrapText="1"/>
    </xf>
    <xf numFmtId="49" fontId="29" fillId="2" borderId="0" xfId="3" applyNumberFormat="1" applyFont="1" applyFill="1" applyAlignment="1">
      <alignment horizontal="center" vertical="center" wrapText="1"/>
    </xf>
    <xf numFmtId="49" fontId="29" fillId="2" borderId="0" xfId="0" applyNumberFormat="1" applyFont="1" applyFill="1" applyAlignment="1">
      <alignment horizontal="center" vertical="center"/>
    </xf>
    <xf numFmtId="164" fontId="29" fillId="2" borderId="0" xfId="9" applyFont="1" applyFill="1" applyBorder="1" applyAlignment="1">
      <alignment horizontal="center" vertical="center" wrapText="1"/>
    </xf>
    <xf numFmtId="3" fontId="29" fillId="2" borderId="0" xfId="3" applyNumberFormat="1" applyFont="1" applyFill="1" applyAlignment="1">
      <alignment horizontal="center" vertical="center" wrapText="1"/>
    </xf>
    <xf numFmtId="0" fontId="15" fillId="2" borderId="0" xfId="0" applyFont="1" applyFill="1" applyAlignment="1">
      <alignment vertical="center"/>
    </xf>
    <xf numFmtId="2" fontId="29" fillId="2" borderId="0" xfId="9" applyNumberFormat="1" applyFont="1" applyFill="1" applyBorder="1" applyAlignment="1">
      <alignment horizontal="center" vertical="center" wrapText="1"/>
    </xf>
    <xf numFmtId="4" fontId="29" fillId="2" borderId="0" xfId="9" applyNumberFormat="1" applyFont="1" applyFill="1" applyBorder="1" applyAlignment="1">
      <alignment horizontal="center" vertical="center" wrapText="1"/>
    </xf>
    <xf numFmtId="49" fontId="14" fillId="2" borderId="1" xfId="0" applyNumberFormat="1" applyFont="1" applyFill="1" applyBorder="1" applyAlignment="1">
      <alignment horizontal="center" vertical="center" wrapText="1"/>
    </xf>
    <xf numFmtId="49" fontId="14" fillId="2" borderId="1" xfId="3" applyNumberFormat="1" applyFont="1" applyFill="1" applyBorder="1" applyAlignment="1">
      <alignment horizontal="center" vertical="center" wrapText="1"/>
    </xf>
    <xf numFmtId="49" fontId="7" fillId="2" borderId="1" xfId="3" applyNumberFormat="1" applyFont="1" applyFill="1" applyBorder="1" applyAlignment="1">
      <alignment horizontal="center" vertical="center" wrapText="1"/>
    </xf>
    <xf numFmtId="0" fontId="14" fillId="2" borderId="4" xfId="0" applyFont="1" applyFill="1" applyBorder="1" applyAlignment="1">
      <alignment vertical="center"/>
    </xf>
    <xf numFmtId="49" fontId="7" fillId="2" borderId="1" xfId="0" applyNumberFormat="1" applyFont="1" applyFill="1" applyBorder="1" applyAlignment="1">
      <alignment horizontal="center" vertical="center"/>
    </xf>
    <xf numFmtId="3" fontId="7" fillId="2" borderId="1" xfId="9" applyNumberFormat="1" applyFont="1" applyFill="1" applyBorder="1" applyAlignment="1">
      <alignment horizontal="right" vertical="center" wrapText="1"/>
    </xf>
    <xf numFmtId="165" fontId="7" fillId="2" borderId="1" xfId="9" applyNumberFormat="1" applyFont="1" applyFill="1" applyBorder="1" applyAlignment="1">
      <alignment horizontal="right" vertical="center" wrapText="1"/>
    </xf>
    <xf numFmtId="0" fontId="7" fillId="2" borderId="1" xfId="0" applyFont="1" applyFill="1" applyBorder="1" applyAlignment="1">
      <alignment horizontal="center" vertical="center"/>
    </xf>
    <xf numFmtId="49" fontId="4" fillId="2" borderId="1" xfId="0" applyNumberFormat="1" applyFont="1" applyFill="1" applyBorder="1" applyAlignment="1">
      <alignment horizontal="left" vertical="center" wrapText="1"/>
    </xf>
    <xf numFmtId="49" fontId="7" fillId="2" borderId="1" xfId="0" applyNumberFormat="1" applyFont="1" applyFill="1" applyBorder="1" applyAlignment="1">
      <alignment horizontal="left" vertical="center" wrapText="1"/>
    </xf>
    <xf numFmtId="49" fontId="7" fillId="2" borderId="1" xfId="3" applyNumberFormat="1" applyFont="1" applyFill="1" applyBorder="1" applyAlignment="1">
      <alignment horizontal="right" vertical="center" wrapText="1"/>
    </xf>
    <xf numFmtId="49" fontId="14" fillId="2" borderId="1" xfId="0" applyNumberFormat="1" applyFont="1" applyFill="1" applyBorder="1" applyAlignment="1">
      <alignment horizontal="center" vertical="center"/>
    </xf>
    <xf numFmtId="0" fontId="7" fillId="2" borderId="1" xfId="0" applyFont="1" applyFill="1" applyBorder="1" applyAlignment="1">
      <alignment horizontal="left" vertical="center" wrapText="1"/>
    </xf>
    <xf numFmtId="0" fontId="7" fillId="2" borderId="1" xfId="0" applyFont="1" applyFill="1" applyBorder="1" applyAlignment="1">
      <alignment horizontal="right" vertical="center"/>
    </xf>
    <xf numFmtId="0" fontId="4" fillId="2" borderId="1" xfId="0" applyFont="1" applyFill="1" applyBorder="1" applyAlignment="1">
      <alignment vertical="center"/>
    </xf>
    <xf numFmtId="0" fontId="16" fillId="2" borderId="1" xfId="0" applyFont="1" applyFill="1" applyBorder="1" applyAlignment="1">
      <alignment vertical="center"/>
    </xf>
    <xf numFmtId="0" fontId="7" fillId="2" borderId="1" xfId="0" applyFont="1" applyFill="1" applyBorder="1" applyAlignment="1">
      <alignment horizontal="left" vertical="center"/>
    </xf>
    <xf numFmtId="0" fontId="7" fillId="2" borderId="1" xfId="0" applyFont="1" applyFill="1" applyBorder="1" applyAlignment="1">
      <alignment vertical="center"/>
    </xf>
    <xf numFmtId="3" fontId="4" fillId="2" borderId="1" xfId="9" applyNumberFormat="1" applyFont="1" applyFill="1" applyBorder="1" applyAlignment="1">
      <alignment horizontal="right" vertical="center" wrapText="1"/>
    </xf>
    <xf numFmtId="165" fontId="4" fillId="2" borderId="1" xfId="9" applyNumberFormat="1" applyFont="1" applyFill="1" applyBorder="1" applyAlignment="1">
      <alignment horizontal="right" vertical="center" wrapText="1"/>
    </xf>
    <xf numFmtId="165" fontId="4" fillId="2"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xf>
    <xf numFmtId="0" fontId="31" fillId="0" borderId="0" xfId="0" applyFont="1" applyAlignment="1">
      <alignment vertical="center"/>
    </xf>
    <xf numFmtId="3" fontId="7" fillId="2" borderId="1" xfId="0" applyNumberFormat="1" applyFont="1" applyFill="1" applyBorder="1" applyAlignment="1">
      <alignment horizontal="left" vertical="center" wrapText="1"/>
    </xf>
    <xf numFmtId="3" fontId="7" fillId="2" borderId="1" xfId="3" applyNumberFormat="1" applyFont="1" applyFill="1" applyBorder="1" applyAlignment="1">
      <alignment horizontal="right" vertical="center" wrapText="1"/>
    </xf>
    <xf numFmtId="3" fontId="7" fillId="2" borderId="1" xfId="0" applyNumberFormat="1" applyFont="1" applyFill="1" applyBorder="1" applyAlignment="1">
      <alignment horizontal="right" vertical="center" wrapText="1"/>
    </xf>
    <xf numFmtId="0" fontId="7" fillId="2" borderId="1" xfId="0" applyFont="1" applyFill="1" applyBorder="1" applyAlignment="1">
      <alignment vertical="center" wrapText="1"/>
    </xf>
    <xf numFmtId="3" fontId="7" fillId="2" borderId="1" xfId="0" applyNumberFormat="1" applyFont="1" applyFill="1" applyBorder="1" applyAlignment="1">
      <alignment horizontal="center" vertical="center" wrapText="1"/>
    </xf>
    <xf numFmtId="3" fontId="4" fillId="2" borderId="1" xfId="0" applyNumberFormat="1" applyFont="1" applyFill="1" applyBorder="1" applyAlignment="1">
      <alignment horizontal="left" vertical="center" wrapText="1"/>
    </xf>
    <xf numFmtId="3" fontId="4" fillId="2" borderId="1" xfId="3" applyNumberFormat="1" applyFont="1" applyFill="1" applyBorder="1" applyAlignment="1">
      <alignment horizontal="right" vertical="center" wrapText="1"/>
    </xf>
    <xf numFmtId="49" fontId="26" fillId="2" borderId="0" xfId="9" applyNumberFormat="1" applyFont="1" applyFill="1" applyBorder="1" applyAlignment="1">
      <alignment horizontal="center" vertical="center" wrapText="1"/>
    </xf>
    <xf numFmtId="49" fontId="26" fillId="2" borderId="0" xfId="3" applyNumberFormat="1" applyFont="1" applyFill="1" applyAlignment="1">
      <alignment horizontal="center" vertical="center" wrapText="1"/>
    </xf>
    <xf numFmtId="49" fontId="26" fillId="2" borderId="0" xfId="0" applyNumberFormat="1" applyFont="1" applyFill="1" applyAlignment="1">
      <alignment horizontal="center" vertical="center"/>
    </xf>
    <xf numFmtId="49" fontId="4" fillId="2" borderId="1" xfId="3" applyNumberFormat="1" applyFont="1" applyFill="1" applyBorder="1" applyAlignment="1">
      <alignment horizontal="center" vertical="center" wrapText="1"/>
    </xf>
    <xf numFmtId="49" fontId="15" fillId="2" borderId="0" xfId="9" applyNumberFormat="1" applyFont="1" applyFill="1" applyBorder="1" applyAlignment="1">
      <alignment horizontal="center" vertical="center" wrapText="1"/>
    </xf>
    <xf numFmtId="49" fontId="15" fillId="2" borderId="0" xfId="3" applyNumberFormat="1" applyFont="1" applyFill="1" applyAlignment="1">
      <alignment horizontal="center" vertical="center" wrapText="1"/>
    </xf>
    <xf numFmtId="49" fontId="15" fillId="2" borderId="0" xfId="0" applyNumberFormat="1" applyFont="1" applyFill="1" applyAlignment="1">
      <alignment horizontal="center" vertical="center"/>
    </xf>
    <xf numFmtId="165" fontId="4" fillId="2" borderId="1" xfId="9" applyNumberFormat="1" applyFont="1" applyFill="1" applyBorder="1" applyAlignment="1">
      <alignment horizontal="left" vertical="center" wrapText="1"/>
    </xf>
    <xf numFmtId="3" fontId="4" fillId="2" borderId="1" xfId="0" applyNumberFormat="1" applyFont="1" applyFill="1" applyBorder="1" applyAlignment="1">
      <alignment horizontal="right" vertical="center" wrapText="1"/>
    </xf>
    <xf numFmtId="0" fontId="4" fillId="2" borderId="1" xfId="0" applyFont="1" applyFill="1" applyBorder="1" applyAlignment="1">
      <alignment horizontal="right" vertical="center"/>
    </xf>
    <xf numFmtId="49" fontId="33" fillId="2" borderId="1" xfId="0" applyNumberFormat="1" applyFont="1" applyFill="1" applyBorder="1" applyAlignment="1">
      <alignment horizontal="center" vertical="center"/>
    </xf>
    <xf numFmtId="0" fontId="33" fillId="2" borderId="1" xfId="0" applyFont="1" applyFill="1" applyBorder="1" applyAlignment="1">
      <alignment horizontal="left" vertical="center" wrapText="1"/>
    </xf>
    <xf numFmtId="3" fontId="33" fillId="2" borderId="1" xfId="0" applyNumberFormat="1" applyFont="1" applyFill="1" applyBorder="1" applyAlignment="1">
      <alignment horizontal="left" vertical="center" wrapText="1"/>
    </xf>
    <xf numFmtId="3" fontId="33" fillId="2" borderId="1" xfId="9" applyNumberFormat="1" applyFont="1" applyFill="1" applyBorder="1" applyAlignment="1">
      <alignment horizontal="right" vertical="center" wrapText="1"/>
    </xf>
    <xf numFmtId="165" fontId="33" fillId="2" borderId="1" xfId="9" applyNumberFormat="1" applyFont="1" applyFill="1" applyBorder="1" applyAlignment="1">
      <alignment horizontal="right" vertical="center" wrapText="1"/>
    </xf>
    <xf numFmtId="0" fontId="33" fillId="2" borderId="1" xfId="0" applyFont="1" applyFill="1" applyBorder="1" applyAlignment="1">
      <alignment horizontal="right" vertical="center"/>
    </xf>
    <xf numFmtId="3" fontId="33" fillId="2" borderId="1" xfId="3" applyNumberFormat="1" applyFont="1" applyFill="1" applyBorder="1" applyAlignment="1">
      <alignment horizontal="right" vertical="center" wrapText="1"/>
    </xf>
    <xf numFmtId="164" fontId="34" fillId="2" borderId="0" xfId="9" applyFont="1" applyFill="1" applyBorder="1" applyAlignment="1">
      <alignment horizontal="center" vertical="center" wrapText="1"/>
    </xf>
    <xf numFmtId="3" fontId="34" fillId="2" borderId="0" xfId="3" applyNumberFormat="1" applyFont="1" applyFill="1" applyAlignment="1">
      <alignment horizontal="center" vertical="center" wrapText="1"/>
    </xf>
    <xf numFmtId="0" fontId="35" fillId="2" borderId="0" xfId="0" applyFont="1" applyFill="1" applyAlignment="1">
      <alignment vertical="center"/>
    </xf>
    <xf numFmtId="3" fontId="36" fillId="2" borderId="1" xfId="3" applyNumberFormat="1" applyFont="1" applyFill="1" applyBorder="1" applyAlignment="1">
      <alignment horizontal="right" vertical="center" wrapText="1"/>
    </xf>
    <xf numFmtId="3" fontId="4" fillId="2" borderId="1" xfId="3" applyNumberFormat="1" applyFont="1" applyFill="1" applyBorder="1" applyAlignment="1">
      <alignment horizontal="center" vertical="center" wrapText="1"/>
    </xf>
    <xf numFmtId="0" fontId="13" fillId="2" borderId="1" xfId="5" applyFont="1" applyFill="1" applyBorder="1" applyAlignment="1">
      <alignment horizontal="center" vertical="center" wrapText="1"/>
    </xf>
    <xf numFmtId="3" fontId="6" fillId="2" borderId="1" xfId="3" applyNumberFormat="1"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0" xfId="0" applyFont="1" applyFill="1" applyAlignment="1">
      <alignment horizontal="center"/>
    </xf>
    <xf numFmtId="0" fontId="10" fillId="2" borderId="0" xfId="0" applyFont="1" applyFill="1" applyAlignment="1">
      <alignment horizontal="center" wrapText="1"/>
    </xf>
    <xf numFmtId="0" fontId="10" fillId="2" borderId="0" xfId="0" applyFont="1" applyFill="1" applyAlignment="1">
      <alignment horizontal="center"/>
    </xf>
    <xf numFmtId="0" fontId="11" fillId="2" borderId="0" xfId="0" applyFont="1" applyFill="1" applyAlignment="1">
      <alignment horizontal="center" vertical="center" wrapText="1"/>
    </xf>
    <xf numFmtId="0" fontId="11" fillId="2" borderId="4" xfId="0" applyFont="1" applyFill="1" applyBorder="1" applyAlignment="1">
      <alignment horizontal="right"/>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2" fillId="2" borderId="1" xfId="0" applyFont="1" applyFill="1" applyBorder="1"/>
    <xf numFmtId="0" fontId="23" fillId="2" borderId="0" xfId="0" applyFont="1" applyFill="1" applyAlignment="1">
      <alignment horizontal="left" vertical="center"/>
    </xf>
    <xf numFmtId="0" fontId="19" fillId="0" borderId="0" xfId="0" applyFont="1" applyAlignment="1">
      <alignment horizontal="center" vertical="center" wrapText="1"/>
    </xf>
    <xf numFmtId="0" fontId="20" fillId="0" borderId="0" xfId="0" applyFont="1" applyAlignment="1">
      <alignment horizontal="center" vertical="center" wrapText="1"/>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3" xfId="0" applyFont="1" applyFill="1" applyBorder="1" applyAlignment="1">
      <alignment horizontal="center" vertical="center" wrapText="1"/>
    </xf>
    <xf numFmtId="49" fontId="4" fillId="2" borderId="2" xfId="0" applyNumberFormat="1" applyFont="1" applyFill="1" applyBorder="1" applyAlignment="1">
      <alignment horizontal="center" vertical="center"/>
    </xf>
    <xf numFmtId="49" fontId="4" fillId="2" borderId="5" xfId="0" applyNumberFormat="1" applyFont="1" applyFill="1" applyBorder="1" applyAlignment="1">
      <alignment horizontal="center" vertical="center"/>
    </xf>
    <xf numFmtId="49" fontId="4" fillId="2" borderId="3" xfId="0" applyNumberFormat="1" applyFont="1" applyFill="1" applyBorder="1" applyAlignment="1">
      <alignment horizontal="center" vertical="center"/>
    </xf>
    <xf numFmtId="3" fontId="4" fillId="2" borderId="2" xfId="3" applyNumberFormat="1" applyFont="1" applyFill="1" applyBorder="1" applyAlignment="1">
      <alignment horizontal="center" vertical="center" wrapText="1"/>
    </xf>
    <xf numFmtId="3" fontId="4" fillId="2" borderId="5" xfId="3" applyNumberFormat="1" applyFont="1" applyFill="1" applyBorder="1" applyAlignment="1">
      <alignment horizontal="center" vertical="center" wrapText="1"/>
    </xf>
    <xf numFmtId="3" fontId="4" fillId="2" borderId="3" xfId="3" applyNumberFormat="1" applyFont="1" applyFill="1" applyBorder="1" applyAlignment="1">
      <alignment horizontal="center" vertical="center" wrapText="1"/>
    </xf>
    <xf numFmtId="0" fontId="22" fillId="2" borderId="0" xfId="0" applyFont="1" applyFill="1" applyAlignment="1">
      <alignment horizontal="center" vertical="center" wrapText="1"/>
    </xf>
    <xf numFmtId="0" fontId="7" fillId="2" borderId="0" xfId="0" applyFont="1" applyFill="1" applyAlignment="1">
      <alignment horizontal="center" vertical="center" wrapText="1"/>
    </xf>
    <xf numFmtId="3" fontId="28" fillId="2" borderId="2" xfId="6" applyNumberFormat="1" applyFont="1" applyFill="1" applyBorder="1" applyAlignment="1">
      <alignment horizontal="center" vertical="center" wrapText="1"/>
    </xf>
    <xf numFmtId="0" fontId="28" fillId="2" borderId="5" xfId="6" applyFont="1" applyFill="1" applyBorder="1" applyAlignment="1">
      <alignment horizontal="center" vertical="center" wrapText="1"/>
    </xf>
    <xf numFmtId="0" fontId="28" fillId="2" borderId="3" xfId="6" applyFont="1" applyFill="1" applyBorder="1" applyAlignment="1">
      <alignment horizontal="center" vertical="center" wrapText="1"/>
    </xf>
    <xf numFmtId="0" fontId="28" fillId="2" borderId="2" xfId="6" applyFont="1" applyFill="1" applyBorder="1" applyAlignment="1">
      <alignment horizontal="center" vertical="center" wrapText="1"/>
    </xf>
    <xf numFmtId="0" fontId="24" fillId="2" borderId="0" xfId="0" applyFont="1" applyFill="1" applyAlignment="1">
      <alignment horizontal="center" vertical="center" wrapText="1"/>
    </xf>
    <xf numFmtId="165" fontId="27" fillId="2" borderId="2" xfId="9" applyNumberFormat="1" applyFont="1" applyFill="1" applyBorder="1" applyAlignment="1">
      <alignment horizontal="center" vertical="center" wrapText="1"/>
    </xf>
    <xf numFmtId="165" fontId="27" fillId="2" borderId="5" xfId="9" applyNumberFormat="1" applyFont="1" applyFill="1" applyBorder="1" applyAlignment="1">
      <alignment horizontal="center" vertical="center" wrapText="1"/>
    </xf>
    <xf numFmtId="165" fontId="27" fillId="2" borderId="3" xfId="9" applyNumberFormat="1" applyFont="1" applyFill="1" applyBorder="1" applyAlignment="1">
      <alignment horizontal="center" vertical="center" wrapText="1"/>
    </xf>
    <xf numFmtId="0" fontId="25" fillId="3" borderId="0" xfId="0" applyFont="1" applyFill="1" applyAlignment="1">
      <alignment horizontal="left" vertical="center" wrapText="1"/>
    </xf>
    <xf numFmtId="165" fontId="28" fillId="2" borderId="2" xfId="9" applyNumberFormat="1" applyFont="1" applyFill="1" applyBorder="1" applyAlignment="1">
      <alignment horizontal="center" vertical="center" wrapText="1"/>
    </xf>
    <xf numFmtId="165" fontId="28" fillId="2" borderId="5" xfId="9" applyNumberFormat="1" applyFont="1" applyFill="1" applyBorder="1" applyAlignment="1">
      <alignment horizontal="center" vertical="center" wrapText="1"/>
    </xf>
    <xf numFmtId="165" fontId="28" fillId="2" borderId="3" xfId="9" applyNumberFormat="1" applyFont="1" applyFill="1" applyBorder="1" applyAlignment="1">
      <alignment horizontal="center" vertical="center" wrapText="1"/>
    </xf>
    <xf numFmtId="0" fontId="32" fillId="0" borderId="0" xfId="0" applyFont="1" applyAlignment="1">
      <alignment horizontal="center"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49" fontId="4" fillId="2" borderId="0" xfId="0" applyNumberFormat="1" applyFont="1" applyFill="1" applyAlignment="1">
      <alignment horizontal="center" vertical="center"/>
    </xf>
    <xf numFmtId="0" fontId="30" fillId="0" borderId="0" xfId="0" applyFont="1" applyAlignment="1">
      <alignment horizontal="center" vertical="center" wrapText="1"/>
    </xf>
    <xf numFmtId="49" fontId="4" fillId="2" borderId="1" xfId="0" applyNumberFormat="1" applyFont="1" applyFill="1" applyBorder="1" applyAlignment="1">
      <alignment horizontal="center" vertical="center"/>
    </xf>
    <xf numFmtId="0" fontId="7" fillId="2" borderId="1" xfId="11" applyFont="1" applyFill="1" applyBorder="1" applyAlignment="1">
      <alignment vertical="center" wrapText="1"/>
    </xf>
  </cellXfs>
  <cellStyles count="12">
    <cellStyle name="Comma" xfId="9" builtinId="3"/>
    <cellStyle name="Comma 3" xfId="7" xr:uid="{00000000-0005-0000-0000-000001000000}"/>
    <cellStyle name="Normal" xfId="0" builtinId="0"/>
    <cellStyle name="Normal 11 29 4 2" xfId="8" xr:uid="{00000000-0005-0000-0000-000003000000}"/>
    <cellStyle name="Normal 19" xfId="10" xr:uid="{00000000-0005-0000-0000-000004000000}"/>
    <cellStyle name="Normal 2 10 10" xfId="5" xr:uid="{00000000-0005-0000-0000-000005000000}"/>
    <cellStyle name="Normal 2 2" xfId="6" xr:uid="{00000000-0005-0000-0000-000006000000}"/>
    <cellStyle name="Normal 2 3" xfId="1" xr:uid="{00000000-0005-0000-0000-000007000000}"/>
    <cellStyle name="Normal 2 3 2" xfId="11" xr:uid="{00000000-0005-0000-0000-000008000000}"/>
    <cellStyle name="Normal 68" xfId="4" xr:uid="{00000000-0005-0000-0000-000009000000}"/>
    <cellStyle name="Normal 8" xfId="2" xr:uid="{00000000-0005-0000-0000-00000A000000}"/>
    <cellStyle name="Normal_Bieu mau (CV )" xfId="3" xr:uid="{00000000-0005-0000-0000-00000B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HUONG%20TC-KH/BAO%20CAO/NAM%202022/UBND%20HUYEN/DU%20THAO%20KE%20HOACH%20DAU%20TU%20CONG%20NAM%202023/3.%20Du%20thao%20Nghi%20quyet%20lan%202%20Du%20kien%20dau%20tu%20cong%202023/2.3%20Ke%20hoach%20dau%20tu%20cong%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eu 01"/>
      <sheetName val="Bieu 02"/>
      <sheetName val="No DTC 2016 2020"/>
      <sheetName val="Bieu 1"/>
      <sheetName val="Bieu 2"/>
      <sheetName val="Bieu 2.1"/>
      <sheetName val="BIEU 01 KET QUA 2016 2020"/>
      <sheetName val="BIEU 02 NO 2016 2020"/>
      <sheetName val="BIEU 03 DANH MUC 2021 2025"/>
      <sheetName val="TRA NO 2016 2020"/>
      <sheetName val="TRA NO"/>
      <sheetName val="BIEU 3 DANH MUC 2021 2025 (2)"/>
      <sheetName val="19,7,21"/>
      <sheetName val="Loai ra theo HDND"/>
      <sheetName val="BIEU3.3 TINH PHAN CAP 2021 2025"/>
      <sheetName val="CAC NGUON VON"/>
      <sheetName val="CONG TRINH VON TINH"/>
      <sheetName val="NVH XOM 2021 2025"/>
      <sheetName val="CAC KHU DAN CU"/>
      <sheetName val="Bieu 04"/>
      <sheetName val="DCU L 2"/>
      <sheetName val="Sheet1"/>
      <sheetName val="Sheet2"/>
      <sheetName val="Bieu 001 (2)"/>
      <sheetName val="Bieu 001"/>
      <sheetName val="De nghi DC vao KHDT 2021-2025"/>
      <sheetName val="Phu luc dau tu cong 2023"/>
      <sheetName val="nHAP"/>
      <sheetName val="Phu luc II Dieu chinh (HĐND)"/>
      <sheetName val="Phu luc I HĐND"/>
      <sheetName val="Phu luc II Dieu chinh (2)"/>
      <sheetName val="Phu luc II Dieu chinh"/>
      <sheetName val="Phu luc II (2)"/>
      <sheetName val="Phu luc I"/>
      <sheetName val="Phu luc II"/>
      <sheetName val="TH"/>
      <sheetName val="Bieu 02 nhu cau von DA 2021"/>
      <sheetName val="Bieu 03 du an da PD CTDT (2)"/>
      <sheetName val="Bieu 03 du an da PD CTDT"/>
      <sheetName val="Bieu so 04"/>
      <sheetName val="Du an du kien phe duyet CT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1">
          <cell r="B11" t="str">
            <v>Công trình hoàn thành đã phê duyệt quyết toán</v>
          </cell>
          <cell r="E11">
            <v>134862</v>
          </cell>
          <cell r="F11">
            <v>119667</v>
          </cell>
          <cell r="G11">
            <v>15195</v>
          </cell>
        </row>
        <row r="12">
          <cell r="B12" t="str">
            <v>Nghĩa trang liệt sỹ huyện Đồng Hỷ</v>
          </cell>
          <cell r="C12" t="str">
            <v>2011-2012</v>
          </cell>
          <cell r="D12" t="str">
            <v>Phòng Lao động</v>
          </cell>
          <cell r="E12">
            <v>19501</v>
          </cell>
          <cell r="F12">
            <v>18897</v>
          </cell>
          <cell r="G12">
            <v>604</v>
          </cell>
        </row>
        <row r="13">
          <cell r="B13" t="str">
            <v>07 cầu Hóa Thượng Hòa Bình</v>
          </cell>
          <cell r="C13" t="str">
            <v>2007-2011</v>
          </cell>
          <cell r="D13" t="str">
            <v>Ban quản lý dự án ĐTXD</v>
          </cell>
          <cell r="E13">
            <v>17185</v>
          </cell>
          <cell r="F13">
            <v>16045</v>
          </cell>
          <cell r="G13">
            <v>1140</v>
          </cell>
        </row>
        <row r="14">
          <cell r="B14" t="str">
            <v>Kiên cố hóa trường lớp học mầm non, TH cho đồng bào dân tộc vùng sâu vùng xa trên địa bàn huyện Đồng Hỷ</v>
          </cell>
          <cell r="C14" t="str">
            <v>2018 -2019</v>
          </cell>
          <cell r="D14" t="str">
            <v>Ban quản lý dự án ĐTXD</v>
          </cell>
          <cell r="E14">
            <v>14585</v>
          </cell>
          <cell r="F14">
            <v>13647</v>
          </cell>
          <cell r="G14">
            <v>938</v>
          </cell>
        </row>
        <row r="15">
          <cell r="B15" t="str">
            <v>Xây dựng công trình nước sinh hoạt tập trung xóm Khe Cạn, xã Văn Lăng</v>
          </cell>
          <cell r="C15">
            <v>2020</v>
          </cell>
          <cell r="D15" t="str">
            <v>Phòng Dân tộc</v>
          </cell>
          <cell r="E15">
            <v>1160</v>
          </cell>
          <cell r="F15">
            <v>1084</v>
          </cell>
          <cell r="G15">
            <v>76</v>
          </cell>
        </row>
        <row r="16">
          <cell r="B16" t="str">
            <v>Đường giao thông NT từ cầu treo Văn Khánh đi xóm Bản Tèn, xã Văn Lăng</v>
          </cell>
          <cell r="C16" t="str">
            <v>2014-2017</v>
          </cell>
          <cell r="D16" t="str">
            <v>Ban quản lý dự án ĐTXD</v>
          </cell>
          <cell r="E16">
            <v>36683</v>
          </cell>
          <cell r="F16">
            <v>34815</v>
          </cell>
          <cell r="G16">
            <v>1868</v>
          </cell>
        </row>
        <row r="17">
          <cell r="B17" t="str">
            <v>Nâng cấp tuyến đường từ đường QL17 đi xóm Mỏ Sắt, xã Hợp Tiến</v>
          </cell>
          <cell r="C17">
            <v>2020</v>
          </cell>
          <cell r="D17" t="str">
            <v>Ban quản lý dự án ĐTXD</v>
          </cell>
          <cell r="E17">
            <v>12698</v>
          </cell>
          <cell r="F17">
            <v>9095</v>
          </cell>
          <cell r="G17">
            <v>3603</v>
          </cell>
        </row>
        <row r="18">
          <cell r="B18" t="str">
            <v>Cải tạo, nâng cấp tuyến đường từ đường xóm Đoàn Kết đi xóm Đèo Bụt, xã Hợp Tiến</v>
          </cell>
          <cell r="C18">
            <v>2020</v>
          </cell>
          <cell r="D18" t="str">
            <v>Ban quản lý dự án ĐTXD</v>
          </cell>
          <cell r="E18">
            <v>6909</v>
          </cell>
          <cell r="F18">
            <v>6000</v>
          </cell>
          <cell r="G18">
            <v>909</v>
          </cell>
        </row>
        <row r="19">
          <cell r="B19" t="str">
            <v>Nhà văn hóa trung tâm xã Văn Lăng</v>
          </cell>
          <cell r="C19" t="str">
            <v>2020-2021</v>
          </cell>
          <cell r="D19" t="str">
            <v>Ban quản lý dự án ĐTXD</v>
          </cell>
          <cell r="E19">
            <v>4208</v>
          </cell>
          <cell r="F19">
            <v>1826</v>
          </cell>
          <cell r="G19">
            <v>2382</v>
          </cell>
        </row>
        <row r="20">
          <cell r="B20" t="str">
            <v>Nâng cấp tuyến đường từ xóm Mỏ Sắt đi xóm Bãi Vàng, xã Hợp Tiến</v>
          </cell>
          <cell r="C20">
            <v>2020</v>
          </cell>
          <cell r="D20" t="str">
            <v>Ban quản lý dự án ĐTXD</v>
          </cell>
          <cell r="E20">
            <v>6091</v>
          </cell>
          <cell r="F20">
            <v>5966</v>
          </cell>
          <cell r="G20">
            <v>125</v>
          </cell>
        </row>
        <row r="21">
          <cell r="B21" t="str">
            <v>Nhà lớp học 2 tầng 8 phòng Trường phổ thông dân tộc bán trú tiểu học số 1 Văn Lăng</v>
          </cell>
          <cell r="C21">
            <v>2020</v>
          </cell>
          <cell r="D21" t="str">
            <v>Ban quản lý dự án ĐTXD</v>
          </cell>
          <cell r="E21">
            <v>3700</v>
          </cell>
          <cell r="F21">
            <v>2000</v>
          </cell>
          <cell r="G21">
            <v>1700</v>
          </cell>
        </row>
        <row r="22">
          <cell r="B22" t="str">
            <v>Cải tạo, nâng cấp tuyến đường từ xóm Làng Cháy, xã Khe Mo đi xã Quang Sơn</v>
          </cell>
          <cell r="C22" t="str">
            <v>2017-2018</v>
          </cell>
          <cell r="D22" t="str">
            <v>Ban quản lý dự án ĐTXD</v>
          </cell>
          <cell r="E22">
            <v>10292</v>
          </cell>
          <cell r="F22">
            <v>9292</v>
          </cell>
          <cell r="G22">
            <v>1000</v>
          </cell>
        </row>
        <row r="23">
          <cell r="B23" t="str">
            <v>Cải tạo, sửa chữa 4 phòng học, bếp ăn một chiều trường mầm non Văn Lăng - điểm trường Tân Sơn</v>
          </cell>
          <cell r="C23" t="str">
            <v>2021-2023</v>
          </cell>
          <cell r="D23" t="str">
            <v>Phòng GD&amp;ĐT</v>
          </cell>
          <cell r="E23">
            <v>891</v>
          </cell>
          <cell r="F23">
            <v>500</v>
          </cell>
          <cell r="G23">
            <v>391</v>
          </cell>
        </row>
        <row r="24">
          <cell r="B24" t="str">
            <v>Cải tạo sửa chữa nhà lớp học trường PTDT bán trú TH số 1 Văn Lăng- điểm Khe Quân</v>
          </cell>
          <cell r="C24" t="str">
            <v>2021-2023</v>
          </cell>
          <cell r="D24" t="str">
            <v>Phòng GD&amp;ĐT</v>
          </cell>
          <cell r="E24">
            <v>959</v>
          </cell>
          <cell r="F24">
            <v>500</v>
          </cell>
          <cell r="G24">
            <v>459</v>
          </cell>
        </row>
        <row r="25">
          <cell r="B25" t="str">
            <v>Công trình hoàn thành chưa phê duyệt quyết toán</v>
          </cell>
          <cell r="E25">
            <v>352522</v>
          </cell>
          <cell r="F25">
            <v>145925</v>
          </cell>
          <cell r="G25">
            <v>28536</v>
          </cell>
        </row>
        <row r="26">
          <cell r="B26" t="str">
            <v>Xây dựng tuyến đường liên xã Khe Mo - Sông Cầu</v>
          </cell>
          <cell r="C26">
            <v>2018</v>
          </cell>
          <cell r="D26" t="str">
            <v>Ban quản lý dự án ĐTXD</v>
          </cell>
          <cell r="E26">
            <v>23996</v>
          </cell>
          <cell r="F26">
            <v>17689</v>
          </cell>
          <cell r="G26">
            <v>3000</v>
          </cell>
        </row>
        <row r="27">
          <cell r="B27" t="str">
            <v>Cải tạo, nâng cấp tuyến đường từ xóm Khe Quân xã Văn Lăng đi Đồng Vung xã Hòa Bình</v>
          </cell>
          <cell r="C27" t="str">
            <v>2021-2023</v>
          </cell>
          <cell r="D27" t="str">
            <v>Ban quản lý dự án ĐTXD</v>
          </cell>
          <cell r="E27">
            <v>4821</v>
          </cell>
          <cell r="F27">
            <v>3900</v>
          </cell>
          <cell r="G27">
            <v>921</v>
          </cell>
        </row>
        <row r="28">
          <cell r="B28" t="str">
            <v>Cải tạo, nâng cấp tuyến đường Khau Bí xóm Liên Phương xã Văn Lăng</v>
          </cell>
          <cell r="C28" t="str">
            <v>2021-2023</v>
          </cell>
          <cell r="D28" t="str">
            <v>Ban quản lý dự án ĐTXD</v>
          </cell>
          <cell r="E28">
            <v>6005</v>
          </cell>
          <cell r="F28">
            <v>3400</v>
          </cell>
          <cell r="G28">
            <v>2605</v>
          </cell>
        </row>
        <row r="29">
          <cell r="B29" t="str">
            <v>Cải tạo, nâng cấp tuyến đường Thịnh Đức 1 - La Đùm xã Văn Hán</v>
          </cell>
          <cell r="C29" t="str">
            <v>2021-2023</v>
          </cell>
          <cell r="D29" t="str">
            <v>Ban quản lý dự án ĐTXD</v>
          </cell>
          <cell r="E29">
            <v>7500</v>
          </cell>
          <cell r="F29">
            <v>6500</v>
          </cell>
          <cell r="G29">
            <v>1000</v>
          </cell>
        </row>
        <row r="30">
          <cell r="B30" t="str">
            <v>Xây dựng nhà làm việc một cửa xã Minh Lập</v>
          </cell>
          <cell r="C30" t="str">
            <v>2021-2023</v>
          </cell>
          <cell r="D30" t="str">
            <v>Ban quản lý dự án ĐTXD</v>
          </cell>
          <cell r="E30">
            <v>4368</v>
          </cell>
          <cell r="F30">
            <v>1970</v>
          </cell>
          <cell r="G30">
            <v>1645</v>
          </cell>
        </row>
        <row r="31">
          <cell r="B31" t="str">
            <v>Nhà lớp học 2 tầng trường tiểu học số 1 Vân Hán</v>
          </cell>
          <cell r="C31" t="str">
            <v>2021-2023</v>
          </cell>
          <cell r="D31" t="str">
            <v>Ban quản lý dự án ĐTXD</v>
          </cell>
          <cell r="E31">
            <v>5076</v>
          </cell>
          <cell r="F31">
            <v>3000</v>
          </cell>
          <cell r="G31">
            <v>1500</v>
          </cell>
        </row>
        <row r="32">
          <cell r="B32" t="str">
            <v>Xây dựng nhà làm việc một cửa xã Cây Thị</v>
          </cell>
          <cell r="C32" t="str">
            <v>2022-2024</v>
          </cell>
          <cell r="D32" t="str">
            <v>Ban quản lý dự án ĐTXD</v>
          </cell>
          <cell r="E32">
            <v>5200</v>
          </cell>
          <cell r="F32">
            <v>1300</v>
          </cell>
          <cell r="G32">
            <v>1000</v>
          </cell>
        </row>
        <row r="33">
          <cell r="B33" t="str">
            <v>Xây dựng đường nội thị khu hành chính mới huyện Đồng Hỷ (giai đoạn 1)</v>
          </cell>
          <cell r="C33" t="str">
            <v>2022-2025</v>
          </cell>
          <cell r="D33" t="str">
            <v>Ban quản lý dự án ĐTXD</v>
          </cell>
          <cell r="E33">
            <v>130000</v>
          </cell>
          <cell r="F33">
            <v>16723</v>
          </cell>
          <cell r="G33">
            <v>4360</v>
          </cell>
        </row>
        <row r="34">
          <cell r="B34" t="str">
            <v>Cải tạo, nâng cấp tuyến đường liên  xóm Dạt đi xóm Tam Va xã Văn Lăng</v>
          </cell>
          <cell r="C34" t="str">
            <v>2022-2024</v>
          </cell>
          <cell r="D34" t="str">
            <v>Ban quản lý dự án ĐTXD</v>
          </cell>
          <cell r="E34">
            <v>3430</v>
          </cell>
          <cell r="F34">
            <v>930</v>
          </cell>
          <cell r="G34">
            <v>1000</v>
          </cell>
        </row>
        <row r="35">
          <cell r="B35" t="str">
            <v>Nhà ở nội trú trường PTDT bán trú THCS Tân Long</v>
          </cell>
          <cell r="C35" t="str">
            <v>2022-2024</v>
          </cell>
          <cell r="D35" t="str">
            <v>Ban quản lý dự án ĐTXD</v>
          </cell>
          <cell r="E35">
            <v>4800</v>
          </cell>
          <cell r="F35">
            <v>1000</v>
          </cell>
          <cell r="G35">
            <v>1000</v>
          </cell>
        </row>
        <row r="36">
          <cell r="B36" t="str">
            <v>Nhà lớp học 2 tầng 8 phòng trường tiểu học Tân Long - Khu trung tâm</v>
          </cell>
          <cell r="C36" t="str">
            <v>2022-2024</v>
          </cell>
          <cell r="D36" t="str">
            <v>Ban quản lý dự án ĐTXD</v>
          </cell>
          <cell r="E36">
            <v>6000</v>
          </cell>
          <cell r="F36">
            <v>1500</v>
          </cell>
          <cell r="G36">
            <v>1000</v>
          </cell>
        </row>
        <row r="37">
          <cell r="B37" t="str">
            <v>Nhà lớp học 2 tầng 8 phòng trường mầm non Hòa  Bình</v>
          </cell>
          <cell r="C37" t="str">
            <v>2022-2024</v>
          </cell>
          <cell r="D37" t="str">
            <v>Ban quản lý dự án ĐTXD</v>
          </cell>
          <cell r="E37">
            <v>7200</v>
          </cell>
          <cell r="F37">
            <v>1500</v>
          </cell>
          <cell r="G37">
            <v>1000</v>
          </cell>
        </row>
        <row r="38">
          <cell r="B38" t="str">
            <v>Nhà lớp học 2 tầng 8 phòng trường TH  số 1 Hóa Thượng</v>
          </cell>
          <cell r="C38" t="str">
            <v>2022-2024</v>
          </cell>
          <cell r="D38" t="str">
            <v>Ban quản lý dự án ĐTXD</v>
          </cell>
          <cell r="E38">
            <v>7000</v>
          </cell>
          <cell r="F38">
            <v>1500</v>
          </cell>
          <cell r="G38">
            <v>1000</v>
          </cell>
        </row>
        <row r="39">
          <cell r="B39" t="str">
            <v>Xây dựng cầu xóm Đồng mẫu, xã Tân Long</v>
          </cell>
          <cell r="C39" t="str">
            <v>2020-2021</v>
          </cell>
          <cell r="D39" t="str">
            <v>Ban quản lý dự án ĐTXD</v>
          </cell>
          <cell r="E39">
            <v>975</v>
          </cell>
          <cell r="F39">
            <v>400</v>
          </cell>
          <cell r="G39">
            <v>500</v>
          </cell>
        </row>
        <row r="40">
          <cell r="B40" t="str">
            <v>Xây dựng cầu xóm Ba Đình 1, Ba Đình 2, xã Tân Long</v>
          </cell>
          <cell r="C40" t="str">
            <v>2020-2021</v>
          </cell>
          <cell r="D40" t="str">
            <v>Ban quản lý dự án ĐTXD</v>
          </cell>
          <cell r="E40">
            <v>994</v>
          </cell>
          <cell r="F40">
            <v>400</v>
          </cell>
          <cell r="G40">
            <v>450</v>
          </cell>
        </row>
        <row r="41">
          <cell r="B41" t="str">
            <v>Sửa chữa nâng cấp đoạn đường thuộc xóm làng Mới xã Tân Long</v>
          </cell>
          <cell r="C41" t="str">
            <v>2020-2021</v>
          </cell>
          <cell r="D41" t="str">
            <v>Ban quản lý dự án ĐTXD</v>
          </cell>
          <cell r="E41">
            <v>850</v>
          </cell>
          <cell r="F41">
            <v>408</v>
          </cell>
          <cell r="G41">
            <v>350</v>
          </cell>
        </row>
        <row r="42">
          <cell r="B42" t="str">
            <v>Xây dựng hạ tầng khu hành chính mới huyện Đồng Hỷ; Hạng mục: Quảng trường và đường giao thông</v>
          </cell>
          <cell r="C42" t="str">
            <v>2019-2020</v>
          </cell>
          <cell r="D42" t="str">
            <v>Ban quản lý dự án ĐTXD</v>
          </cell>
          <cell r="E42">
            <v>103146</v>
          </cell>
          <cell r="F42">
            <v>68990</v>
          </cell>
          <cell r="G42">
            <v>1000</v>
          </cell>
        </row>
        <row r="43">
          <cell r="B43" t="str">
            <v>Cải tạo sửa chữa nhà hiệu bộ và các phòng chức năng khu trung tâm trường Mầm non Hóa Thượng và nhà lớp học 5 phòng học, bếp ăn một chiều điểm trường Tam Thái</v>
          </cell>
          <cell r="C43" t="str">
            <v>2021-2023</v>
          </cell>
          <cell r="D43" t="str">
            <v>Phòng GD&amp;ĐT</v>
          </cell>
          <cell r="E43">
            <v>2000</v>
          </cell>
          <cell r="F43">
            <v>900</v>
          </cell>
          <cell r="G43">
            <v>505</v>
          </cell>
        </row>
        <row r="44">
          <cell r="B44" t="str">
            <v>Cải tạo sửa chữa nhà lớp học 2 tầng trường THCS Vân Hán</v>
          </cell>
          <cell r="C44" t="str">
            <v>2021-2023</v>
          </cell>
          <cell r="D44" t="str">
            <v>Phòng GD&amp;ĐT</v>
          </cell>
          <cell r="E44">
            <v>1000</v>
          </cell>
          <cell r="F44">
            <v>700</v>
          </cell>
          <cell r="G44">
            <v>200</v>
          </cell>
        </row>
        <row r="45">
          <cell r="B45" t="str">
            <v>Cải tạo, sửa chữa nhà lớp học 2 tầng trường tiểu học Sông Cầu</v>
          </cell>
          <cell r="C45" t="str">
            <v>2021-2023</v>
          </cell>
          <cell r="D45" t="str">
            <v>Phòng GD&amp;ĐT</v>
          </cell>
          <cell r="E45">
            <v>2277</v>
          </cell>
          <cell r="F45">
            <v>1000</v>
          </cell>
          <cell r="G45">
            <v>500</v>
          </cell>
        </row>
        <row r="46">
          <cell r="B46" t="str">
            <v>Nhà LH 2 tầng 6 phòng trường TH số 2 Văn Lăng</v>
          </cell>
          <cell r="C46" t="str">
            <v>2020-2021</v>
          </cell>
          <cell r="D46" t="str">
            <v>Ban quản lý dự án ĐTXD</v>
          </cell>
          <cell r="E46">
            <v>3965</v>
          </cell>
          <cell r="F46">
            <v>2892</v>
          </cell>
          <cell r="G46">
            <v>500</v>
          </cell>
        </row>
        <row r="47">
          <cell r="B47" t="str">
            <v>Nhà hiệu bộ và các công trình phụ trợ trường mầm non Nam Hòa - Điểm trường Ngòi Chẹo</v>
          </cell>
          <cell r="C47" t="str">
            <v>2021-2023</v>
          </cell>
          <cell r="D47" t="str">
            <v>Ban quản lý dự án ĐTXD</v>
          </cell>
          <cell r="E47">
            <v>4787</v>
          </cell>
          <cell r="F47">
            <v>1223</v>
          </cell>
          <cell r="G47">
            <v>1000</v>
          </cell>
        </row>
        <row r="48">
          <cell r="B48" t="str">
            <v>Nhà hiệu bộ và các công trình phụ trợ trường mầm non Vân Hán</v>
          </cell>
          <cell r="C48" t="str">
            <v>2021-2023</v>
          </cell>
          <cell r="D48" t="str">
            <v>Ban quản lý dự án ĐTXD</v>
          </cell>
          <cell r="E48">
            <v>5818</v>
          </cell>
          <cell r="F48">
            <v>2300</v>
          </cell>
          <cell r="G48">
            <v>1000</v>
          </cell>
        </row>
        <row r="49">
          <cell r="B49" t="str">
            <v>Nhà lớp học 2 tầng 8 phòng trường tiểu học số 2 Minh Lập</v>
          </cell>
          <cell r="C49" t="str">
            <v>2021-2023</v>
          </cell>
          <cell r="D49" t="str">
            <v>Ban quản lý dự án ĐTXD</v>
          </cell>
          <cell r="E49">
            <v>4183</v>
          </cell>
          <cell r="F49">
            <v>2000</v>
          </cell>
          <cell r="G49">
            <v>500</v>
          </cell>
        </row>
        <row r="50">
          <cell r="B50" t="str">
            <v>Nhà lớp học 2 tầng, 6 phòng trường TH Quang Sơn</v>
          </cell>
          <cell r="C50" t="str">
            <v>2021-2023</v>
          </cell>
          <cell r="D50" t="str">
            <v>Ban quản lý dự án ĐTXD</v>
          </cell>
          <cell r="E50">
            <v>3277</v>
          </cell>
          <cell r="F50">
            <v>1500</v>
          </cell>
          <cell r="G50">
            <v>500</v>
          </cell>
        </row>
        <row r="51">
          <cell r="B51" t="str">
            <v>Nhà lớp học 2 tầng 6 phòng trường tiểu học Hợp Tiến - Khu trung tâm</v>
          </cell>
          <cell r="C51" t="str">
            <v>2021-2023</v>
          </cell>
          <cell r="D51" t="str">
            <v>Ban quản lý dự án ĐTXD</v>
          </cell>
          <cell r="E51">
            <v>3854</v>
          </cell>
          <cell r="F51">
            <v>2300</v>
          </cell>
          <cell r="G51">
            <v>500</v>
          </cell>
        </row>
        <row r="52">
          <cell r="B52" t="str">
            <v>Công trình chuyển tiếp</v>
          </cell>
          <cell r="E52">
            <v>32700</v>
          </cell>
          <cell r="F52">
            <v>6700</v>
          </cell>
          <cell r="G52">
            <v>7400</v>
          </cell>
        </row>
        <row r="53">
          <cell r="B53" t="str">
            <v>Xây dựng nhà một cửa UBND xã Hóa Thượng</v>
          </cell>
          <cell r="C53" t="str">
            <v>2022-2024</v>
          </cell>
          <cell r="D53" t="str">
            <v>Ban quản lý dự án ĐTXD</v>
          </cell>
          <cell r="E53">
            <v>3100</v>
          </cell>
          <cell r="F53">
            <v>800</v>
          </cell>
          <cell r="G53">
            <v>1000</v>
          </cell>
        </row>
        <row r="54">
          <cell r="B54" t="str">
            <v>Cải tạo sửa chữa sân khuôn viên UBND xã, xây dựng nhà để xe cơ quan Đảng ủy, HĐND, UBND xã Minh Lập</v>
          </cell>
          <cell r="C54" t="str">
            <v>2022-2024</v>
          </cell>
          <cell r="D54" t="str">
            <v>UBND xã Minh Lập</v>
          </cell>
          <cell r="E54">
            <v>1000</v>
          </cell>
          <cell r="F54">
            <v>300</v>
          </cell>
          <cell r="G54">
            <v>400</v>
          </cell>
        </row>
        <row r="55">
          <cell r="B55" t="str">
            <v>Cải tạo nâng cấp tuyến đường xóm Thịnh Lâm  đi xóm Cầu Mai, xã Văn Hán</v>
          </cell>
          <cell r="C55" t="str">
            <v>2022-2024</v>
          </cell>
          <cell r="D55" t="str">
            <v>Ban quản lý dự án ĐTXD</v>
          </cell>
          <cell r="E55">
            <v>3000</v>
          </cell>
          <cell r="F55">
            <v>700</v>
          </cell>
          <cell r="G55">
            <v>700</v>
          </cell>
        </row>
        <row r="56">
          <cell r="B56" t="str">
            <v>Cải tạo nâng cấp tuyến đường xóm Phả Lý, xã Văn Hán đi xóm Thống Nhất, xã Khe Mo</v>
          </cell>
          <cell r="C56" t="str">
            <v>2022-2024</v>
          </cell>
          <cell r="D56" t="str">
            <v>Ban quản lý dự án ĐTXD</v>
          </cell>
          <cell r="E56">
            <v>7000</v>
          </cell>
          <cell r="F56">
            <v>1000</v>
          </cell>
          <cell r="G56">
            <v>1000</v>
          </cell>
        </row>
        <row r="57">
          <cell r="B57" t="str">
            <v>Nhà lớp học 2 tầng 4 phòng trường mầm non Hợp Tiến - Khu trung tâm</v>
          </cell>
          <cell r="C57" t="str">
            <v>2022-2024</v>
          </cell>
          <cell r="D57" t="str">
            <v>Ban quản lý dự án ĐTXD</v>
          </cell>
          <cell r="E57">
            <v>4000</v>
          </cell>
          <cell r="F57">
            <v>800</v>
          </cell>
          <cell r="G57">
            <v>1000</v>
          </cell>
        </row>
        <row r="58">
          <cell r="B58" t="str">
            <v>Cải tạo sửa chữa nhà lớp học 2 tầng 8 phòng trường tiểu học Quang Sơn- Điểm trường Trung tâm</v>
          </cell>
          <cell r="C58" t="str">
            <v>2022-2024</v>
          </cell>
          <cell r="D58" t="str">
            <v>Ban quản lý dự án ĐTXD</v>
          </cell>
          <cell r="E58">
            <v>3000</v>
          </cell>
          <cell r="F58">
            <v>600</v>
          </cell>
          <cell r="G58">
            <v>700</v>
          </cell>
        </row>
        <row r="59">
          <cell r="B59" t="str">
            <v>Cải tạo sửa chữa trường tiểu học Tân Lợi</v>
          </cell>
          <cell r="C59" t="str">
            <v>2022-2024</v>
          </cell>
          <cell r="D59" t="str">
            <v>Ban quản lý dự án ĐTXD</v>
          </cell>
          <cell r="E59">
            <v>4800</v>
          </cell>
          <cell r="F59">
            <v>800</v>
          </cell>
          <cell r="G59">
            <v>1000</v>
          </cell>
        </row>
        <row r="60">
          <cell r="B60" t="str">
            <v>Sửa chữa trường tiểu học Cây Thị- Phân trường Khe Cạn</v>
          </cell>
          <cell r="C60" t="str">
            <v>2022-2024</v>
          </cell>
          <cell r="D60" t="str">
            <v>Phòng GĐ&amp;ĐT</v>
          </cell>
          <cell r="E60">
            <v>2000</v>
          </cell>
          <cell r="F60">
            <v>400</v>
          </cell>
          <cell r="G60">
            <v>600</v>
          </cell>
        </row>
        <row r="61">
          <cell r="B61" t="str">
            <v>Cải tạo, nâng cấp  trung tâm văn hóa thể thao thị trấn Trại Cau</v>
          </cell>
          <cell r="C61" t="str">
            <v>2022-2024</v>
          </cell>
          <cell r="D61" t="str">
            <v>Ban quản lý dự án ĐTXD</v>
          </cell>
          <cell r="E61">
            <v>3600</v>
          </cell>
          <cell r="F61">
            <v>700</v>
          </cell>
          <cell r="G61">
            <v>700</v>
          </cell>
        </row>
        <row r="62">
          <cell r="B62" t="str">
            <v>Xây dựng mương thoát nước thải khu dân cư xóm Hưng Thái xã Hóa Thượng</v>
          </cell>
          <cell r="C62" t="str">
            <v>2022-2024</v>
          </cell>
          <cell r="D62" t="str">
            <v>UBND xã Hóa Thượng</v>
          </cell>
          <cell r="E62">
            <v>1200</v>
          </cell>
          <cell r="F62">
            <v>600</v>
          </cell>
          <cell r="G62">
            <v>300</v>
          </cell>
        </row>
        <row r="63">
          <cell r="B63" t="str">
            <v>Khởi công mới</v>
          </cell>
          <cell r="E63">
            <v>26875</v>
          </cell>
          <cell r="F63">
            <v>0</v>
          </cell>
          <cell r="G63">
            <v>3500</v>
          </cell>
        </row>
        <row r="64">
          <cell r="B64" t="str">
            <v>Xây dựng nhà làm việc một cửa UBND xã Khe Mo</v>
          </cell>
          <cell r="C64" t="str">
            <v>2023-2025</v>
          </cell>
          <cell r="E64">
            <v>3375</v>
          </cell>
          <cell r="G64">
            <v>2000</v>
          </cell>
        </row>
        <row r="65">
          <cell r="B65" t="str">
            <v>Cải tạo, sửa chữa nhà làm việc 2 tầng, sân, cổng, hàng rào, nhà để xe UBND xã Khe Mo</v>
          </cell>
          <cell r="C65" t="str">
            <v>2023-2025</v>
          </cell>
          <cell r="E65">
            <v>2500</v>
          </cell>
          <cell r="G65">
            <v>500</v>
          </cell>
        </row>
        <row r="66">
          <cell r="B66" t="str">
            <v>Cấp nước sinh hoạt tập trung xã Minh Lập</v>
          </cell>
          <cell r="C66" t="str">
            <v>2023-2025</v>
          </cell>
          <cell r="E66">
            <v>9000</v>
          </cell>
          <cell r="G66">
            <v>500</v>
          </cell>
        </row>
        <row r="67">
          <cell r="B67" t="str">
            <v>Cấp nước sinh hoạt tập trung xã Nam Hòa</v>
          </cell>
          <cell r="C67" t="str">
            <v>2023-2025</v>
          </cell>
          <cell r="E67">
            <v>12000</v>
          </cell>
          <cell r="G67">
            <v>500</v>
          </cell>
        </row>
        <row r="68">
          <cell r="B68" t="str">
            <v>Thực hiện các chương trình, chuyên đề, các chương trình mục tiêu quốc gia</v>
          </cell>
          <cell r="E68">
            <v>0</v>
          </cell>
          <cell r="F68">
            <v>0</v>
          </cell>
          <cell r="G68">
            <v>76091</v>
          </cell>
        </row>
        <row r="69">
          <cell r="B69" t="str">
            <v>Bố trí vốn thực hiện các chương trình, chuyên đề</v>
          </cell>
          <cell r="C69" t="str">
            <v>2022-2024</v>
          </cell>
          <cell r="G69">
            <v>8100</v>
          </cell>
        </row>
        <row r="70">
          <cell r="B70" t="str">
            <v>Thực hiện các chương trình mục tiêu quốc gia xây dựng nông thôn mới</v>
          </cell>
          <cell r="C70" t="str">
            <v>2022-2024</v>
          </cell>
          <cell r="G70">
            <v>48291</v>
          </cell>
        </row>
        <row r="71">
          <cell r="B71" t="str">
            <v>Thực hiện các dự án phát triển vùng đồng bào dân tộc thiểu số và miền núi</v>
          </cell>
          <cell r="C71" t="str">
            <v>2022-2024</v>
          </cell>
          <cell r="G71">
            <v>19700</v>
          </cell>
        </row>
      </sheetData>
      <sheetData sheetId="27">
        <row r="11">
          <cell r="B11" t="str">
            <v>Công trình hoàn thành đã phê duyệt quyết toán</v>
          </cell>
          <cell r="E11">
            <v>47388</v>
          </cell>
          <cell r="F11">
            <v>43920</v>
          </cell>
          <cell r="G11">
            <v>3468</v>
          </cell>
          <cell r="H11">
            <v>0</v>
          </cell>
          <cell r="I11">
            <v>1618</v>
          </cell>
          <cell r="J11">
            <v>1618</v>
          </cell>
          <cell r="K11">
            <v>0</v>
          </cell>
          <cell r="L11">
            <v>1850</v>
          </cell>
        </row>
        <row r="12">
          <cell r="B12" t="str">
            <v>Nghĩa trang liệt sỹ huyện Đồng Hỷ</v>
          </cell>
          <cell r="C12" t="str">
            <v>2011-2012</v>
          </cell>
          <cell r="D12" t="str">
            <v>Phòng Lao động</v>
          </cell>
          <cell r="E12">
            <v>19501</v>
          </cell>
          <cell r="F12">
            <v>18897</v>
          </cell>
          <cell r="G12">
            <v>604</v>
          </cell>
          <cell r="I12">
            <v>604</v>
          </cell>
          <cell r="J12">
            <v>604</v>
          </cell>
          <cell r="N12">
            <v>604</v>
          </cell>
        </row>
        <row r="13">
          <cell r="B13" t="str">
            <v>Kiên cố hóa trường lớp học mầm non, TH cho đồng bào dân tộc vùng sâu vùng xa trên địa bàn huyện Đồng Hỷ</v>
          </cell>
          <cell r="C13" t="str">
            <v>2018 -2019</v>
          </cell>
          <cell r="D13" t="str">
            <v>Ban quản lý dự án ĐTXD</v>
          </cell>
          <cell r="E13">
            <v>14585</v>
          </cell>
          <cell r="F13">
            <v>13647</v>
          </cell>
          <cell r="G13">
            <v>938</v>
          </cell>
          <cell r="I13">
            <v>938</v>
          </cell>
          <cell r="J13">
            <v>938</v>
          </cell>
          <cell r="N13">
            <v>938</v>
          </cell>
        </row>
        <row r="14">
          <cell r="B14" t="str">
            <v>Xây dựng công trình nước sinh hoạt tập trung xóm Khe Cạn, xã Văn Lăng</v>
          </cell>
          <cell r="C14">
            <v>2020</v>
          </cell>
          <cell r="D14" t="str">
            <v>Phòng Dân tộc</v>
          </cell>
          <cell r="E14">
            <v>1160</v>
          </cell>
          <cell r="F14">
            <v>1084</v>
          </cell>
          <cell r="G14">
            <v>76</v>
          </cell>
          <cell r="I14">
            <v>76</v>
          </cell>
          <cell r="J14">
            <v>76</v>
          </cell>
          <cell r="N14">
            <v>76</v>
          </cell>
        </row>
        <row r="15">
          <cell r="B15" t="str">
            <v>Cải tạo, nâng cấp tuyến đường từ xóm Làng Cháy, xã Khe Mo đi xã Quang Sơn</v>
          </cell>
          <cell r="C15" t="str">
            <v>2017-2018</v>
          </cell>
          <cell r="D15" t="str">
            <v>Ban quản lý dự án ĐTXD</v>
          </cell>
          <cell r="E15">
            <v>10292</v>
          </cell>
          <cell r="F15">
            <v>9292</v>
          </cell>
          <cell r="G15">
            <v>1000</v>
          </cell>
          <cell r="I15">
            <v>0</v>
          </cell>
          <cell r="L15">
            <v>1000</v>
          </cell>
          <cell r="N15">
            <v>1000</v>
          </cell>
        </row>
        <row r="16">
          <cell r="B16" t="str">
            <v>Cải tạo, sửa chữa 4 phòng học, bếp ăn một chiều trường mầm non Văn Lăng - điểm trường Tân Sơn</v>
          </cell>
          <cell r="C16" t="str">
            <v>2021-2023</v>
          </cell>
          <cell r="D16" t="str">
            <v>Phòng GD&amp;ĐT</v>
          </cell>
          <cell r="E16">
            <v>891</v>
          </cell>
          <cell r="F16">
            <v>500</v>
          </cell>
          <cell r="G16">
            <v>391</v>
          </cell>
          <cell r="I16">
            <v>0</v>
          </cell>
          <cell r="L16">
            <v>391</v>
          </cell>
          <cell r="N16">
            <v>391</v>
          </cell>
        </row>
        <row r="17">
          <cell r="B17" t="str">
            <v>Cải tạo sửa chữa nhà lớp học trường PTDT bán trú TH số 1 Văn Lăng- điểm Khe Quân</v>
          </cell>
          <cell r="C17" t="str">
            <v>2021-2023</v>
          </cell>
          <cell r="D17" t="str">
            <v>Phòng GD&amp;ĐT</v>
          </cell>
          <cell r="E17">
            <v>959</v>
          </cell>
          <cell r="F17">
            <v>500</v>
          </cell>
          <cell r="G17">
            <v>459</v>
          </cell>
          <cell r="I17">
            <v>0</v>
          </cell>
          <cell r="L17">
            <v>459</v>
          </cell>
          <cell r="N17">
            <v>459</v>
          </cell>
        </row>
        <row r="18">
          <cell r="B18" t="str">
            <v>Công trình hoàn thành chưa phê duyệt quyết toán</v>
          </cell>
          <cell r="E18">
            <v>52833</v>
          </cell>
          <cell r="F18">
            <v>27815</v>
          </cell>
          <cell r="G18">
            <v>10231</v>
          </cell>
          <cell r="H18">
            <v>0</v>
          </cell>
          <cell r="I18">
            <v>1000</v>
          </cell>
          <cell r="J18">
            <v>1000</v>
          </cell>
          <cell r="K18">
            <v>0</v>
          </cell>
          <cell r="L18">
            <v>9231</v>
          </cell>
        </row>
        <row r="19">
          <cell r="B19" t="str">
            <v>Cải tạo, nâng cấp tuyến đường từ xóm Khe Quân xã Văn Lăng đi Đồng Vung xã Hòa Bình</v>
          </cell>
          <cell r="C19" t="str">
            <v>2021-2023</v>
          </cell>
          <cell r="D19" t="str">
            <v>Ban quản lý dự án ĐTXD</v>
          </cell>
          <cell r="E19">
            <v>4821</v>
          </cell>
          <cell r="F19">
            <v>3900</v>
          </cell>
          <cell r="G19">
            <v>921</v>
          </cell>
          <cell r="I19">
            <v>0</v>
          </cell>
          <cell r="L19">
            <v>921</v>
          </cell>
          <cell r="N19">
            <v>921</v>
          </cell>
        </row>
        <row r="20">
          <cell r="B20" t="str">
            <v>Cải tạo, nâng cấp tuyến đường Khau Bí xóm Liên Phương xã Văn Lăng</v>
          </cell>
          <cell r="C20" t="str">
            <v>2021-2023</v>
          </cell>
          <cell r="D20" t="str">
            <v>Ban quản lý dự án ĐTXD</v>
          </cell>
          <cell r="E20">
            <v>6005</v>
          </cell>
          <cell r="F20">
            <v>3400</v>
          </cell>
          <cell r="G20">
            <v>2605</v>
          </cell>
          <cell r="I20">
            <v>0</v>
          </cell>
          <cell r="L20">
            <v>2605</v>
          </cell>
          <cell r="N20">
            <v>2605</v>
          </cell>
        </row>
        <row r="21">
          <cell r="B21" t="str">
            <v>Cải tạo, nâng cấp tuyến đường Thịnh Đức 1 - La Đùm xã Văn Hán</v>
          </cell>
          <cell r="C21" t="str">
            <v>2021-2023</v>
          </cell>
          <cell r="D21" t="str">
            <v>Ban quản lý dự án ĐTXD</v>
          </cell>
          <cell r="E21">
            <v>7500</v>
          </cell>
          <cell r="F21">
            <v>6500</v>
          </cell>
          <cell r="G21">
            <v>1000</v>
          </cell>
          <cell r="I21">
            <v>0</v>
          </cell>
          <cell r="L21">
            <v>1000</v>
          </cell>
          <cell r="N21">
            <v>1000</v>
          </cell>
        </row>
        <row r="22">
          <cell r="B22" t="str">
            <v>Nhà lớp học 2 tầng 8 phòng trường mầm non Hòa  Bình</v>
          </cell>
          <cell r="C22" t="str">
            <v>2022-2024</v>
          </cell>
          <cell r="D22" t="str">
            <v>Ban quản lý dự án ĐTXD</v>
          </cell>
          <cell r="E22">
            <v>7200</v>
          </cell>
          <cell r="F22">
            <v>1500</v>
          </cell>
          <cell r="G22">
            <v>1000</v>
          </cell>
          <cell r="I22">
            <v>1000</v>
          </cell>
          <cell r="J22">
            <v>1000</v>
          </cell>
          <cell r="N22">
            <v>1000</v>
          </cell>
        </row>
        <row r="23">
          <cell r="B23" t="str">
            <v>Cải tạo sửa chữa nhà hiệu bộ và các phòng chức năng khu trung tâm trường Mầm non Hóa Thượng và nhà lớp học 5 phòng học, bếp ăn một chiều điểm trường Tam Thái</v>
          </cell>
          <cell r="C23" t="str">
            <v>2021-2023</v>
          </cell>
          <cell r="D23" t="str">
            <v>Phòng GD&amp;ĐT</v>
          </cell>
          <cell r="E23">
            <v>2000</v>
          </cell>
          <cell r="F23">
            <v>900</v>
          </cell>
          <cell r="G23">
            <v>505</v>
          </cell>
          <cell r="I23">
            <v>0</v>
          </cell>
          <cell r="L23">
            <v>505</v>
          </cell>
          <cell r="N23">
            <v>505</v>
          </cell>
        </row>
        <row r="24">
          <cell r="B24" t="str">
            <v>Cải tạo sửa chữa nhà lớp học 2 tầng trường THCS Vân Hán</v>
          </cell>
          <cell r="C24" t="str">
            <v>2021-2023</v>
          </cell>
          <cell r="D24" t="str">
            <v>Phòng GD&amp;ĐT</v>
          </cell>
          <cell r="E24">
            <v>1000</v>
          </cell>
          <cell r="F24">
            <v>700</v>
          </cell>
          <cell r="G24">
            <v>200</v>
          </cell>
          <cell r="I24">
            <v>0</v>
          </cell>
          <cell r="L24">
            <v>200</v>
          </cell>
          <cell r="N24">
            <v>200</v>
          </cell>
        </row>
        <row r="25">
          <cell r="B25" t="str">
            <v>Cải tạo, sửa chữa nhà lớp học 2 tầng trường tiểu học Sông Cầu</v>
          </cell>
          <cell r="C25" t="str">
            <v>2021-2023</v>
          </cell>
          <cell r="D25" t="str">
            <v>Phòng GD&amp;ĐT</v>
          </cell>
          <cell r="E25">
            <v>2277</v>
          </cell>
          <cell r="F25">
            <v>1000</v>
          </cell>
          <cell r="G25">
            <v>500</v>
          </cell>
          <cell r="I25">
            <v>0</v>
          </cell>
          <cell r="L25">
            <v>500</v>
          </cell>
          <cell r="N25">
            <v>500</v>
          </cell>
        </row>
        <row r="26">
          <cell r="B26" t="str">
            <v>Nhà LH 2 tầng 6 phòng trường TH số 2 Văn Lăng</v>
          </cell>
          <cell r="C26" t="str">
            <v>2020-2021</v>
          </cell>
          <cell r="D26" t="str">
            <v>Ban quản lý dự án ĐTXD</v>
          </cell>
          <cell r="E26">
            <v>3965</v>
          </cell>
          <cell r="F26">
            <v>2892</v>
          </cell>
          <cell r="G26">
            <v>500</v>
          </cell>
          <cell r="I26">
            <v>0</v>
          </cell>
          <cell r="L26">
            <v>500</v>
          </cell>
          <cell r="N26">
            <v>500</v>
          </cell>
        </row>
        <row r="27">
          <cell r="B27" t="str">
            <v>Nhà hiệu bộ và các công trình phụ trợ trường mầm non Nam Hòa - Điểm trường Ngòi Chẹo</v>
          </cell>
          <cell r="C27" t="str">
            <v>2021-2023</v>
          </cell>
          <cell r="D27" t="str">
            <v>Ban quản lý dự án ĐTXD</v>
          </cell>
          <cell r="E27">
            <v>4787</v>
          </cell>
          <cell r="F27">
            <v>1223</v>
          </cell>
          <cell r="G27">
            <v>1000</v>
          </cell>
          <cell r="I27">
            <v>0</v>
          </cell>
          <cell r="L27">
            <v>1000</v>
          </cell>
          <cell r="N27">
            <v>1000</v>
          </cell>
        </row>
        <row r="28">
          <cell r="B28" t="str">
            <v>Nhà hiệu bộ và các công trình phụ trợ trường mầm non Vân Hán</v>
          </cell>
          <cell r="C28" t="str">
            <v>2021-2023</v>
          </cell>
          <cell r="D28" t="str">
            <v>Ban quản lý dự án ĐTXD</v>
          </cell>
          <cell r="E28">
            <v>5818</v>
          </cell>
          <cell r="F28">
            <v>2300</v>
          </cell>
          <cell r="G28">
            <v>1000</v>
          </cell>
          <cell r="I28">
            <v>0</v>
          </cell>
          <cell r="L28">
            <v>1000</v>
          </cell>
          <cell r="N28">
            <v>1000</v>
          </cell>
        </row>
        <row r="29">
          <cell r="B29" t="str">
            <v>Nhà lớp học 2 tầng 8 phòng trường tiểu học số 2 Minh Lập</v>
          </cell>
          <cell r="C29" t="str">
            <v>2021-2023</v>
          </cell>
          <cell r="D29" t="str">
            <v>Ban quản lý dự án ĐTXD</v>
          </cell>
          <cell r="E29">
            <v>4183</v>
          </cell>
          <cell r="F29">
            <v>2000</v>
          </cell>
          <cell r="G29">
            <v>500</v>
          </cell>
          <cell r="I29">
            <v>0</v>
          </cell>
          <cell r="L29">
            <v>500</v>
          </cell>
          <cell r="N29">
            <v>500</v>
          </cell>
        </row>
        <row r="30">
          <cell r="B30" t="str">
            <v>Nhà lớp học 2 tầng, 6 phòng trường TH Quang Sơn</v>
          </cell>
          <cell r="C30" t="str">
            <v>2021-2023</v>
          </cell>
          <cell r="D30" t="str">
            <v>Ban quản lý dự án ĐTXD</v>
          </cell>
          <cell r="E30">
            <v>3277</v>
          </cell>
          <cell r="F30">
            <v>1500</v>
          </cell>
          <cell r="G30">
            <v>500</v>
          </cell>
          <cell r="I30">
            <v>0</v>
          </cell>
          <cell r="L30">
            <v>500</v>
          </cell>
          <cell r="N30">
            <v>500</v>
          </cell>
        </row>
        <row r="31">
          <cell r="B31" t="str">
            <v>Công trình chuyển tiếp</v>
          </cell>
          <cell r="E31">
            <v>24600</v>
          </cell>
          <cell r="F31">
            <v>4800</v>
          </cell>
          <cell r="G31">
            <v>5000</v>
          </cell>
          <cell r="H31">
            <v>0</v>
          </cell>
          <cell r="I31">
            <v>0</v>
          </cell>
          <cell r="J31">
            <v>0</v>
          </cell>
          <cell r="K31">
            <v>0</v>
          </cell>
          <cell r="L31">
            <v>5000</v>
          </cell>
        </row>
        <row r="32">
          <cell r="B32" t="str">
            <v>Cải tạo nâng cấp tuyến đường xóm Thịnh Lâm  đi xóm Cầu Mai, xã Văn Hán</v>
          </cell>
          <cell r="C32" t="str">
            <v>2022-2024</v>
          </cell>
          <cell r="D32" t="str">
            <v>Ban quản lý dự án ĐTXD</v>
          </cell>
          <cell r="E32">
            <v>3000</v>
          </cell>
          <cell r="F32">
            <v>700</v>
          </cell>
          <cell r="G32">
            <v>700</v>
          </cell>
          <cell r="I32">
            <v>0</v>
          </cell>
          <cell r="L32">
            <v>700</v>
          </cell>
          <cell r="N32">
            <v>700</v>
          </cell>
        </row>
        <row r="33">
          <cell r="B33" t="str">
            <v>Cải tạo nâng cấp tuyến đường xóm Phả Lý, xã Văn Hán đi xóm Thống Nhất, xã Khe Mo</v>
          </cell>
          <cell r="C33" t="str">
            <v>2022-2024</v>
          </cell>
          <cell r="D33" t="str">
            <v>Ban quản lý dự án ĐTXD</v>
          </cell>
          <cell r="E33">
            <v>7000</v>
          </cell>
          <cell r="F33">
            <v>1000</v>
          </cell>
          <cell r="G33">
            <v>1000</v>
          </cell>
          <cell r="I33">
            <v>0</v>
          </cell>
          <cell r="L33">
            <v>1000</v>
          </cell>
          <cell r="N33">
            <v>1000</v>
          </cell>
        </row>
        <row r="34">
          <cell r="B34" t="str">
            <v>Cải tạo sửa chữa nhà lớp học 2 tầng 8 phòng trường tiểu học Quang Sơn- Điểm trường Trung tâm</v>
          </cell>
          <cell r="C34" t="str">
            <v>2022-2024</v>
          </cell>
          <cell r="D34" t="str">
            <v>Ban quản lý dự án ĐTXD</v>
          </cell>
          <cell r="E34">
            <v>3000</v>
          </cell>
          <cell r="F34">
            <v>600</v>
          </cell>
          <cell r="G34">
            <v>700</v>
          </cell>
          <cell r="I34">
            <v>0</v>
          </cell>
          <cell r="L34">
            <v>700</v>
          </cell>
          <cell r="N34">
            <v>700</v>
          </cell>
        </row>
        <row r="35">
          <cell r="B35" t="str">
            <v>Cải tạo sửa chữa trường tiểu học Tân Lợi</v>
          </cell>
          <cell r="C35" t="str">
            <v>2022-2024</v>
          </cell>
          <cell r="D35" t="str">
            <v>Ban quản lý dự án ĐTXD</v>
          </cell>
          <cell r="E35">
            <v>4800</v>
          </cell>
          <cell r="F35">
            <v>800</v>
          </cell>
          <cell r="G35">
            <v>1000</v>
          </cell>
          <cell r="I35">
            <v>0</v>
          </cell>
          <cell r="L35">
            <v>1000</v>
          </cell>
          <cell r="N35">
            <v>1000</v>
          </cell>
        </row>
        <row r="36">
          <cell r="B36" t="str">
            <v>Sửa chữa trường tiểu học Cây Thị- Phân trường Khe Cạn</v>
          </cell>
          <cell r="C36" t="str">
            <v>2022-2024</v>
          </cell>
          <cell r="D36" t="str">
            <v>Phòng GĐ&amp;ĐT</v>
          </cell>
          <cell r="E36">
            <v>2000</v>
          </cell>
          <cell r="F36">
            <v>400</v>
          </cell>
          <cell r="G36">
            <v>600</v>
          </cell>
          <cell r="I36">
            <v>0</v>
          </cell>
          <cell r="L36">
            <v>600</v>
          </cell>
          <cell r="N36">
            <v>600</v>
          </cell>
        </row>
        <row r="37">
          <cell r="B37" t="str">
            <v>Cải tạo, nâng cấp  trung tâm văn hóa thể thao thị trấn Trại Cau</v>
          </cell>
          <cell r="C37" t="str">
            <v>2022-2024</v>
          </cell>
          <cell r="D37" t="str">
            <v>Ban quản lý dự án ĐTXD</v>
          </cell>
          <cell r="E37">
            <v>3600</v>
          </cell>
          <cell r="F37">
            <v>700</v>
          </cell>
          <cell r="G37">
            <v>700</v>
          </cell>
          <cell r="I37">
            <v>0</v>
          </cell>
          <cell r="L37">
            <v>700</v>
          </cell>
          <cell r="N37">
            <v>700</v>
          </cell>
        </row>
        <row r="38">
          <cell r="B38" t="str">
            <v>Xây dựng mương thoát nước thải khu dân cư xóm Hưng Thái xã Hóa Thượng</v>
          </cell>
          <cell r="C38" t="str">
            <v>2022-2024</v>
          </cell>
          <cell r="D38" t="str">
            <v>UBND xã Hóa Thượng</v>
          </cell>
          <cell r="E38">
            <v>1200</v>
          </cell>
          <cell r="F38">
            <v>600</v>
          </cell>
          <cell r="G38">
            <v>300</v>
          </cell>
          <cell r="I38">
            <v>0</v>
          </cell>
          <cell r="L38">
            <v>300</v>
          </cell>
          <cell r="N38">
            <v>300</v>
          </cell>
        </row>
        <row r="39">
          <cell r="B39" t="str">
            <v>Khởi công mới</v>
          </cell>
          <cell r="E39">
            <v>26875</v>
          </cell>
          <cell r="F39">
            <v>0</v>
          </cell>
          <cell r="G39">
            <v>3500</v>
          </cell>
          <cell r="H39">
            <v>0</v>
          </cell>
          <cell r="I39">
            <v>2500</v>
          </cell>
          <cell r="J39">
            <v>2500</v>
          </cell>
          <cell r="K39">
            <v>0</v>
          </cell>
          <cell r="L39">
            <v>1000</v>
          </cell>
        </row>
        <row r="40">
          <cell r="B40" t="str">
            <v>Xây dựng nhà làm việc một cửa UBND xã Khe Mo</v>
          </cell>
          <cell r="C40" t="str">
            <v>2023-2025</v>
          </cell>
          <cell r="E40">
            <v>3375</v>
          </cell>
          <cell r="G40">
            <v>2000</v>
          </cell>
          <cell r="I40">
            <v>2000</v>
          </cell>
          <cell r="J40">
            <v>2000</v>
          </cell>
          <cell r="N40">
            <v>2000</v>
          </cell>
        </row>
        <row r="41">
          <cell r="B41" t="str">
            <v>Cải tạo, sửa chữa nhà làm việc 2 tầng, sân, cổng, hàng rào, nhà để xe UBND xã Khe Mo</v>
          </cell>
          <cell r="C41" t="str">
            <v>2023-2025</v>
          </cell>
          <cell r="E41">
            <v>2500</v>
          </cell>
          <cell r="G41">
            <v>500</v>
          </cell>
          <cell r="I41">
            <v>500</v>
          </cell>
          <cell r="J41">
            <v>500</v>
          </cell>
          <cell r="N41">
            <v>500</v>
          </cell>
        </row>
        <row r="42">
          <cell r="B42" t="str">
            <v>Cấp nước sinh hoạt tập trung xã Minh Lập</v>
          </cell>
          <cell r="C42" t="str">
            <v>2023-2025</v>
          </cell>
          <cell r="E42">
            <v>9000</v>
          </cell>
          <cell r="G42">
            <v>500</v>
          </cell>
          <cell r="L42">
            <v>500</v>
          </cell>
          <cell r="N42">
            <v>500</v>
          </cell>
        </row>
        <row r="43">
          <cell r="B43" t="str">
            <v>Cấp nước sinh hoạt tập trung xã Nam Hòa</v>
          </cell>
          <cell r="C43" t="str">
            <v>2023-2025</v>
          </cell>
          <cell r="E43">
            <v>12000</v>
          </cell>
          <cell r="G43">
            <v>500</v>
          </cell>
          <cell r="L43">
            <v>500</v>
          </cell>
          <cell r="N43">
            <v>500</v>
          </cell>
        </row>
        <row r="44">
          <cell r="B44" t="str">
            <v>Thực hiện các chương trình, chuyên đề, các chương trình mục tiêu quốc gia</v>
          </cell>
          <cell r="E44">
            <v>0</v>
          </cell>
          <cell r="F44">
            <v>0</v>
          </cell>
          <cell r="G44">
            <v>76091</v>
          </cell>
          <cell r="H44">
            <v>35591</v>
          </cell>
          <cell r="I44">
            <v>31500</v>
          </cell>
          <cell r="J44">
            <v>0</v>
          </cell>
          <cell r="K44">
            <v>31500</v>
          </cell>
          <cell r="L44">
            <v>9000</v>
          </cell>
        </row>
        <row r="45">
          <cell r="B45" t="str">
            <v>Bố trí vốn thực hiện các chương trình, chuyên đề</v>
          </cell>
          <cell r="C45" t="str">
            <v>2022-2024</v>
          </cell>
          <cell r="G45">
            <v>8100</v>
          </cell>
          <cell r="I45">
            <v>0</v>
          </cell>
          <cell r="L45">
            <v>8100</v>
          </cell>
          <cell r="N45">
            <v>8100</v>
          </cell>
        </row>
        <row r="46">
          <cell r="B46" t="str">
            <v>Thực hiện các chương trình mục tiêu quốc gia xây dựng nông thôn mới</v>
          </cell>
          <cell r="C46" t="str">
            <v>2022-2024</v>
          </cell>
          <cell r="G46">
            <v>48291</v>
          </cell>
          <cell r="H46">
            <v>18291</v>
          </cell>
          <cell r="I46">
            <v>30000</v>
          </cell>
          <cell r="K46">
            <v>30000</v>
          </cell>
          <cell r="M46" t="str">
            <v>NS tỉnh bao gồm 8.400 triệu đồng hỗ trợ xi măng</v>
          </cell>
          <cell r="N46">
            <v>30000</v>
          </cell>
        </row>
        <row r="47">
          <cell r="B47" t="str">
            <v>Thực hiện các dự án phát triển vùng đồng bào dân tộc thiểu số và miền núi</v>
          </cell>
          <cell r="C47" t="str">
            <v>2022-2024</v>
          </cell>
          <cell r="G47">
            <v>19700</v>
          </cell>
          <cell r="H47">
            <v>17300</v>
          </cell>
          <cell r="I47">
            <v>1500</v>
          </cell>
          <cell r="K47">
            <v>1500</v>
          </cell>
          <cell r="L47">
            <v>900</v>
          </cell>
          <cell r="M47" t="str">
            <v>Dự kiến phân bổ</v>
          </cell>
          <cell r="N47">
            <v>2400</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workbookViewId="0"/>
  </sheetViews>
  <sheetFormatPr defaultRowHeight="15.6"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Y316"/>
  <sheetViews>
    <sheetView zoomScale="55" zoomScaleNormal="55" workbookViewId="0">
      <selection activeCell="H16" sqref="H16"/>
    </sheetView>
  </sheetViews>
  <sheetFormatPr defaultColWidth="8.59765625" defaultRowHeight="15.6" x14ac:dyDescent="0.3"/>
  <cols>
    <col min="1" max="1" width="4.09765625" style="23" customWidth="1"/>
    <col min="2" max="2" width="30" style="24" customWidth="1"/>
    <col min="3" max="3" width="6.3984375" style="8" customWidth="1"/>
    <col min="4" max="4" width="10.09765625" style="8" customWidth="1"/>
    <col min="5" max="5" width="6.8984375" style="8" customWidth="1"/>
    <col min="6" max="6" width="9.59765625" style="8" customWidth="1"/>
    <col min="7" max="7" width="9.09765625" style="8" customWidth="1"/>
    <col min="8" max="8" width="9.59765625" style="8" customWidth="1"/>
    <col min="9" max="9" width="8.09765625" style="8" customWidth="1"/>
    <col min="10" max="10" width="8.59765625" style="8" customWidth="1"/>
    <col min="11" max="11" width="9.09765625" style="8" customWidth="1"/>
    <col min="12" max="12" width="8.59765625" style="8" customWidth="1"/>
    <col min="13" max="13" width="9" style="8" customWidth="1"/>
    <col min="14" max="14" width="8.3984375" style="8" customWidth="1"/>
    <col min="15" max="15" width="9.8984375" style="8" customWidth="1"/>
    <col min="16" max="16" width="6.59765625" style="8" customWidth="1"/>
    <col min="17" max="17" width="6.09765625" style="8" customWidth="1"/>
    <col min="18" max="18" width="8.59765625" style="8" customWidth="1"/>
    <col min="19" max="19" width="7.09765625" style="8" customWidth="1"/>
    <col min="20" max="20" width="6.09765625" style="8" customWidth="1"/>
    <col min="21" max="21" width="8.09765625" style="8" customWidth="1"/>
    <col min="22" max="22" width="6.59765625" style="8" customWidth="1"/>
    <col min="23" max="23" width="7.09765625" style="8" customWidth="1"/>
    <col min="24" max="24" width="6.59765625" style="8" customWidth="1"/>
    <col min="25" max="25" width="9.5" style="8" bestFit="1" customWidth="1"/>
    <col min="26" max="16384" width="8.59765625" style="8"/>
  </cols>
  <sheetData>
    <row r="1" spans="1:25" ht="27.6" customHeight="1" x14ac:dyDescent="0.3">
      <c r="A1" s="148" t="s">
        <v>26</v>
      </c>
      <c r="B1" s="148"/>
      <c r="C1" s="148"/>
      <c r="D1" s="148"/>
      <c r="E1" s="148"/>
      <c r="F1" s="148"/>
      <c r="G1" s="148"/>
      <c r="H1" s="148"/>
      <c r="I1" s="148"/>
      <c r="J1" s="148"/>
      <c r="K1" s="148"/>
      <c r="L1" s="148"/>
      <c r="M1" s="148"/>
      <c r="N1" s="148"/>
      <c r="O1" s="148"/>
      <c r="P1" s="148"/>
      <c r="Q1" s="148"/>
      <c r="R1" s="148"/>
      <c r="S1" s="148"/>
      <c r="T1" s="148"/>
      <c r="U1" s="148"/>
      <c r="V1" s="148"/>
      <c r="W1" s="148"/>
      <c r="X1" s="148"/>
    </row>
    <row r="2" spans="1:25" ht="51.6" customHeight="1" x14ac:dyDescent="0.35">
      <c r="A2" s="149" t="s">
        <v>27</v>
      </c>
      <c r="B2" s="149"/>
      <c r="C2" s="150"/>
      <c r="D2" s="150"/>
      <c r="E2" s="150"/>
      <c r="F2" s="150"/>
      <c r="G2" s="150"/>
      <c r="H2" s="150"/>
      <c r="I2" s="150"/>
      <c r="J2" s="150"/>
      <c r="K2" s="150"/>
      <c r="L2" s="150"/>
      <c r="M2" s="150"/>
      <c r="N2" s="150"/>
      <c r="O2" s="150"/>
      <c r="P2" s="150"/>
      <c r="Q2" s="150"/>
      <c r="R2" s="150"/>
      <c r="S2" s="150"/>
      <c r="T2" s="150"/>
      <c r="U2" s="150"/>
      <c r="V2" s="150"/>
      <c r="W2" s="150"/>
      <c r="X2" s="150"/>
    </row>
    <row r="3" spans="1:25" ht="37.35" customHeight="1" x14ac:dyDescent="0.3">
      <c r="A3" s="151" t="e">
        <f>#REF!</f>
        <v>#REF!</v>
      </c>
      <c r="B3" s="151"/>
      <c r="C3" s="151"/>
      <c r="D3" s="151"/>
      <c r="E3" s="151"/>
      <c r="F3" s="151"/>
      <c r="G3" s="151"/>
      <c r="H3" s="151"/>
      <c r="I3" s="151"/>
      <c r="J3" s="151"/>
      <c r="K3" s="151"/>
      <c r="L3" s="151"/>
      <c r="M3" s="151"/>
      <c r="N3" s="151"/>
      <c r="O3" s="151"/>
      <c r="P3" s="151"/>
      <c r="Q3" s="151"/>
      <c r="R3" s="151"/>
      <c r="S3" s="151"/>
      <c r="T3" s="151"/>
      <c r="U3" s="151"/>
      <c r="V3" s="151"/>
      <c r="W3" s="151"/>
      <c r="X3" s="151"/>
    </row>
    <row r="4" spans="1:25" ht="27.6" customHeight="1" x14ac:dyDescent="0.4">
      <c r="A4" s="152" t="s">
        <v>0</v>
      </c>
      <c r="B4" s="152"/>
      <c r="C4" s="152"/>
      <c r="D4" s="152"/>
      <c r="E4" s="152"/>
      <c r="F4" s="152"/>
      <c r="G4" s="152"/>
      <c r="H4" s="152"/>
      <c r="I4" s="152"/>
      <c r="J4" s="152"/>
      <c r="K4" s="152"/>
      <c r="L4" s="152"/>
      <c r="M4" s="152"/>
      <c r="N4" s="152"/>
      <c r="O4" s="152"/>
      <c r="P4" s="152"/>
      <c r="Q4" s="152"/>
      <c r="R4" s="152"/>
      <c r="S4" s="152"/>
      <c r="T4" s="152"/>
      <c r="U4" s="152"/>
      <c r="V4" s="152"/>
      <c r="W4" s="152"/>
      <c r="X4" s="152"/>
    </row>
    <row r="5" spans="1:25" ht="55.35" customHeight="1" x14ac:dyDescent="0.3">
      <c r="A5" s="153" t="s">
        <v>1</v>
      </c>
      <c r="B5" s="154" t="s">
        <v>2</v>
      </c>
      <c r="C5" s="147" t="s">
        <v>13</v>
      </c>
      <c r="D5" s="147"/>
      <c r="E5" s="147"/>
      <c r="F5" s="147"/>
      <c r="G5" s="144" t="s">
        <v>3</v>
      </c>
      <c r="H5" s="144"/>
      <c r="I5" s="144"/>
      <c r="J5" s="144"/>
      <c r="K5" s="144"/>
      <c r="L5" s="144"/>
      <c r="M5" s="144" t="s">
        <v>4</v>
      </c>
      <c r="N5" s="144"/>
      <c r="O5" s="144" t="s">
        <v>20</v>
      </c>
      <c r="P5" s="144"/>
      <c r="Q5" s="144"/>
      <c r="R5" s="144"/>
      <c r="S5" s="144"/>
      <c r="T5" s="144"/>
      <c r="U5" s="144" t="s">
        <v>14</v>
      </c>
      <c r="V5" s="155"/>
      <c r="W5" s="155"/>
      <c r="X5" s="155"/>
    </row>
    <row r="6" spans="1:25" ht="46.35" customHeight="1" x14ac:dyDescent="0.3">
      <c r="A6" s="153"/>
      <c r="B6" s="154"/>
      <c r="C6" s="147" t="s">
        <v>28</v>
      </c>
      <c r="D6" s="147" t="s">
        <v>8</v>
      </c>
      <c r="E6" s="147" t="s">
        <v>29</v>
      </c>
      <c r="F6" s="147"/>
      <c r="G6" s="144" t="s">
        <v>15</v>
      </c>
      <c r="H6" s="144"/>
      <c r="I6" s="144" t="s">
        <v>30</v>
      </c>
      <c r="J6" s="144"/>
      <c r="K6" s="144" t="s">
        <v>16</v>
      </c>
      <c r="L6" s="144"/>
      <c r="M6" s="144"/>
      <c r="N6" s="144"/>
      <c r="O6" s="144"/>
      <c r="P6" s="144"/>
      <c r="Q6" s="144"/>
      <c r="R6" s="144"/>
      <c r="S6" s="144"/>
      <c r="T6" s="144"/>
      <c r="U6" s="155"/>
      <c r="V6" s="155"/>
      <c r="W6" s="155"/>
      <c r="X6" s="155"/>
    </row>
    <row r="7" spans="1:25" ht="48" customHeight="1" x14ac:dyDescent="0.3">
      <c r="A7" s="153"/>
      <c r="B7" s="154"/>
      <c r="C7" s="147"/>
      <c r="D7" s="147"/>
      <c r="E7" s="147" t="s">
        <v>9</v>
      </c>
      <c r="F7" s="147" t="s">
        <v>10</v>
      </c>
      <c r="G7" s="144" t="s">
        <v>5</v>
      </c>
      <c r="H7" s="144" t="s">
        <v>21</v>
      </c>
      <c r="I7" s="144" t="s">
        <v>5</v>
      </c>
      <c r="J7" s="144" t="s">
        <v>21</v>
      </c>
      <c r="K7" s="144" t="s">
        <v>5</v>
      </c>
      <c r="L7" s="144" t="s">
        <v>21</v>
      </c>
      <c r="M7" s="144" t="s">
        <v>5</v>
      </c>
      <c r="N7" s="144" t="s">
        <v>21</v>
      </c>
      <c r="O7" s="144" t="s">
        <v>7</v>
      </c>
      <c r="P7" s="144"/>
      <c r="Q7" s="144"/>
      <c r="R7" s="144" t="s">
        <v>17</v>
      </c>
      <c r="S7" s="144"/>
      <c r="T7" s="144"/>
      <c r="U7" s="144" t="s">
        <v>5</v>
      </c>
      <c r="V7" s="144" t="s">
        <v>21</v>
      </c>
      <c r="W7" s="144"/>
      <c r="X7" s="144"/>
    </row>
    <row r="8" spans="1:25" ht="27" customHeight="1" x14ac:dyDescent="0.3">
      <c r="A8" s="153"/>
      <c r="B8" s="154"/>
      <c r="C8" s="147"/>
      <c r="D8" s="147"/>
      <c r="E8" s="147"/>
      <c r="F8" s="147"/>
      <c r="G8" s="144"/>
      <c r="H8" s="144"/>
      <c r="I8" s="144"/>
      <c r="J8" s="144"/>
      <c r="K8" s="144"/>
      <c r="L8" s="144"/>
      <c r="M8" s="144"/>
      <c r="N8" s="144"/>
      <c r="O8" s="144" t="s">
        <v>8</v>
      </c>
      <c r="P8" s="146" t="s">
        <v>6</v>
      </c>
      <c r="Q8" s="146"/>
      <c r="R8" s="144" t="s">
        <v>8</v>
      </c>
      <c r="S8" s="146" t="s">
        <v>6</v>
      </c>
      <c r="T8" s="146"/>
      <c r="U8" s="144"/>
      <c r="V8" s="144" t="s">
        <v>8</v>
      </c>
      <c r="W8" s="146" t="s">
        <v>6</v>
      </c>
      <c r="X8" s="146"/>
    </row>
    <row r="9" spans="1:25" ht="125.1" customHeight="1" x14ac:dyDescent="0.3">
      <c r="A9" s="153"/>
      <c r="B9" s="154"/>
      <c r="C9" s="147"/>
      <c r="D9" s="147"/>
      <c r="E9" s="147"/>
      <c r="F9" s="147"/>
      <c r="G9" s="145"/>
      <c r="H9" s="144"/>
      <c r="I9" s="145"/>
      <c r="J9" s="144"/>
      <c r="K9" s="145"/>
      <c r="L9" s="144"/>
      <c r="M9" s="145"/>
      <c r="N9" s="144"/>
      <c r="O9" s="144"/>
      <c r="P9" s="1" t="s">
        <v>11</v>
      </c>
      <c r="Q9" s="1" t="s">
        <v>12</v>
      </c>
      <c r="R9" s="144"/>
      <c r="S9" s="9" t="s">
        <v>11</v>
      </c>
      <c r="T9" s="9" t="s">
        <v>12</v>
      </c>
      <c r="U9" s="145"/>
      <c r="V9" s="144"/>
      <c r="W9" s="9" t="s">
        <v>11</v>
      </c>
      <c r="X9" s="9" t="s">
        <v>12</v>
      </c>
    </row>
    <row r="10" spans="1:25" ht="22.35" customHeight="1" x14ac:dyDescent="0.3">
      <c r="A10" s="10"/>
      <c r="B10" s="11" t="s">
        <v>141</v>
      </c>
      <c r="C10" s="12"/>
      <c r="D10" s="13">
        <f>D11+D56+D84+D118</f>
        <v>780691</v>
      </c>
      <c r="E10" s="13">
        <f t="shared" ref="E10:X10" si="0">E11+E56+E84+E118</f>
        <v>0</v>
      </c>
      <c r="F10" s="13">
        <f t="shared" si="0"/>
        <v>776331</v>
      </c>
      <c r="G10" s="13">
        <f t="shared" si="0"/>
        <v>80782</v>
      </c>
      <c r="H10" s="13">
        <f t="shared" si="0"/>
        <v>80782</v>
      </c>
      <c r="I10" s="13">
        <f t="shared" si="0"/>
        <v>42570.64</v>
      </c>
      <c r="J10" s="13">
        <f t="shared" si="0"/>
        <v>42570.64</v>
      </c>
      <c r="K10" s="13">
        <f t="shared" si="0"/>
        <v>80782</v>
      </c>
      <c r="L10" s="13">
        <f t="shared" si="0"/>
        <v>80782</v>
      </c>
      <c r="M10" s="13">
        <f t="shared" si="0"/>
        <v>42570.64</v>
      </c>
      <c r="N10" s="13">
        <f t="shared" si="0"/>
        <v>42570.64</v>
      </c>
      <c r="O10" s="13">
        <f t="shared" si="0"/>
        <v>621260</v>
      </c>
      <c r="P10" s="13">
        <f t="shared" si="0"/>
        <v>0</v>
      </c>
      <c r="Q10" s="13">
        <f t="shared" si="0"/>
        <v>0</v>
      </c>
      <c r="R10" s="13">
        <f t="shared" si="0"/>
        <v>80782</v>
      </c>
      <c r="S10" s="13">
        <f t="shared" si="0"/>
        <v>0</v>
      </c>
      <c r="T10" s="13">
        <f t="shared" si="0"/>
        <v>0</v>
      </c>
      <c r="U10" s="13">
        <f t="shared" si="0"/>
        <v>62699</v>
      </c>
      <c r="V10" s="13">
        <f t="shared" si="0"/>
        <v>0</v>
      </c>
      <c r="W10" s="13">
        <f t="shared" si="0"/>
        <v>0</v>
      </c>
      <c r="X10" s="13">
        <f t="shared" si="0"/>
        <v>0</v>
      </c>
    </row>
    <row r="11" spans="1:25" s="17" customFormat="1" ht="31.2" x14ac:dyDescent="0.3">
      <c r="A11" s="11" t="s">
        <v>19</v>
      </c>
      <c r="B11" s="14" t="s">
        <v>31</v>
      </c>
      <c r="C11" s="10"/>
      <c r="D11" s="15">
        <f>D12+D25+D37+D46+D48+D51</f>
        <v>178745</v>
      </c>
      <c r="E11" s="15">
        <f t="shared" ref="E11:X11" si="1">E12+E25+E37+E46+E48+E51</f>
        <v>0</v>
      </c>
      <c r="F11" s="15">
        <f t="shared" si="1"/>
        <v>178745</v>
      </c>
      <c r="G11" s="15">
        <f t="shared" si="1"/>
        <v>31576</v>
      </c>
      <c r="H11" s="15">
        <f t="shared" si="1"/>
        <v>31576</v>
      </c>
      <c r="I11" s="15">
        <f t="shared" si="1"/>
        <v>16478.12</v>
      </c>
      <c r="J11" s="15">
        <f t="shared" si="1"/>
        <v>16478.12</v>
      </c>
      <c r="K11" s="15">
        <f t="shared" si="1"/>
        <v>31576</v>
      </c>
      <c r="L11" s="15">
        <f t="shared" si="1"/>
        <v>31576</v>
      </c>
      <c r="M11" s="15">
        <f t="shared" si="1"/>
        <v>16478.12</v>
      </c>
      <c r="N11" s="15">
        <f t="shared" si="1"/>
        <v>16478.12</v>
      </c>
      <c r="O11" s="15">
        <f t="shared" si="1"/>
        <v>131357</v>
      </c>
      <c r="P11" s="15">
        <f t="shared" si="1"/>
        <v>0</v>
      </c>
      <c r="Q11" s="15">
        <f t="shared" si="1"/>
        <v>0</v>
      </c>
      <c r="R11" s="15">
        <f t="shared" si="1"/>
        <v>31576</v>
      </c>
      <c r="S11" s="15">
        <f t="shared" si="1"/>
        <v>0</v>
      </c>
      <c r="T11" s="15">
        <f t="shared" si="1"/>
        <v>0</v>
      </c>
      <c r="U11" s="15">
        <f t="shared" si="1"/>
        <v>3468</v>
      </c>
      <c r="V11" s="15">
        <f t="shared" si="1"/>
        <v>0</v>
      </c>
      <c r="W11" s="15">
        <f t="shared" si="1"/>
        <v>0</v>
      </c>
      <c r="X11" s="15">
        <f t="shared" si="1"/>
        <v>0</v>
      </c>
      <c r="Y11" s="16">
        <f>VLOOKUP(B11,[1]nHAP!B$11:N$47,13,0)</f>
        <v>0</v>
      </c>
    </row>
    <row r="12" spans="1:25" s="17" customFormat="1" x14ac:dyDescent="0.3">
      <c r="A12" s="11" t="s">
        <v>18</v>
      </c>
      <c r="B12" s="14" t="s">
        <v>32</v>
      </c>
      <c r="C12" s="10"/>
      <c r="D12" s="15">
        <f>SUM(D13:D24)</f>
        <v>103903</v>
      </c>
      <c r="E12" s="15">
        <f t="shared" ref="E12:X12" si="2">SUM(E13:E24)</f>
        <v>0</v>
      </c>
      <c r="F12" s="15">
        <f t="shared" si="2"/>
        <v>103903</v>
      </c>
      <c r="G12" s="15">
        <f t="shared" si="2"/>
        <v>21000</v>
      </c>
      <c r="H12" s="15">
        <f t="shared" si="2"/>
        <v>21000</v>
      </c>
      <c r="I12" s="15">
        <f t="shared" si="2"/>
        <v>12581</v>
      </c>
      <c r="J12" s="15">
        <f t="shared" si="2"/>
        <v>12581</v>
      </c>
      <c r="K12" s="15">
        <f t="shared" si="2"/>
        <v>21000</v>
      </c>
      <c r="L12" s="15">
        <f t="shared" si="2"/>
        <v>21000</v>
      </c>
      <c r="M12" s="15">
        <f t="shared" si="2"/>
        <v>12581</v>
      </c>
      <c r="N12" s="15">
        <f t="shared" si="2"/>
        <v>12581</v>
      </c>
      <c r="O12" s="15">
        <f t="shared" si="2"/>
        <v>93611</v>
      </c>
      <c r="P12" s="15">
        <f t="shared" si="2"/>
        <v>0</v>
      </c>
      <c r="Q12" s="15">
        <f t="shared" si="2"/>
        <v>0</v>
      </c>
      <c r="R12" s="15">
        <f t="shared" si="2"/>
        <v>21000</v>
      </c>
      <c r="S12" s="15">
        <f t="shared" si="2"/>
        <v>0</v>
      </c>
      <c r="T12" s="15">
        <f t="shared" si="2"/>
        <v>0</v>
      </c>
      <c r="U12" s="15">
        <f t="shared" si="2"/>
        <v>1000</v>
      </c>
      <c r="V12" s="15">
        <f t="shared" si="2"/>
        <v>0</v>
      </c>
      <c r="W12" s="15">
        <f t="shared" si="2"/>
        <v>0</v>
      </c>
      <c r="X12" s="15">
        <f t="shared" si="2"/>
        <v>0</v>
      </c>
      <c r="Y12" s="16" t="e">
        <f>VLOOKUP(B12,[1]nHAP!B$11:N$47,13,0)</f>
        <v>#N/A</v>
      </c>
    </row>
    <row r="13" spans="1:25" ht="46.8" x14ac:dyDescent="0.3">
      <c r="A13" s="18">
        <v>1</v>
      </c>
      <c r="B13" s="19" t="s">
        <v>33</v>
      </c>
      <c r="C13" s="20"/>
      <c r="D13" s="21">
        <v>9917</v>
      </c>
      <c r="E13" s="21"/>
      <c r="F13" s="21">
        <v>9917</v>
      </c>
      <c r="G13" s="21">
        <v>5417</v>
      </c>
      <c r="H13" s="21">
        <v>5417</v>
      </c>
      <c r="I13" s="21">
        <v>1859</v>
      </c>
      <c r="J13" s="21">
        <v>1859</v>
      </c>
      <c r="K13" s="21">
        <v>5417</v>
      </c>
      <c r="L13" s="21">
        <v>5417</v>
      </c>
      <c r="M13" s="21">
        <v>1859</v>
      </c>
      <c r="N13" s="21">
        <v>1859</v>
      </c>
      <c r="O13" s="21">
        <v>9917</v>
      </c>
      <c r="P13" s="21"/>
      <c r="Q13" s="21"/>
      <c r="R13" s="21">
        <v>5417</v>
      </c>
      <c r="S13" s="21"/>
      <c r="T13" s="21"/>
      <c r="U13" s="21"/>
      <c r="V13" s="21"/>
      <c r="W13" s="21"/>
      <c r="X13" s="21"/>
      <c r="Y13" s="16" t="e">
        <f>VLOOKUP(B13,[1]nHAP!B$11:N$47,13,0)</f>
        <v>#N/A</v>
      </c>
    </row>
    <row r="14" spans="1:25" ht="46.35" customHeight="1" x14ac:dyDescent="0.3">
      <c r="A14" s="18">
        <v>2</v>
      </c>
      <c r="B14" s="19" t="s">
        <v>34</v>
      </c>
      <c r="C14" s="20"/>
      <c r="D14" s="21">
        <v>12698</v>
      </c>
      <c r="E14" s="21"/>
      <c r="F14" s="21">
        <v>12698</v>
      </c>
      <c r="G14" s="21">
        <v>6089</v>
      </c>
      <c r="H14" s="21">
        <v>6089</v>
      </c>
      <c r="I14" s="21">
        <v>3994</v>
      </c>
      <c r="J14" s="21">
        <v>3994</v>
      </c>
      <c r="K14" s="21">
        <v>6089</v>
      </c>
      <c r="L14" s="21">
        <v>6089</v>
      </c>
      <c r="M14" s="21">
        <v>3994</v>
      </c>
      <c r="N14" s="21">
        <v>3994</v>
      </c>
      <c r="O14" s="21">
        <v>12698</v>
      </c>
      <c r="P14" s="21"/>
      <c r="Q14" s="21"/>
      <c r="R14" s="21">
        <v>6089</v>
      </c>
      <c r="S14" s="21"/>
      <c r="T14" s="21"/>
      <c r="U14" s="21"/>
      <c r="V14" s="21"/>
      <c r="W14" s="21"/>
      <c r="X14" s="21"/>
      <c r="Y14" s="16" t="e">
        <f>VLOOKUP(B14,[1]nHAP!B$11:N$47,13,0)</f>
        <v>#N/A</v>
      </c>
    </row>
    <row r="15" spans="1:25" ht="47.1" customHeight="1" x14ac:dyDescent="0.3">
      <c r="A15" s="18">
        <v>3</v>
      </c>
      <c r="B15" s="19" t="s">
        <v>35</v>
      </c>
      <c r="C15" s="20"/>
      <c r="D15" s="21">
        <v>6091</v>
      </c>
      <c r="E15" s="21"/>
      <c r="F15" s="21">
        <v>6091</v>
      </c>
      <c r="G15" s="21">
        <v>1500</v>
      </c>
      <c r="H15" s="21">
        <v>1500</v>
      </c>
      <c r="I15" s="21">
        <v>1000</v>
      </c>
      <c r="J15" s="21">
        <v>1000</v>
      </c>
      <c r="K15" s="21">
        <v>1500</v>
      </c>
      <c r="L15" s="21">
        <v>1500</v>
      </c>
      <c r="M15" s="21">
        <v>1000</v>
      </c>
      <c r="N15" s="21">
        <v>1000</v>
      </c>
      <c r="O15" s="21">
        <v>6091</v>
      </c>
      <c r="P15" s="21"/>
      <c r="Q15" s="21"/>
      <c r="R15" s="21">
        <v>1500</v>
      </c>
      <c r="S15" s="21"/>
      <c r="T15" s="21"/>
      <c r="U15" s="21"/>
      <c r="V15" s="21"/>
      <c r="W15" s="21"/>
      <c r="X15" s="21"/>
      <c r="Y15" s="16" t="e">
        <f>VLOOKUP(B15,[1]nHAP!B$11:N$47,13,0)</f>
        <v>#N/A</v>
      </c>
    </row>
    <row r="16" spans="1:25" ht="46.8" x14ac:dyDescent="0.3">
      <c r="A16" s="18">
        <v>4</v>
      </c>
      <c r="B16" s="19" t="s">
        <v>36</v>
      </c>
      <c r="C16" s="20"/>
      <c r="D16" s="21">
        <v>6910</v>
      </c>
      <c r="E16" s="21"/>
      <c r="F16" s="21">
        <v>6910</v>
      </c>
      <c r="G16" s="21">
        <v>3909</v>
      </c>
      <c r="H16" s="21">
        <v>3909</v>
      </c>
      <c r="I16" s="21">
        <v>3909</v>
      </c>
      <c r="J16" s="21">
        <v>3909</v>
      </c>
      <c r="K16" s="21">
        <v>3909</v>
      </c>
      <c r="L16" s="21">
        <v>3909</v>
      </c>
      <c r="M16" s="21">
        <v>3909</v>
      </c>
      <c r="N16" s="21">
        <v>3909</v>
      </c>
      <c r="O16" s="21">
        <v>6910</v>
      </c>
      <c r="P16" s="21"/>
      <c r="Q16" s="21"/>
      <c r="R16" s="21">
        <v>3909</v>
      </c>
      <c r="S16" s="21"/>
      <c r="T16" s="21"/>
      <c r="U16" s="21"/>
      <c r="V16" s="21"/>
      <c r="W16" s="21"/>
      <c r="X16" s="21"/>
      <c r="Y16" s="16" t="e">
        <f>VLOOKUP(B16,[1]nHAP!B$11:N$47,13,0)</f>
        <v>#N/A</v>
      </c>
    </row>
    <row r="17" spans="1:25" ht="31.2" x14ac:dyDescent="0.3">
      <c r="A17" s="18">
        <v>5</v>
      </c>
      <c r="B17" s="19" t="s">
        <v>37</v>
      </c>
      <c r="C17" s="20"/>
      <c r="D17" s="21">
        <v>1152</v>
      </c>
      <c r="E17" s="21"/>
      <c r="F17" s="21">
        <v>1152</v>
      </c>
      <c r="G17" s="21">
        <v>352</v>
      </c>
      <c r="H17" s="21">
        <v>352</v>
      </c>
      <c r="I17" s="21">
        <v>352</v>
      </c>
      <c r="J17" s="21">
        <v>352</v>
      </c>
      <c r="K17" s="21">
        <v>352</v>
      </c>
      <c r="L17" s="21">
        <v>352</v>
      </c>
      <c r="M17" s="21">
        <v>352</v>
      </c>
      <c r="N17" s="21">
        <v>352</v>
      </c>
      <c r="O17" s="21">
        <v>1152</v>
      </c>
      <c r="P17" s="21"/>
      <c r="Q17" s="21"/>
      <c r="R17" s="21">
        <v>352</v>
      </c>
      <c r="S17" s="21"/>
      <c r="T17" s="21"/>
      <c r="U17" s="21"/>
      <c r="V17" s="21"/>
      <c r="W17" s="21"/>
      <c r="X17" s="21"/>
      <c r="Y17" s="16" t="e">
        <f>VLOOKUP(B17,[1]nHAP!B$11:N$47,13,0)</f>
        <v>#N/A</v>
      </c>
    </row>
    <row r="18" spans="1:25" ht="31.2" x14ac:dyDescent="0.3">
      <c r="A18" s="18">
        <v>6</v>
      </c>
      <c r="B18" s="19" t="s">
        <v>38</v>
      </c>
      <c r="C18" s="20"/>
      <c r="D18" s="21">
        <v>377</v>
      </c>
      <c r="E18" s="21"/>
      <c r="F18" s="21">
        <v>377</v>
      </c>
      <c r="G18" s="21">
        <v>77</v>
      </c>
      <c r="H18" s="21">
        <v>77</v>
      </c>
      <c r="I18" s="21">
        <v>77</v>
      </c>
      <c r="J18" s="21">
        <v>77</v>
      </c>
      <c r="K18" s="21">
        <v>77</v>
      </c>
      <c r="L18" s="21">
        <v>77</v>
      </c>
      <c r="M18" s="21">
        <v>77</v>
      </c>
      <c r="N18" s="21">
        <v>77</v>
      </c>
      <c r="O18" s="21">
        <v>377</v>
      </c>
      <c r="P18" s="21"/>
      <c r="Q18" s="21"/>
      <c r="R18" s="21">
        <v>77</v>
      </c>
      <c r="S18" s="21"/>
      <c r="T18" s="21"/>
      <c r="U18" s="21"/>
      <c r="V18" s="21"/>
      <c r="W18" s="21"/>
      <c r="X18" s="21"/>
      <c r="Y18" s="16" t="e">
        <f>VLOOKUP(B18,[1]nHAP!B$11:N$47,13,0)</f>
        <v>#N/A</v>
      </c>
    </row>
    <row r="19" spans="1:25" x14ac:dyDescent="0.3">
      <c r="A19" s="18">
        <v>7</v>
      </c>
      <c r="B19" s="19" t="s">
        <v>39</v>
      </c>
      <c r="C19" s="20"/>
      <c r="D19" s="21">
        <v>17185</v>
      </c>
      <c r="E19" s="21"/>
      <c r="F19" s="21">
        <v>17185</v>
      </c>
      <c r="G19" s="21">
        <v>1140</v>
      </c>
      <c r="H19" s="21">
        <v>1140</v>
      </c>
      <c r="I19" s="21">
        <v>0</v>
      </c>
      <c r="J19" s="21">
        <v>0</v>
      </c>
      <c r="K19" s="21">
        <v>1140</v>
      </c>
      <c r="L19" s="21">
        <v>1140</v>
      </c>
      <c r="M19" s="21">
        <v>0</v>
      </c>
      <c r="N19" s="21">
        <v>0</v>
      </c>
      <c r="O19" s="21">
        <v>17185</v>
      </c>
      <c r="P19" s="21"/>
      <c r="Q19" s="21"/>
      <c r="R19" s="21">
        <v>1140</v>
      </c>
      <c r="S19" s="21"/>
      <c r="T19" s="21"/>
      <c r="U19" s="21"/>
      <c r="V19" s="21"/>
      <c r="W19" s="21"/>
      <c r="X19" s="21"/>
      <c r="Y19" s="16" t="e">
        <f>VLOOKUP(B19,[1]nHAP!B$11:N$47,13,0)</f>
        <v>#N/A</v>
      </c>
    </row>
    <row r="20" spans="1:25" ht="46.8" x14ac:dyDescent="0.3">
      <c r="A20" s="18">
        <v>8</v>
      </c>
      <c r="B20" s="19" t="s">
        <v>40</v>
      </c>
      <c r="C20" s="20"/>
      <c r="D20" s="21">
        <v>36683</v>
      </c>
      <c r="E20" s="21"/>
      <c r="F20" s="21">
        <v>36683</v>
      </c>
      <c r="G20" s="21">
        <v>1126</v>
      </c>
      <c r="H20" s="21">
        <v>1126</v>
      </c>
      <c r="I20" s="21">
        <v>0</v>
      </c>
      <c r="J20" s="21">
        <v>0</v>
      </c>
      <c r="K20" s="21">
        <v>1126</v>
      </c>
      <c r="L20" s="21">
        <v>1126</v>
      </c>
      <c r="M20" s="21">
        <v>0</v>
      </c>
      <c r="N20" s="21">
        <v>0</v>
      </c>
      <c r="O20" s="21">
        <v>36683</v>
      </c>
      <c r="P20" s="21"/>
      <c r="Q20" s="21"/>
      <c r="R20" s="21">
        <v>1126</v>
      </c>
      <c r="S20" s="21"/>
      <c r="T20" s="21"/>
      <c r="U20" s="21"/>
      <c r="V20" s="21"/>
      <c r="W20" s="21"/>
      <c r="X20" s="21"/>
      <c r="Y20" s="16" t="e">
        <f>VLOOKUP(B20,[1]nHAP!B$11:N$47,13,0)</f>
        <v>#N/A</v>
      </c>
    </row>
    <row r="21" spans="1:25" ht="31.2" x14ac:dyDescent="0.3">
      <c r="A21" s="18">
        <v>9</v>
      </c>
      <c r="B21" s="19" t="s">
        <v>41</v>
      </c>
      <c r="C21" s="20"/>
      <c r="D21" s="21">
        <v>923</v>
      </c>
      <c r="E21" s="21"/>
      <c r="F21" s="21">
        <v>923</v>
      </c>
      <c r="G21" s="21">
        <v>523</v>
      </c>
      <c r="H21" s="21">
        <v>523</v>
      </c>
      <c r="I21" s="21">
        <v>523</v>
      </c>
      <c r="J21" s="21">
        <v>523</v>
      </c>
      <c r="K21" s="21">
        <v>523</v>
      </c>
      <c r="L21" s="21">
        <v>523</v>
      </c>
      <c r="M21" s="21">
        <v>523</v>
      </c>
      <c r="N21" s="21">
        <v>523</v>
      </c>
      <c r="O21" s="21">
        <v>923</v>
      </c>
      <c r="P21" s="21"/>
      <c r="Q21" s="21"/>
      <c r="R21" s="21">
        <v>523</v>
      </c>
      <c r="S21" s="21"/>
      <c r="T21" s="21"/>
      <c r="U21" s="21"/>
      <c r="V21" s="21"/>
      <c r="W21" s="21"/>
      <c r="X21" s="21"/>
      <c r="Y21" s="16" t="e">
        <f>VLOOKUP(B21,[1]nHAP!B$11:N$47,13,0)</f>
        <v>#N/A</v>
      </c>
    </row>
    <row r="22" spans="1:25" ht="31.2" x14ac:dyDescent="0.3">
      <c r="A22" s="18">
        <v>10</v>
      </c>
      <c r="B22" s="19" t="s">
        <v>42</v>
      </c>
      <c r="C22" s="20"/>
      <c r="D22" s="21">
        <v>884</v>
      </c>
      <c r="E22" s="21"/>
      <c r="F22" s="21">
        <v>884</v>
      </c>
      <c r="G22" s="21">
        <v>484</v>
      </c>
      <c r="H22" s="21">
        <v>484</v>
      </c>
      <c r="I22" s="21">
        <v>484</v>
      </c>
      <c r="J22" s="21">
        <v>484</v>
      </c>
      <c r="K22" s="21">
        <v>484</v>
      </c>
      <c r="L22" s="21">
        <v>484</v>
      </c>
      <c r="M22" s="21">
        <v>484</v>
      </c>
      <c r="N22" s="21">
        <v>484</v>
      </c>
      <c r="O22" s="21">
        <v>884</v>
      </c>
      <c r="P22" s="21"/>
      <c r="Q22" s="21"/>
      <c r="R22" s="21">
        <v>484</v>
      </c>
      <c r="S22" s="21"/>
      <c r="T22" s="21"/>
      <c r="U22" s="21"/>
      <c r="V22" s="21"/>
      <c r="W22" s="21"/>
      <c r="X22" s="21"/>
      <c r="Y22" s="16" t="e">
        <f>VLOOKUP(B22,[1]nHAP!B$11:N$47,13,0)</f>
        <v>#N/A</v>
      </c>
    </row>
    <row r="23" spans="1:25" ht="31.2" x14ac:dyDescent="0.3">
      <c r="A23" s="18">
        <v>11</v>
      </c>
      <c r="B23" s="19" t="s">
        <v>43</v>
      </c>
      <c r="C23" s="20"/>
      <c r="D23" s="21">
        <v>791</v>
      </c>
      <c r="E23" s="21"/>
      <c r="F23" s="21">
        <v>791</v>
      </c>
      <c r="G23" s="21">
        <v>383</v>
      </c>
      <c r="H23" s="21">
        <v>383</v>
      </c>
      <c r="I23" s="21">
        <v>383</v>
      </c>
      <c r="J23" s="21">
        <v>383</v>
      </c>
      <c r="K23" s="21">
        <v>383</v>
      </c>
      <c r="L23" s="21">
        <v>383</v>
      </c>
      <c r="M23" s="21">
        <v>383</v>
      </c>
      <c r="N23" s="21">
        <v>383</v>
      </c>
      <c r="O23" s="21">
        <v>791</v>
      </c>
      <c r="P23" s="21"/>
      <c r="Q23" s="21"/>
      <c r="R23" s="21">
        <v>383</v>
      </c>
      <c r="S23" s="21"/>
      <c r="T23" s="21"/>
      <c r="U23" s="21"/>
      <c r="V23" s="21"/>
      <c r="W23" s="21"/>
      <c r="X23" s="21"/>
      <c r="Y23" s="16" t="e">
        <f>VLOOKUP(B23,[1]nHAP!B$11:N$47,13,0)</f>
        <v>#N/A</v>
      </c>
    </row>
    <row r="24" spans="1:25" ht="46.8" x14ac:dyDescent="0.3">
      <c r="A24" s="18">
        <v>11</v>
      </c>
      <c r="B24" s="19" t="s">
        <v>118</v>
      </c>
      <c r="C24" s="20"/>
      <c r="D24" s="21">
        <v>10292</v>
      </c>
      <c r="E24" s="21"/>
      <c r="F24" s="21">
        <v>10292</v>
      </c>
      <c r="G24" s="21"/>
      <c r="H24" s="21"/>
      <c r="I24" s="21"/>
      <c r="J24" s="21"/>
      <c r="K24" s="21"/>
      <c r="L24" s="21"/>
      <c r="M24" s="21"/>
      <c r="N24" s="21"/>
      <c r="O24" s="21"/>
      <c r="P24" s="21"/>
      <c r="Q24" s="21"/>
      <c r="R24" s="21"/>
      <c r="S24" s="21"/>
      <c r="T24" s="21"/>
      <c r="U24" s="21">
        <v>1000</v>
      </c>
      <c r="V24" s="21"/>
      <c r="W24" s="21"/>
      <c r="X24" s="21"/>
      <c r="Y24" s="22">
        <f>VLOOKUP(B24,[1]nHAP!B$11:N$47,13,0)</f>
        <v>1000</v>
      </c>
    </row>
    <row r="25" spans="1:25" s="17" customFormat="1" x14ac:dyDescent="0.3">
      <c r="A25" s="11" t="s">
        <v>18</v>
      </c>
      <c r="B25" s="14" t="s">
        <v>44</v>
      </c>
      <c r="C25" s="10"/>
      <c r="D25" s="15">
        <f>SUM(D26:D36)</f>
        <v>36388</v>
      </c>
      <c r="E25" s="15">
        <f t="shared" ref="E25:X25" si="3">SUM(E26:E36)</f>
        <v>0</v>
      </c>
      <c r="F25" s="15">
        <f t="shared" si="3"/>
        <v>36388</v>
      </c>
      <c r="G25" s="15">
        <f t="shared" si="3"/>
        <v>4939</v>
      </c>
      <c r="H25" s="15">
        <f t="shared" si="3"/>
        <v>4939</v>
      </c>
      <c r="I25" s="15">
        <f t="shared" si="3"/>
        <v>1965.12</v>
      </c>
      <c r="J25" s="15">
        <f t="shared" si="3"/>
        <v>1965.12</v>
      </c>
      <c r="K25" s="15">
        <f t="shared" si="3"/>
        <v>4939</v>
      </c>
      <c r="L25" s="15">
        <f t="shared" si="3"/>
        <v>4939</v>
      </c>
      <c r="M25" s="15">
        <f t="shared" si="3"/>
        <v>1965.12</v>
      </c>
      <c r="N25" s="15">
        <f t="shared" si="3"/>
        <v>1965.12</v>
      </c>
      <c r="O25" s="15">
        <f t="shared" si="3"/>
        <v>19953</v>
      </c>
      <c r="P25" s="15">
        <f t="shared" si="3"/>
        <v>0</v>
      </c>
      <c r="Q25" s="15">
        <f t="shared" si="3"/>
        <v>0</v>
      </c>
      <c r="R25" s="15">
        <f t="shared" si="3"/>
        <v>4939</v>
      </c>
      <c r="S25" s="15">
        <f t="shared" si="3"/>
        <v>0</v>
      </c>
      <c r="T25" s="15">
        <f t="shared" si="3"/>
        <v>0</v>
      </c>
      <c r="U25" s="15">
        <f t="shared" si="3"/>
        <v>1788</v>
      </c>
      <c r="V25" s="15">
        <f t="shared" si="3"/>
        <v>0</v>
      </c>
      <c r="W25" s="15">
        <f t="shared" si="3"/>
        <v>0</v>
      </c>
      <c r="X25" s="15">
        <f t="shared" si="3"/>
        <v>0</v>
      </c>
      <c r="Y25" s="16" t="e">
        <f>VLOOKUP(B25,[1]nHAP!B$11:N$47,13,0)</f>
        <v>#N/A</v>
      </c>
    </row>
    <row r="26" spans="1:25" ht="31.2" x14ac:dyDescent="0.3">
      <c r="A26" s="18">
        <v>1</v>
      </c>
      <c r="B26" s="19" t="s">
        <v>45</v>
      </c>
      <c r="C26" s="20"/>
      <c r="D26" s="21">
        <v>3601</v>
      </c>
      <c r="E26" s="21"/>
      <c r="F26" s="21">
        <v>3601</v>
      </c>
      <c r="G26" s="21">
        <v>17</v>
      </c>
      <c r="H26" s="21">
        <v>17</v>
      </c>
      <c r="I26" s="21">
        <v>0</v>
      </c>
      <c r="J26" s="21">
        <v>0</v>
      </c>
      <c r="K26" s="21">
        <v>17</v>
      </c>
      <c r="L26" s="21">
        <v>17</v>
      </c>
      <c r="M26" s="21">
        <v>0</v>
      </c>
      <c r="N26" s="21">
        <v>0</v>
      </c>
      <c r="O26" s="21">
        <v>3601</v>
      </c>
      <c r="P26" s="21"/>
      <c r="Q26" s="21"/>
      <c r="R26" s="21">
        <v>17</v>
      </c>
      <c r="S26" s="21"/>
      <c r="T26" s="21"/>
      <c r="U26" s="21"/>
      <c r="V26" s="21"/>
      <c r="W26" s="21"/>
      <c r="X26" s="21"/>
      <c r="Y26" s="16" t="e">
        <f>VLOOKUP(B26,[1]nHAP!B$11:N$47,13,0)</f>
        <v>#N/A</v>
      </c>
    </row>
    <row r="27" spans="1:25" ht="46.8" x14ac:dyDescent="0.3">
      <c r="A27" s="18">
        <v>2</v>
      </c>
      <c r="B27" s="19" t="s">
        <v>46</v>
      </c>
      <c r="C27" s="20"/>
      <c r="D27" s="21">
        <v>2332</v>
      </c>
      <c r="E27" s="21"/>
      <c r="F27" s="21">
        <v>2332</v>
      </c>
      <c r="G27" s="21">
        <v>32</v>
      </c>
      <c r="H27" s="21">
        <v>32</v>
      </c>
      <c r="I27" s="21">
        <v>0</v>
      </c>
      <c r="J27" s="21">
        <v>0</v>
      </c>
      <c r="K27" s="21">
        <v>32</v>
      </c>
      <c r="L27" s="21">
        <v>32</v>
      </c>
      <c r="M27" s="21">
        <v>0</v>
      </c>
      <c r="N27" s="21">
        <v>0</v>
      </c>
      <c r="O27" s="21">
        <v>2332</v>
      </c>
      <c r="P27" s="21"/>
      <c r="Q27" s="21"/>
      <c r="R27" s="21">
        <v>32</v>
      </c>
      <c r="S27" s="21"/>
      <c r="T27" s="21"/>
      <c r="U27" s="21"/>
      <c r="V27" s="21"/>
      <c r="W27" s="21"/>
      <c r="X27" s="21"/>
      <c r="Y27" s="16" t="e">
        <f>VLOOKUP(B27,[1]nHAP!B$11:N$47,13,0)</f>
        <v>#N/A</v>
      </c>
    </row>
    <row r="28" spans="1:25" ht="31.2" x14ac:dyDescent="0.3">
      <c r="A28" s="18">
        <v>3</v>
      </c>
      <c r="B28" s="19" t="s">
        <v>47</v>
      </c>
      <c r="C28" s="20"/>
      <c r="D28" s="21">
        <v>4404</v>
      </c>
      <c r="E28" s="21"/>
      <c r="F28" s="21">
        <v>4404</v>
      </c>
      <c r="G28" s="21">
        <v>844</v>
      </c>
      <c r="H28" s="21">
        <v>844</v>
      </c>
      <c r="I28" s="21">
        <v>0</v>
      </c>
      <c r="J28" s="21">
        <v>0</v>
      </c>
      <c r="K28" s="21">
        <v>844</v>
      </c>
      <c r="L28" s="21">
        <v>844</v>
      </c>
      <c r="M28" s="21">
        <v>0</v>
      </c>
      <c r="N28" s="21">
        <v>0</v>
      </c>
      <c r="O28" s="21">
        <v>4404</v>
      </c>
      <c r="P28" s="21"/>
      <c r="Q28" s="21"/>
      <c r="R28" s="21">
        <v>844</v>
      </c>
      <c r="S28" s="21"/>
      <c r="T28" s="21"/>
      <c r="U28" s="21"/>
      <c r="V28" s="21"/>
      <c r="W28" s="21"/>
      <c r="X28" s="21"/>
      <c r="Y28" s="16" t="e">
        <f>VLOOKUP(B28,[1]nHAP!B$11:N$47,13,0)</f>
        <v>#N/A</v>
      </c>
    </row>
    <row r="29" spans="1:25" ht="54" customHeight="1" x14ac:dyDescent="0.3">
      <c r="A29" s="18">
        <v>4</v>
      </c>
      <c r="B29" s="19" t="s">
        <v>48</v>
      </c>
      <c r="C29" s="20"/>
      <c r="D29" s="21">
        <v>2822</v>
      </c>
      <c r="E29" s="21"/>
      <c r="F29" s="21">
        <v>2822</v>
      </c>
      <c r="G29" s="21">
        <v>1322</v>
      </c>
      <c r="H29" s="21">
        <v>1322</v>
      </c>
      <c r="I29" s="21">
        <v>1321.12</v>
      </c>
      <c r="J29" s="21">
        <v>1321.12</v>
      </c>
      <c r="K29" s="21">
        <v>1322</v>
      </c>
      <c r="L29" s="21">
        <v>1322</v>
      </c>
      <c r="M29" s="21">
        <v>1321.12</v>
      </c>
      <c r="N29" s="21">
        <v>1321.12</v>
      </c>
      <c r="O29" s="21">
        <v>2822</v>
      </c>
      <c r="P29" s="21"/>
      <c r="Q29" s="21"/>
      <c r="R29" s="21">
        <v>1322</v>
      </c>
      <c r="S29" s="21"/>
      <c r="T29" s="21"/>
      <c r="U29" s="21"/>
      <c r="V29" s="21"/>
      <c r="W29" s="21"/>
      <c r="X29" s="21"/>
      <c r="Y29" s="16" t="e">
        <f>VLOOKUP(B29,[1]nHAP!B$11:N$47,13,0)</f>
        <v>#N/A</v>
      </c>
    </row>
    <row r="30" spans="1:25" ht="62.4" x14ac:dyDescent="0.3">
      <c r="A30" s="18">
        <v>5</v>
      </c>
      <c r="B30" s="19" t="s">
        <v>49</v>
      </c>
      <c r="C30" s="20"/>
      <c r="D30" s="21">
        <v>1117</v>
      </c>
      <c r="E30" s="21"/>
      <c r="F30" s="21">
        <v>1117</v>
      </c>
      <c r="G30" s="21">
        <v>317</v>
      </c>
      <c r="H30" s="21">
        <v>317</v>
      </c>
      <c r="I30" s="21">
        <v>317</v>
      </c>
      <c r="J30" s="21">
        <v>317</v>
      </c>
      <c r="K30" s="21">
        <v>317</v>
      </c>
      <c r="L30" s="21">
        <v>317</v>
      </c>
      <c r="M30" s="21">
        <v>317</v>
      </c>
      <c r="N30" s="21">
        <v>317</v>
      </c>
      <c r="O30" s="21">
        <v>1117</v>
      </c>
      <c r="P30" s="21"/>
      <c r="Q30" s="21"/>
      <c r="R30" s="21">
        <v>317</v>
      </c>
      <c r="S30" s="21"/>
      <c r="T30" s="21"/>
      <c r="U30" s="21"/>
      <c r="V30" s="21"/>
      <c r="W30" s="21"/>
      <c r="X30" s="21"/>
      <c r="Y30" s="16" t="e">
        <f>VLOOKUP(B30,[1]nHAP!B$11:N$47,13,0)</f>
        <v>#N/A</v>
      </c>
    </row>
    <row r="31" spans="1:25" ht="53.1" customHeight="1" x14ac:dyDescent="0.3">
      <c r="A31" s="18">
        <v>6</v>
      </c>
      <c r="B31" s="19" t="s">
        <v>50</v>
      </c>
      <c r="C31" s="20"/>
      <c r="D31" s="21">
        <v>1180</v>
      </c>
      <c r="E31" s="21"/>
      <c r="F31" s="21">
        <v>1180</v>
      </c>
      <c r="G31" s="21">
        <v>380</v>
      </c>
      <c r="H31" s="21">
        <v>380</v>
      </c>
      <c r="I31" s="21">
        <v>0</v>
      </c>
      <c r="J31" s="21">
        <v>0</v>
      </c>
      <c r="K31" s="21">
        <v>380</v>
      </c>
      <c r="L31" s="21">
        <v>380</v>
      </c>
      <c r="M31" s="21">
        <v>0</v>
      </c>
      <c r="N31" s="21">
        <v>0</v>
      </c>
      <c r="O31" s="21">
        <v>1180</v>
      </c>
      <c r="P31" s="21"/>
      <c r="Q31" s="21"/>
      <c r="R31" s="21">
        <v>380</v>
      </c>
      <c r="S31" s="21"/>
      <c r="T31" s="21"/>
      <c r="U31" s="21"/>
      <c r="V31" s="21"/>
      <c r="W31" s="21"/>
      <c r="X31" s="21"/>
      <c r="Y31" s="16" t="e">
        <f>VLOOKUP(B31,[1]nHAP!B$11:N$47,13,0)</f>
        <v>#N/A</v>
      </c>
    </row>
    <row r="32" spans="1:25" ht="31.2" x14ac:dyDescent="0.3">
      <c r="A32" s="18">
        <v>7</v>
      </c>
      <c r="B32" s="19" t="s">
        <v>51</v>
      </c>
      <c r="C32" s="20"/>
      <c r="D32" s="21">
        <v>797</v>
      </c>
      <c r="E32" s="21"/>
      <c r="F32" s="21">
        <v>797</v>
      </c>
      <c r="G32" s="21">
        <v>327</v>
      </c>
      <c r="H32" s="21">
        <v>327</v>
      </c>
      <c r="I32" s="21">
        <v>327</v>
      </c>
      <c r="J32" s="21">
        <v>327</v>
      </c>
      <c r="K32" s="21">
        <v>327</v>
      </c>
      <c r="L32" s="21">
        <v>327</v>
      </c>
      <c r="M32" s="21">
        <v>327</v>
      </c>
      <c r="N32" s="21">
        <v>327</v>
      </c>
      <c r="O32" s="21">
        <v>797</v>
      </c>
      <c r="P32" s="21"/>
      <c r="Q32" s="21"/>
      <c r="R32" s="21">
        <v>327</v>
      </c>
      <c r="S32" s="21"/>
      <c r="T32" s="21"/>
      <c r="U32" s="21"/>
      <c r="V32" s="21"/>
      <c r="W32" s="21"/>
      <c r="X32" s="21"/>
      <c r="Y32" s="16" t="e">
        <f>VLOOKUP(B32,[1]nHAP!B$11:N$47,13,0)</f>
        <v>#N/A</v>
      </c>
    </row>
    <row r="33" spans="1:25" ht="46.8" x14ac:dyDescent="0.3">
      <c r="A33" s="18">
        <v>8</v>
      </c>
      <c r="B33" s="19" t="s">
        <v>52</v>
      </c>
      <c r="C33" s="20"/>
      <c r="D33" s="21">
        <v>3700</v>
      </c>
      <c r="E33" s="21"/>
      <c r="F33" s="21">
        <v>3700</v>
      </c>
      <c r="G33" s="21">
        <v>1700</v>
      </c>
      <c r="H33" s="21">
        <v>1700</v>
      </c>
      <c r="I33" s="21">
        <v>0</v>
      </c>
      <c r="J33" s="21">
        <v>0</v>
      </c>
      <c r="K33" s="21">
        <v>1700</v>
      </c>
      <c r="L33" s="21">
        <v>1700</v>
      </c>
      <c r="M33" s="21">
        <v>0</v>
      </c>
      <c r="N33" s="21">
        <v>0</v>
      </c>
      <c r="O33" s="21">
        <v>3700</v>
      </c>
      <c r="P33" s="21"/>
      <c r="Q33" s="21"/>
      <c r="R33" s="21">
        <v>1700</v>
      </c>
      <c r="S33" s="21"/>
      <c r="T33" s="21"/>
      <c r="U33" s="21"/>
      <c r="V33" s="21"/>
      <c r="W33" s="21"/>
      <c r="X33" s="21"/>
      <c r="Y33" s="16" t="e">
        <f>VLOOKUP(B33,[1]nHAP!B$11:N$47,13,0)</f>
        <v>#N/A</v>
      </c>
    </row>
    <row r="34" spans="1:25" ht="62.4" x14ac:dyDescent="0.3">
      <c r="A34" s="18">
        <v>9</v>
      </c>
      <c r="B34" s="19" t="s">
        <v>116</v>
      </c>
      <c r="C34" s="20"/>
      <c r="D34" s="21">
        <v>14585</v>
      </c>
      <c r="E34" s="21"/>
      <c r="F34" s="21">
        <v>14585</v>
      </c>
      <c r="G34" s="21"/>
      <c r="H34" s="21"/>
      <c r="I34" s="21"/>
      <c r="J34" s="21"/>
      <c r="K34" s="21"/>
      <c r="L34" s="21"/>
      <c r="M34" s="21"/>
      <c r="N34" s="21"/>
      <c r="O34" s="21"/>
      <c r="P34" s="21"/>
      <c r="Q34" s="21"/>
      <c r="R34" s="21"/>
      <c r="S34" s="21"/>
      <c r="T34" s="21"/>
      <c r="U34" s="21">
        <v>938</v>
      </c>
      <c r="V34" s="21"/>
      <c r="W34" s="21"/>
      <c r="X34" s="21"/>
      <c r="Y34" s="22">
        <f>VLOOKUP(B34,[1]nHAP!B$11:N$47,13,0)</f>
        <v>938</v>
      </c>
    </row>
    <row r="35" spans="1:25" ht="65.400000000000006" customHeight="1" x14ac:dyDescent="0.3">
      <c r="A35" s="18">
        <v>10</v>
      </c>
      <c r="B35" s="19" t="s">
        <v>119</v>
      </c>
      <c r="C35" s="20"/>
      <c r="D35" s="21">
        <v>891</v>
      </c>
      <c r="E35" s="21"/>
      <c r="F35" s="21">
        <v>891</v>
      </c>
      <c r="G35" s="21"/>
      <c r="H35" s="21"/>
      <c r="I35" s="21"/>
      <c r="J35" s="21"/>
      <c r="K35" s="21"/>
      <c r="L35" s="21"/>
      <c r="M35" s="21"/>
      <c r="N35" s="21"/>
      <c r="O35" s="21"/>
      <c r="P35" s="21"/>
      <c r="Q35" s="21"/>
      <c r="R35" s="21"/>
      <c r="S35" s="21"/>
      <c r="T35" s="21"/>
      <c r="U35" s="21">
        <v>391</v>
      </c>
      <c r="V35" s="21"/>
      <c r="W35" s="21"/>
      <c r="X35" s="21"/>
      <c r="Y35" s="22">
        <f>VLOOKUP(B35,[1]nHAP!B$11:N$47,13,0)</f>
        <v>391</v>
      </c>
    </row>
    <row r="36" spans="1:25" ht="46.8" x14ac:dyDescent="0.3">
      <c r="A36" s="18">
        <v>11</v>
      </c>
      <c r="B36" s="19" t="s">
        <v>120</v>
      </c>
      <c r="C36" s="20"/>
      <c r="D36" s="21">
        <v>959</v>
      </c>
      <c r="E36" s="21"/>
      <c r="F36" s="21">
        <v>959</v>
      </c>
      <c r="G36" s="21"/>
      <c r="H36" s="21"/>
      <c r="I36" s="21"/>
      <c r="J36" s="21"/>
      <c r="K36" s="21"/>
      <c r="L36" s="21"/>
      <c r="M36" s="21"/>
      <c r="N36" s="21"/>
      <c r="O36" s="21"/>
      <c r="P36" s="21"/>
      <c r="Q36" s="21"/>
      <c r="R36" s="21"/>
      <c r="S36" s="21"/>
      <c r="T36" s="21"/>
      <c r="U36" s="21">
        <v>459</v>
      </c>
      <c r="V36" s="21"/>
      <c r="W36" s="21"/>
      <c r="X36" s="21"/>
      <c r="Y36" s="22">
        <f>VLOOKUP(B36,[1]nHAP!B$11:N$47,13,0)</f>
        <v>459</v>
      </c>
    </row>
    <row r="37" spans="1:25" s="17" customFormat="1" x14ac:dyDescent="0.3">
      <c r="A37" s="11" t="s">
        <v>18</v>
      </c>
      <c r="B37" s="14" t="s">
        <v>53</v>
      </c>
      <c r="C37" s="10"/>
      <c r="D37" s="15">
        <f>SUM(D38:D45)</f>
        <v>6891</v>
      </c>
      <c r="E37" s="15">
        <f t="shared" ref="E37:X37" si="4">SUM(E38:E45)</f>
        <v>0</v>
      </c>
      <c r="F37" s="15">
        <f t="shared" si="4"/>
        <v>6891</v>
      </c>
      <c r="G37" s="15">
        <f t="shared" si="4"/>
        <v>2518</v>
      </c>
      <c r="H37" s="15">
        <f t="shared" si="4"/>
        <v>2518</v>
      </c>
      <c r="I37" s="15">
        <f t="shared" si="4"/>
        <v>680</v>
      </c>
      <c r="J37" s="15">
        <f t="shared" si="4"/>
        <v>680</v>
      </c>
      <c r="K37" s="15">
        <f t="shared" si="4"/>
        <v>2518</v>
      </c>
      <c r="L37" s="15">
        <f t="shared" si="4"/>
        <v>2518</v>
      </c>
      <c r="M37" s="15">
        <f t="shared" si="4"/>
        <v>680</v>
      </c>
      <c r="N37" s="15">
        <f t="shared" si="4"/>
        <v>680</v>
      </c>
      <c r="O37" s="15">
        <f t="shared" si="4"/>
        <v>6891</v>
      </c>
      <c r="P37" s="15">
        <f t="shared" si="4"/>
        <v>0</v>
      </c>
      <c r="Q37" s="15">
        <f t="shared" si="4"/>
        <v>0</v>
      </c>
      <c r="R37" s="15">
        <f t="shared" si="4"/>
        <v>2518</v>
      </c>
      <c r="S37" s="15">
        <f t="shared" si="4"/>
        <v>0</v>
      </c>
      <c r="T37" s="15">
        <f t="shared" si="4"/>
        <v>0</v>
      </c>
      <c r="U37" s="15">
        <f t="shared" si="4"/>
        <v>0</v>
      </c>
      <c r="V37" s="15">
        <f t="shared" si="4"/>
        <v>0</v>
      </c>
      <c r="W37" s="15">
        <f t="shared" si="4"/>
        <v>0</v>
      </c>
      <c r="X37" s="15">
        <f t="shared" si="4"/>
        <v>0</v>
      </c>
      <c r="Y37" s="16" t="e">
        <f>VLOOKUP(B37,[1]nHAP!B$11:N$47,13,0)</f>
        <v>#N/A</v>
      </c>
    </row>
    <row r="38" spans="1:25" ht="31.2" x14ac:dyDescent="0.3">
      <c r="A38" s="18">
        <v>1</v>
      </c>
      <c r="B38" s="19" t="s">
        <v>54</v>
      </c>
      <c r="C38" s="20"/>
      <c r="D38" s="21">
        <v>550</v>
      </c>
      <c r="E38" s="21"/>
      <c r="F38" s="21">
        <v>550</v>
      </c>
      <c r="G38" s="21">
        <v>200</v>
      </c>
      <c r="H38" s="21">
        <v>200</v>
      </c>
      <c r="I38" s="21">
        <v>200</v>
      </c>
      <c r="J38" s="21">
        <v>200</v>
      </c>
      <c r="K38" s="21">
        <v>200</v>
      </c>
      <c r="L38" s="21">
        <v>200</v>
      </c>
      <c r="M38" s="21">
        <v>200</v>
      </c>
      <c r="N38" s="21">
        <v>200</v>
      </c>
      <c r="O38" s="21">
        <v>550</v>
      </c>
      <c r="P38" s="21"/>
      <c r="Q38" s="21"/>
      <c r="R38" s="21">
        <v>200</v>
      </c>
      <c r="S38" s="21"/>
      <c r="T38" s="21"/>
      <c r="U38" s="21"/>
      <c r="V38" s="21"/>
      <c r="W38" s="21"/>
      <c r="X38" s="21"/>
      <c r="Y38" s="16" t="e">
        <f>VLOOKUP(B38,[1]nHAP!B$11:N$47,13,0)</f>
        <v>#N/A</v>
      </c>
    </row>
    <row r="39" spans="1:25" ht="46.8" x14ac:dyDescent="0.3">
      <c r="A39" s="18">
        <v>2</v>
      </c>
      <c r="B39" s="19" t="s">
        <v>55</v>
      </c>
      <c r="C39" s="20"/>
      <c r="D39" s="21">
        <v>223</v>
      </c>
      <c r="E39" s="21"/>
      <c r="F39" s="21">
        <v>223</v>
      </c>
      <c r="G39" s="21">
        <v>173</v>
      </c>
      <c r="H39" s="21">
        <v>173</v>
      </c>
      <c r="I39" s="21">
        <v>173</v>
      </c>
      <c r="J39" s="21">
        <v>173</v>
      </c>
      <c r="K39" s="21">
        <v>173</v>
      </c>
      <c r="L39" s="21">
        <v>173</v>
      </c>
      <c r="M39" s="21">
        <v>173</v>
      </c>
      <c r="N39" s="21">
        <v>173</v>
      </c>
      <c r="O39" s="21">
        <v>223</v>
      </c>
      <c r="P39" s="21"/>
      <c r="Q39" s="21"/>
      <c r="R39" s="21">
        <v>173</v>
      </c>
      <c r="S39" s="21"/>
      <c r="T39" s="21"/>
      <c r="U39" s="21"/>
      <c r="V39" s="21"/>
      <c r="W39" s="21"/>
      <c r="X39" s="21"/>
      <c r="Y39" s="16" t="e">
        <f>VLOOKUP(B39,[1]nHAP!B$11:N$47,13,0)</f>
        <v>#N/A</v>
      </c>
    </row>
    <row r="40" spans="1:25" ht="31.2" x14ac:dyDescent="0.3">
      <c r="A40" s="18">
        <v>3</v>
      </c>
      <c r="B40" s="19" t="s">
        <v>56</v>
      </c>
      <c r="C40" s="20"/>
      <c r="D40" s="21">
        <v>369</v>
      </c>
      <c r="E40" s="21"/>
      <c r="F40" s="21">
        <v>369</v>
      </c>
      <c r="G40" s="21">
        <v>119</v>
      </c>
      <c r="H40" s="21">
        <v>119</v>
      </c>
      <c r="I40" s="21">
        <v>0</v>
      </c>
      <c r="J40" s="21">
        <v>0</v>
      </c>
      <c r="K40" s="21">
        <v>119</v>
      </c>
      <c r="L40" s="21">
        <v>119</v>
      </c>
      <c r="M40" s="21">
        <v>0</v>
      </c>
      <c r="N40" s="21">
        <v>0</v>
      </c>
      <c r="O40" s="21">
        <v>369</v>
      </c>
      <c r="P40" s="21"/>
      <c r="Q40" s="21"/>
      <c r="R40" s="21">
        <v>119</v>
      </c>
      <c r="S40" s="21"/>
      <c r="T40" s="21"/>
      <c r="U40" s="21"/>
      <c r="V40" s="21"/>
      <c r="W40" s="21"/>
      <c r="X40" s="21"/>
      <c r="Y40" s="16" t="e">
        <f>VLOOKUP(B40,[1]nHAP!B$11:N$47,13,0)</f>
        <v>#N/A</v>
      </c>
    </row>
    <row r="41" spans="1:25" ht="46.8" x14ac:dyDescent="0.3">
      <c r="A41" s="18">
        <v>4</v>
      </c>
      <c r="B41" s="19" t="s">
        <v>57</v>
      </c>
      <c r="C41" s="20"/>
      <c r="D41" s="21">
        <v>405</v>
      </c>
      <c r="E41" s="21"/>
      <c r="F41" s="21">
        <v>405</v>
      </c>
      <c r="G41" s="21">
        <v>55</v>
      </c>
      <c r="H41" s="21">
        <v>55</v>
      </c>
      <c r="I41" s="21">
        <v>0</v>
      </c>
      <c r="J41" s="21">
        <v>0</v>
      </c>
      <c r="K41" s="21">
        <v>55</v>
      </c>
      <c r="L41" s="21">
        <v>55</v>
      </c>
      <c r="M41" s="21">
        <v>0</v>
      </c>
      <c r="N41" s="21">
        <v>0</v>
      </c>
      <c r="O41" s="21">
        <v>405</v>
      </c>
      <c r="P41" s="21"/>
      <c r="Q41" s="21"/>
      <c r="R41" s="21">
        <v>55</v>
      </c>
      <c r="S41" s="21"/>
      <c r="T41" s="21"/>
      <c r="U41" s="21"/>
      <c r="V41" s="21"/>
      <c r="W41" s="21"/>
      <c r="X41" s="21"/>
      <c r="Y41" s="16" t="e">
        <f>VLOOKUP(B41,[1]nHAP!B$11:N$47,13,0)</f>
        <v>#N/A</v>
      </c>
    </row>
    <row r="42" spans="1:25" ht="31.2" x14ac:dyDescent="0.3">
      <c r="A42" s="18">
        <v>5</v>
      </c>
      <c r="B42" s="19" t="s">
        <v>58</v>
      </c>
      <c r="C42" s="20"/>
      <c r="D42" s="21">
        <v>1244</v>
      </c>
      <c r="E42" s="21"/>
      <c r="F42" s="21">
        <v>1244</v>
      </c>
      <c r="G42" s="21">
        <v>164</v>
      </c>
      <c r="H42" s="21">
        <v>164</v>
      </c>
      <c r="I42" s="21">
        <v>0</v>
      </c>
      <c r="J42" s="21">
        <v>0</v>
      </c>
      <c r="K42" s="21">
        <v>164</v>
      </c>
      <c r="L42" s="21">
        <v>164</v>
      </c>
      <c r="M42" s="21">
        <v>0</v>
      </c>
      <c r="N42" s="21">
        <v>0</v>
      </c>
      <c r="O42" s="21">
        <v>1244</v>
      </c>
      <c r="P42" s="21"/>
      <c r="Q42" s="21"/>
      <c r="R42" s="21">
        <v>164</v>
      </c>
      <c r="S42" s="21"/>
      <c r="T42" s="21"/>
      <c r="U42" s="21"/>
      <c r="V42" s="21"/>
      <c r="W42" s="21"/>
      <c r="X42" s="21"/>
      <c r="Y42" s="16" t="e">
        <f>VLOOKUP(B42,[1]nHAP!B$11:N$47,13,0)</f>
        <v>#N/A</v>
      </c>
    </row>
    <row r="43" spans="1:25" ht="31.2" x14ac:dyDescent="0.3">
      <c r="A43" s="18">
        <v>6</v>
      </c>
      <c r="B43" s="19" t="s">
        <v>59</v>
      </c>
      <c r="C43" s="20"/>
      <c r="D43" s="21">
        <v>3000</v>
      </c>
      <c r="E43" s="21"/>
      <c r="F43" s="21">
        <v>3000</v>
      </c>
      <c r="G43" s="21">
        <v>1500</v>
      </c>
      <c r="H43" s="21">
        <v>1500</v>
      </c>
      <c r="I43" s="21">
        <v>0</v>
      </c>
      <c r="J43" s="21">
        <v>0</v>
      </c>
      <c r="K43" s="21">
        <v>1500</v>
      </c>
      <c r="L43" s="21">
        <v>1500</v>
      </c>
      <c r="M43" s="21">
        <v>0</v>
      </c>
      <c r="N43" s="21">
        <v>0</v>
      </c>
      <c r="O43" s="21">
        <v>3000</v>
      </c>
      <c r="P43" s="21"/>
      <c r="Q43" s="21"/>
      <c r="R43" s="21">
        <v>1500</v>
      </c>
      <c r="S43" s="21"/>
      <c r="T43" s="21"/>
      <c r="U43" s="21"/>
      <c r="V43" s="21"/>
      <c r="W43" s="21"/>
      <c r="X43" s="21"/>
      <c r="Y43" s="16" t="e">
        <f>VLOOKUP(B43,[1]nHAP!B$11:N$47,13,0)</f>
        <v>#N/A</v>
      </c>
    </row>
    <row r="44" spans="1:25" ht="31.2" x14ac:dyDescent="0.3">
      <c r="A44" s="18">
        <v>7</v>
      </c>
      <c r="B44" s="19" t="s">
        <v>60</v>
      </c>
      <c r="C44" s="20"/>
      <c r="D44" s="21">
        <v>626</v>
      </c>
      <c r="E44" s="21"/>
      <c r="F44" s="21">
        <v>626</v>
      </c>
      <c r="G44" s="21">
        <v>276</v>
      </c>
      <c r="H44" s="21">
        <v>276</v>
      </c>
      <c r="I44" s="21">
        <v>276</v>
      </c>
      <c r="J44" s="21">
        <v>276</v>
      </c>
      <c r="K44" s="21">
        <v>276</v>
      </c>
      <c r="L44" s="21">
        <v>276</v>
      </c>
      <c r="M44" s="21">
        <v>276</v>
      </c>
      <c r="N44" s="21">
        <v>276</v>
      </c>
      <c r="O44" s="21">
        <v>626</v>
      </c>
      <c r="P44" s="21"/>
      <c r="Q44" s="21"/>
      <c r="R44" s="21">
        <v>276</v>
      </c>
      <c r="S44" s="21"/>
      <c r="T44" s="21"/>
      <c r="U44" s="21"/>
      <c r="V44" s="21"/>
      <c r="W44" s="21"/>
      <c r="X44" s="21"/>
      <c r="Y44" s="16" t="e">
        <f>VLOOKUP(B44,[1]nHAP!B$11:N$47,13,0)</f>
        <v>#N/A</v>
      </c>
    </row>
    <row r="45" spans="1:25" ht="62.4" x14ac:dyDescent="0.3">
      <c r="A45" s="18">
        <v>8</v>
      </c>
      <c r="B45" s="19" t="s">
        <v>61</v>
      </c>
      <c r="C45" s="20"/>
      <c r="D45" s="21">
        <v>474</v>
      </c>
      <c r="E45" s="21"/>
      <c r="F45" s="21">
        <v>474</v>
      </c>
      <c r="G45" s="21">
        <v>31</v>
      </c>
      <c r="H45" s="21">
        <v>31</v>
      </c>
      <c r="I45" s="21">
        <v>31</v>
      </c>
      <c r="J45" s="21">
        <v>31</v>
      </c>
      <c r="K45" s="21">
        <v>31</v>
      </c>
      <c r="L45" s="21">
        <v>31</v>
      </c>
      <c r="M45" s="21">
        <v>31</v>
      </c>
      <c r="N45" s="21">
        <v>31</v>
      </c>
      <c r="O45" s="21">
        <v>474</v>
      </c>
      <c r="P45" s="21"/>
      <c r="Q45" s="21"/>
      <c r="R45" s="21">
        <v>31</v>
      </c>
      <c r="S45" s="21"/>
      <c r="T45" s="21"/>
      <c r="U45" s="21"/>
      <c r="V45" s="21"/>
      <c r="W45" s="21"/>
      <c r="X45" s="21"/>
      <c r="Y45" s="16" t="e">
        <f>VLOOKUP(B45,[1]nHAP!B$11:N$47,13,0)</f>
        <v>#N/A</v>
      </c>
    </row>
    <row r="46" spans="1:25" s="17" customFormat="1" x14ac:dyDescent="0.3">
      <c r="A46" s="11" t="s">
        <v>18</v>
      </c>
      <c r="B46" s="14" t="s">
        <v>62</v>
      </c>
      <c r="C46" s="10"/>
      <c r="D46" s="15">
        <f>D47</f>
        <v>543</v>
      </c>
      <c r="E46" s="15">
        <f t="shared" ref="E46:X46" si="5">E47</f>
        <v>0</v>
      </c>
      <c r="F46" s="15">
        <f t="shared" si="5"/>
        <v>543</v>
      </c>
      <c r="G46" s="15">
        <f t="shared" si="5"/>
        <v>76</v>
      </c>
      <c r="H46" s="15">
        <f t="shared" si="5"/>
        <v>76</v>
      </c>
      <c r="I46" s="15">
        <f t="shared" si="5"/>
        <v>0</v>
      </c>
      <c r="J46" s="15">
        <f t="shared" si="5"/>
        <v>0</v>
      </c>
      <c r="K46" s="15">
        <f t="shared" si="5"/>
        <v>76</v>
      </c>
      <c r="L46" s="15">
        <f t="shared" si="5"/>
        <v>76</v>
      </c>
      <c r="M46" s="15">
        <f t="shared" si="5"/>
        <v>0</v>
      </c>
      <c r="N46" s="15">
        <f t="shared" si="5"/>
        <v>0</v>
      </c>
      <c r="O46" s="15">
        <f t="shared" si="5"/>
        <v>543</v>
      </c>
      <c r="P46" s="15">
        <f t="shared" si="5"/>
        <v>0</v>
      </c>
      <c r="Q46" s="15">
        <f t="shared" si="5"/>
        <v>0</v>
      </c>
      <c r="R46" s="15">
        <f t="shared" si="5"/>
        <v>76</v>
      </c>
      <c r="S46" s="15">
        <f t="shared" si="5"/>
        <v>0</v>
      </c>
      <c r="T46" s="15">
        <f t="shared" si="5"/>
        <v>0</v>
      </c>
      <c r="U46" s="15">
        <f t="shared" si="5"/>
        <v>0</v>
      </c>
      <c r="V46" s="15">
        <f t="shared" si="5"/>
        <v>0</v>
      </c>
      <c r="W46" s="15">
        <f t="shared" si="5"/>
        <v>0</v>
      </c>
      <c r="X46" s="15">
        <f t="shared" si="5"/>
        <v>0</v>
      </c>
      <c r="Y46" s="16" t="e">
        <f>VLOOKUP(B46,[1]nHAP!B$11:N$47,13,0)</f>
        <v>#N/A</v>
      </c>
    </row>
    <row r="47" spans="1:25" ht="31.2" x14ac:dyDescent="0.3">
      <c r="A47" s="18">
        <v>1</v>
      </c>
      <c r="B47" s="19" t="s">
        <v>63</v>
      </c>
      <c r="C47" s="20"/>
      <c r="D47" s="21">
        <v>543</v>
      </c>
      <c r="E47" s="21"/>
      <c r="F47" s="21">
        <v>543</v>
      </c>
      <c r="G47" s="21">
        <v>76</v>
      </c>
      <c r="H47" s="21">
        <v>76</v>
      </c>
      <c r="I47" s="21">
        <v>0</v>
      </c>
      <c r="J47" s="21">
        <v>0</v>
      </c>
      <c r="K47" s="21">
        <v>76</v>
      </c>
      <c r="L47" s="21">
        <v>76</v>
      </c>
      <c r="M47" s="21">
        <v>0</v>
      </c>
      <c r="N47" s="21">
        <v>0</v>
      </c>
      <c r="O47" s="21">
        <v>543</v>
      </c>
      <c r="P47" s="21"/>
      <c r="Q47" s="21"/>
      <c r="R47" s="21">
        <v>76</v>
      </c>
      <c r="S47" s="21"/>
      <c r="T47" s="21"/>
      <c r="U47" s="21"/>
      <c r="V47" s="21"/>
      <c r="W47" s="21"/>
      <c r="X47" s="21"/>
      <c r="Y47" s="16" t="e">
        <f>VLOOKUP(B47,[1]nHAP!B$11:N$47,13,0)</f>
        <v>#N/A</v>
      </c>
    </row>
    <row r="48" spans="1:25" s="17" customFormat="1" x14ac:dyDescent="0.3">
      <c r="A48" s="11" t="s">
        <v>18</v>
      </c>
      <c r="B48" s="14" t="s">
        <v>64</v>
      </c>
      <c r="C48" s="10"/>
      <c r="D48" s="15">
        <f>SUM(D49:D50)</f>
        <v>8638</v>
      </c>
      <c r="E48" s="15">
        <f t="shared" ref="E48:X48" si="6">SUM(E49:E50)</f>
        <v>0</v>
      </c>
      <c r="F48" s="15">
        <f t="shared" si="6"/>
        <v>8638</v>
      </c>
      <c r="G48" s="15">
        <f t="shared" si="6"/>
        <v>2638</v>
      </c>
      <c r="H48" s="15">
        <f t="shared" si="6"/>
        <v>2638</v>
      </c>
      <c r="I48" s="15">
        <f t="shared" si="6"/>
        <v>1252</v>
      </c>
      <c r="J48" s="15">
        <f t="shared" si="6"/>
        <v>1252</v>
      </c>
      <c r="K48" s="15">
        <f t="shared" si="6"/>
        <v>2638</v>
      </c>
      <c r="L48" s="15">
        <f t="shared" si="6"/>
        <v>2638</v>
      </c>
      <c r="M48" s="15">
        <f t="shared" si="6"/>
        <v>1252</v>
      </c>
      <c r="N48" s="15">
        <f t="shared" si="6"/>
        <v>1252</v>
      </c>
      <c r="O48" s="15">
        <f t="shared" si="6"/>
        <v>8638</v>
      </c>
      <c r="P48" s="15">
        <f t="shared" si="6"/>
        <v>0</v>
      </c>
      <c r="Q48" s="15">
        <f t="shared" si="6"/>
        <v>0</v>
      </c>
      <c r="R48" s="15">
        <f t="shared" si="6"/>
        <v>2638</v>
      </c>
      <c r="S48" s="15">
        <f t="shared" si="6"/>
        <v>0</v>
      </c>
      <c r="T48" s="15">
        <f t="shared" si="6"/>
        <v>0</v>
      </c>
      <c r="U48" s="15">
        <f t="shared" si="6"/>
        <v>0</v>
      </c>
      <c r="V48" s="15">
        <f t="shared" si="6"/>
        <v>0</v>
      </c>
      <c r="W48" s="15">
        <f t="shared" si="6"/>
        <v>0</v>
      </c>
      <c r="X48" s="15">
        <f t="shared" si="6"/>
        <v>0</v>
      </c>
      <c r="Y48" s="16" t="e">
        <f>VLOOKUP(B48,[1]nHAP!B$11:N$47,13,0)</f>
        <v>#N/A</v>
      </c>
    </row>
    <row r="49" spans="1:25" ht="31.2" x14ac:dyDescent="0.3">
      <c r="A49" s="18">
        <v>1</v>
      </c>
      <c r="B49" s="19" t="s">
        <v>65</v>
      </c>
      <c r="C49" s="20"/>
      <c r="D49" s="21">
        <v>7729</v>
      </c>
      <c r="E49" s="21"/>
      <c r="F49" s="21">
        <v>7729</v>
      </c>
      <c r="G49" s="21">
        <v>2404</v>
      </c>
      <c r="H49" s="21">
        <v>2404</v>
      </c>
      <c r="I49" s="21">
        <v>1018</v>
      </c>
      <c r="J49" s="21">
        <v>1018</v>
      </c>
      <c r="K49" s="21">
        <v>2404</v>
      </c>
      <c r="L49" s="21">
        <v>2404</v>
      </c>
      <c r="M49" s="21">
        <v>1018</v>
      </c>
      <c r="N49" s="21">
        <v>1018</v>
      </c>
      <c r="O49" s="21">
        <v>7729</v>
      </c>
      <c r="P49" s="21"/>
      <c r="Q49" s="21"/>
      <c r="R49" s="21">
        <v>2404</v>
      </c>
      <c r="S49" s="21"/>
      <c r="T49" s="21"/>
      <c r="U49" s="21"/>
      <c r="V49" s="21"/>
      <c r="W49" s="21"/>
      <c r="X49" s="21"/>
      <c r="Y49" s="16" t="e">
        <f>VLOOKUP(B49,[1]nHAP!B$11:N$47,13,0)</f>
        <v>#N/A</v>
      </c>
    </row>
    <row r="50" spans="1:25" ht="46.8" x14ac:dyDescent="0.3">
      <c r="A50" s="18">
        <v>2</v>
      </c>
      <c r="B50" s="19" t="s">
        <v>66</v>
      </c>
      <c r="C50" s="20"/>
      <c r="D50" s="21">
        <v>909</v>
      </c>
      <c r="E50" s="21"/>
      <c r="F50" s="21">
        <v>909</v>
      </c>
      <c r="G50" s="21">
        <v>234</v>
      </c>
      <c r="H50" s="21">
        <v>234</v>
      </c>
      <c r="I50" s="21">
        <v>234</v>
      </c>
      <c r="J50" s="21">
        <v>234</v>
      </c>
      <c r="K50" s="21">
        <v>234</v>
      </c>
      <c r="L50" s="21">
        <v>234</v>
      </c>
      <c r="M50" s="21">
        <v>234</v>
      </c>
      <c r="N50" s="21">
        <v>234</v>
      </c>
      <c r="O50" s="21">
        <v>909</v>
      </c>
      <c r="P50" s="21"/>
      <c r="Q50" s="21"/>
      <c r="R50" s="21">
        <v>234</v>
      </c>
      <c r="S50" s="21"/>
      <c r="T50" s="21"/>
      <c r="U50" s="21"/>
      <c r="V50" s="21"/>
      <c r="W50" s="21"/>
      <c r="X50" s="21"/>
      <c r="Y50" s="16" t="e">
        <f>VLOOKUP(B50,[1]nHAP!B$11:N$47,13,0)</f>
        <v>#N/A</v>
      </c>
    </row>
    <row r="51" spans="1:25" s="17" customFormat="1" x14ac:dyDescent="0.3">
      <c r="A51" s="11" t="s">
        <v>18</v>
      </c>
      <c r="B51" s="14" t="s">
        <v>67</v>
      </c>
      <c r="C51" s="10"/>
      <c r="D51" s="15">
        <f>SUM(D52:D55)</f>
        <v>22382</v>
      </c>
      <c r="E51" s="15">
        <f t="shared" ref="E51:X51" si="7">SUM(E52:E55)</f>
        <v>0</v>
      </c>
      <c r="F51" s="15">
        <f t="shared" si="7"/>
        <v>22382</v>
      </c>
      <c r="G51" s="15">
        <f t="shared" si="7"/>
        <v>405</v>
      </c>
      <c r="H51" s="15">
        <f t="shared" si="7"/>
        <v>405</v>
      </c>
      <c r="I51" s="15">
        <f t="shared" si="7"/>
        <v>0</v>
      </c>
      <c r="J51" s="15">
        <f t="shared" si="7"/>
        <v>0</v>
      </c>
      <c r="K51" s="15">
        <f t="shared" si="7"/>
        <v>405</v>
      </c>
      <c r="L51" s="15">
        <f t="shared" si="7"/>
        <v>405</v>
      </c>
      <c r="M51" s="15">
        <f t="shared" si="7"/>
        <v>0</v>
      </c>
      <c r="N51" s="15">
        <f t="shared" si="7"/>
        <v>0</v>
      </c>
      <c r="O51" s="15">
        <f t="shared" si="7"/>
        <v>1721</v>
      </c>
      <c r="P51" s="15">
        <f t="shared" si="7"/>
        <v>0</v>
      </c>
      <c r="Q51" s="15">
        <f t="shared" si="7"/>
        <v>0</v>
      </c>
      <c r="R51" s="15">
        <f t="shared" si="7"/>
        <v>405</v>
      </c>
      <c r="S51" s="15">
        <f t="shared" si="7"/>
        <v>0</v>
      </c>
      <c r="T51" s="15">
        <f t="shared" si="7"/>
        <v>0</v>
      </c>
      <c r="U51" s="15">
        <f t="shared" si="7"/>
        <v>680</v>
      </c>
      <c r="V51" s="15">
        <f t="shared" si="7"/>
        <v>0</v>
      </c>
      <c r="W51" s="15">
        <f t="shared" si="7"/>
        <v>0</v>
      </c>
      <c r="X51" s="15">
        <f t="shared" si="7"/>
        <v>0</v>
      </c>
      <c r="Y51" s="16" t="e">
        <f>VLOOKUP(B51,[1]nHAP!B$11:N$47,13,0)</f>
        <v>#N/A</v>
      </c>
    </row>
    <row r="52" spans="1:25" ht="46.8" x14ac:dyDescent="0.3">
      <c r="A52" s="18">
        <v>1</v>
      </c>
      <c r="B52" s="19" t="s">
        <v>68</v>
      </c>
      <c r="C52" s="20"/>
      <c r="D52" s="21">
        <v>477</v>
      </c>
      <c r="E52" s="21"/>
      <c r="F52" s="21">
        <v>477</v>
      </c>
      <c r="G52" s="21">
        <v>261</v>
      </c>
      <c r="H52" s="21">
        <v>261</v>
      </c>
      <c r="I52" s="21">
        <v>0</v>
      </c>
      <c r="J52" s="21">
        <v>0</v>
      </c>
      <c r="K52" s="21">
        <v>261</v>
      </c>
      <c r="L52" s="21">
        <v>261</v>
      </c>
      <c r="M52" s="21">
        <v>0</v>
      </c>
      <c r="N52" s="21">
        <v>0</v>
      </c>
      <c r="O52" s="21">
        <v>477</v>
      </c>
      <c r="P52" s="21"/>
      <c r="Q52" s="21"/>
      <c r="R52" s="21">
        <v>261</v>
      </c>
      <c r="S52" s="21"/>
      <c r="T52" s="21"/>
      <c r="U52" s="21"/>
      <c r="V52" s="21"/>
      <c r="W52" s="21"/>
      <c r="X52" s="21"/>
      <c r="Y52" s="16" t="e">
        <f>VLOOKUP(B52,[1]nHAP!B$11:N$47,13,0)</f>
        <v>#N/A</v>
      </c>
    </row>
    <row r="53" spans="1:25" ht="50.1" customHeight="1" x14ac:dyDescent="0.3">
      <c r="A53" s="18">
        <v>2</v>
      </c>
      <c r="B53" s="19" t="s">
        <v>69</v>
      </c>
      <c r="C53" s="20"/>
      <c r="D53" s="21">
        <v>1244</v>
      </c>
      <c r="E53" s="21"/>
      <c r="F53" s="21">
        <v>1244</v>
      </c>
      <c r="G53" s="21">
        <v>144</v>
      </c>
      <c r="H53" s="21">
        <v>144</v>
      </c>
      <c r="I53" s="21">
        <v>0</v>
      </c>
      <c r="J53" s="21">
        <v>0</v>
      </c>
      <c r="K53" s="21">
        <v>144</v>
      </c>
      <c r="L53" s="21">
        <v>144</v>
      </c>
      <c r="M53" s="21">
        <v>0</v>
      </c>
      <c r="N53" s="21">
        <v>0</v>
      </c>
      <c r="O53" s="21">
        <v>1244</v>
      </c>
      <c r="P53" s="21"/>
      <c r="Q53" s="21"/>
      <c r="R53" s="21">
        <v>144</v>
      </c>
      <c r="S53" s="21"/>
      <c r="T53" s="21"/>
      <c r="U53" s="21"/>
      <c r="V53" s="21"/>
      <c r="W53" s="21"/>
      <c r="X53" s="21"/>
      <c r="Y53" s="16" t="e">
        <f>VLOOKUP(B53,[1]nHAP!B$11:N$47,13,0)</f>
        <v>#N/A</v>
      </c>
    </row>
    <row r="54" spans="1:25" x14ac:dyDescent="0.3">
      <c r="A54" s="18">
        <v>3</v>
      </c>
      <c r="B54" s="19" t="s">
        <v>115</v>
      </c>
      <c r="C54" s="20"/>
      <c r="D54" s="21">
        <v>19501</v>
      </c>
      <c r="E54" s="21"/>
      <c r="F54" s="21">
        <v>19501</v>
      </c>
      <c r="G54" s="21"/>
      <c r="H54" s="21"/>
      <c r="I54" s="21"/>
      <c r="J54" s="21"/>
      <c r="K54" s="21"/>
      <c r="L54" s="21"/>
      <c r="M54" s="21"/>
      <c r="N54" s="21"/>
      <c r="O54" s="21"/>
      <c r="P54" s="21"/>
      <c r="Q54" s="21"/>
      <c r="R54" s="21"/>
      <c r="S54" s="21"/>
      <c r="T54" s="21"/>
      <c r="U54" s="21">
        <v>604</v>
      </c>
      <c r="V54" s="21"/>
      <c r="W54" s="21"/>
      <c r="X54" s="21"/>
      <c r="Y54" s="22">
        <f>VLOOKUP(B54,[1]nHAP!B$11:N$47,13,0)</f>
        <v>604</v>
      </c>
    </row>
    <row r="55" spans="1:25" ht="54.6" customHeight="1" x14ac:dyDescent="0.3">
      <c r="A55" s="18">
        <v>4</v>
      </c>
      <c r="B55" s="19" t="s">
        <v>117</v>
      </c>
      <c r="C55" s="20"/>
      <c r="D55" s="21">
        <v>1160</v>
      </c>
      <c r="E55" s="21"/>
      <c r="F55" s="21">
        <v>1160</v>
      </c>
      <c r="G55" s="21"/>
      <c r="H55" s="21"/>
      <c r="I55" s="21"/>
      <c r="J55" s="21"/>
      <c r="K55" s="21"/>
      <c r="L55" s="21"/>
      <c r="M55" s="21"/>
      <c r="N55" s="21"/>
      <c r="O55" s="21"/>
      <c r="P55" s="21"/>
      <c r="Q55" s="21"/>
      <c r="R55" s="21"/>
      <c r="S55" s="21"/>
      <c r="T55" s="21"/>
      <c r="U55" s="21">
        <v>76</v>
      </c>
      <c r="V55" s="21"/>
      <c r="W55" s="21"/>
      <c r="X55" s="21"/>
      <c r="Y55" s="22">
        <f>VLOOKUP(B55,[1]nHAP!B$11:N$47,13,0)</f>
        <v>76</v>
      </c>
    </row>
    <row r="56" spans="1:25" s="17" customFormat="1" ht="31.2" x14ac:dyDescent="0.3">
      <c r="A56" s="11" t="s">
        <v>22</v>
      </c>
      <c r="B56" s="14" t="s">
        <v>70</v>
      </c>
      <c r="C56" s="10"/>
      <c r="D56" s="15">
        <f>D57+D62+D76+D81</f>
        <v>293523</v>
      </c>
      <c r="E56" s="15">
        <f t="shared" ref="E56:X56" si="8">E57+E62+E76+E81</f>
        <v>0</v>
      </c>
      <c r="F56" s="15">
        <f t="shared" si="8"/>
        <v>293523</v>
      </c>
      <c r="G56" s="15">
        <f t="shared" si="8"/>
        <v>17411</v>
      </c>
      <c r="H56" s="15">
        <f t="shared" si="8"/>
        <v>17411</v>
      </c>
      <c r="I56" s="15">
        <f t="shared" si="8"/>
        <v>12011</v>
      </c>
      <c r="J56" s="15">
        <f t="shared" si="8"/>
        <v>12011</v>
      </c>
      <c r="K56" s="15">
        <f t="shared" si="8"/>
        <v>17411</v>
      </c>
      <c r="L56" s="15">
        <f t="shared" si="8"/>
        <v>17411</v>
      </c>
      <c r="M56" s="15">
        <f t="shared" si="8"/>
        <v>12011</v>
      </c>
      <c r="N56" s="15">
        <f t="shared" si="8"/>
        <v>12011</v>
      </c>
      <c r="O56" s="15">
        <f t="shared" si="8"/>
        <v>248855</v>
      </c>
      <c r="P56" s="15">
        <f t="shared" si="8"/>
        <v>0</v>
      </c>
      <c r="Q56" s="15">
        <f t="shared" si="8"/>
        <v>0</v>
      </c>
      <c r="R56" s="15">
        <f t="shared" si="8"/>
        <v>17411</v>
      </c>
      <c r="S56" s="15">
        <f t="shared" si="8"/>
        <v>0</v>
      </c>
      <c r="T56" s="15">
        <f t="shared" si="8"/>
        <v>0</v>
      </c>
      <c r="U56" s="15">
        <f t="shared" si="8"/>
        <v>9931</v>
      </c>
      <c r="V56" s="15">
        <f t="shared" si="8"/>
        <v>0</v>
      </c>
      <c r="W56" s="15">
        <f t="shared" si="8"/>
        <v>0</v>
      </c>
      <c r="X56" s="15">
        <f t="shared" si="8"/>
        <v>0</v>
      </c>
      <c r="Y56" s="16">
        <f>VLOOKUP(B56,[1]nHAP!B$11:N$47,13,0)</f>
        <v>0</v>
      </c>
    </row>
    <row r="57" spans="1:25" s="17" customFormat="1" x14ac:dyDescent="0.3">
      <c r="A57" s="11" t="s">
        <v>18</v>
      </c>
      <c r="B57" s="14" t="s">
        <v>32</v>
      </c>
      <c r="C57" s="10"/>
      <c r="D57" s="15">
        <f>SUM(D58:D61)</f>
        <v>42322</v>
      </c>
      <c r="E57" s="15">
        <f t="shared" ref="E57:X57" si="9">SUM(E58:E61)</f>
        <v>0</v>
      </c>
      <c r="F57" s="15">
        <f t="shared" si="9"/>
        <v>42322</v>
      </c>
      <c r="G57" s="15">
        <f t="shared" si="9"/>
        <v>40</v>
      </c>
      <c r="H57" s="15">
        <f t="shared" si="9"/>
        <v>40</v>
      </c>
      <c r="I57" s="15">
        <f t="shared" si="9"/>
        <v>40</v>
      </c>
      <c r="J57" s="15">
        <f t="shared" si="9"/>
        <v>40</v>
      </c>
      <c r="K57" s="15">
        <f t="shared" si="9"/>
        <v>40</v>
      </c>
      <c r="L57" s="15">
        <f t="shared" si="9"/>
        <v>40</v>
      </c>
      <c r="M57" s="15">
        <f t="shared" si="9"/>
        <v>40</v>
      </c>
      <c r="N57" s="15">
        <f t="shared" si="9"/>
        <v>40</v>
      </c>
      <c r="O57" s="15">
        <f t="shared" si="9"/>
        <v>23996</v>
      </c>
      <c r="P57" s="15">
        <f t="shared" si="9"/>
        <v>0</v>
      </c>
      <c r="Q57" s="15">
        <f t="shared" si="9"/>
        <v>0</v>
      </c>
      <c r="R57" s="15">
        <f t="shared" si="9"/>
        <v>40</v>
      </c>
      <c r="S57" s="15">
        <f t="shared" si="9"/>
        <v>0</v>
      </c>
      <c r="T57" s="15">
        <f t="shared" si="9"/>
        <v>0</v>
      </c>
      <c r="U57" s="15">
        <f t="shared" si="9"/>
        <v>4526</v>
      </c>
      <c r="V57" s="15">
        <f t="shared" si="9"/>
        <v>0</v>
      </c>
      <c r="W57" s="15">
        <f t="shared" si="9"/>
        <v>0</v>
      </c>
      <c r="X57" s="15">
        <f t="shared" si="9"/>
        <v>0</v>
      </c>
      <c r="Y57" s="16" t="e">
        <f>VLOOKUP(B57,[1]nHAP!B$11:N$47,13,0)</f>
        <v>#N/A</v>
      </c>
    </row>
    <row r="58" spans="1:25" ht="31.2" x14ac:dyDescent="0.3">
      <c r="A58" s="18">
        <v>1</v>
      </c>
      <c r="B58" s="19" t="s">
        <v>71</v>
      </c>
      <c r="C58" s="20"/>
      <c r="D58" s="21">
        <v>23996</v>
      </c>
      <c r="E58" s="21"/>
      <c r="F58" s="21">
        <v>23996</v>
      </c>
      <c r="G58" s="21">
        <v>40</v>
      </c>
      <c r="H58" s="21">
        <v>40</v>
      </c>
      <c r="I58" s="21">
        <v>40</v>
      </c>
      <c r="J58" s="21">
        <v>40</v>
      </c>
      <c r="K58" s="21">
        <v>40</v>
      </c>
      <c r="L58" s="21">
        <v>40</v>
      </c>
      <c r="M58" s="21">
        <v>40</v>
      </c>
      <c r="N58" s="21">
        <v>40</v>
      </c>
      <c r="O58" s="21">
        <v>23996</v>
      </c>
      <c r="P58" s="21"/>
      <c r="Q58" s="21"/>
      <c r="R58" s="21">
        <v>40</v>
      </c>
      <c r="S58" s="21"/>
      <c r="T58" s="21"/>
      <c r="U58" s="21"/>
      <c r="V58" s="21"/>
      <c r="W58" s="21"/>
      <c r="X58" s="21"/>
      <c r="Y58" s="16" t="e">
        <f>VLOOKUP(B58,[1]nHAP!B$11:N$47,13,0)</f>
        <v>#N/A</v>
      </c>
    </row>
    <row r="59" spans="1:25" ht="46.8" x14ac:dyDescent="0.3">
      <c r="A59" s="18">
        <v>2</v>
      </c>
      <c r="B59" s="19" t="s">
        <v>121</v>
      </c>
      <c r="C59" s="20"/>
      <c r="D59" s="21">
        <v>4821</v>
      </c>
      <c r="E59" s="21"/>
      <c r="F59" s="21">
        <v>4821</v>
      </c>
      <c r="G59" s="21"/>
      <c r="H59" s="21"/>
      <c r="I59" s="21"/>
      <c r="J59" s="21"/>
      <c r="K59" s="21"/>
      <c r="L59" s="21"/>
      <c r="M59" s="21"/>
      <c r="N59" s="21"/>
      <c r="O59" s="21"/>
      <c r="P59" s="21"/>
      <c r="Q59" s="21"/>
      <c r="R59" s="21"/>
      <c r="S59" s="21"/>
      <c r="T59" s="21"/>
      <c r="U59" s="21">
        <v>921</v>
      </c>
      <c r="V59" s="21"/>
      <c r="W59" s="21"/>
      <c r="X59" s="21"/>
      <c r="Y59" s="22">
        <f>VLOOKUP(B59,[1]nHAP!B$11:N$47,13,0)</f>
        <v>921</v>
      </c>
    </row>
    <row r="60" spans="1:25" ht="31.2" x14ac:dyDescent="0.3">
      <c r="A60" s="18">
        <v>3</v>
      </c>
      <c r="B60" s="19" t="s">
        <v>122</v>
      </c>
      <c r="C60" s="20"/>
      <c r="D60" s="21">
        <v>6005</v>
      </c>
      <c r="E60" s="21"/>
      <c r="F60" s="21">
        <v>6005</v>
      </c>
      <c r="G60" s="21"/>
      <c r="H60" s="21"/>
      <c r="I60" s="21"/>
      <c r="J60" s="21"/>
      <c r="K60" s="21"/>
      <c r="L60" s="21"/>
      <c r="M60" s="21"/>
      <c r="N60" s="21"/>
      <c r="O60" s="21"/>
      <c r="P60" s="21"/>
      <c r="Q60" s="21"/>
      <c r="R60" s="21"/>
      <c r="S60" s="21"/>
      <c r="T60" s="21"/>
      <c r="U60" s="21">
        <v>2605</v>
      </c>
      <c r="V60" s="21"/>
      <c r="W60" s="21"/>
      <c r="X60" s="21"/>
      <c r="Y60" s="22">
        <f>VLOOKUP(B60,[1]nHAP!B$11:N$47,13,0)</f>
        <v>2605</v>
      </c>
    </row>
    <row r="61" spans="1:25" ht="51.6" customHeight="1" x14ac:dyDescent="0.3">
      <c r="A61" s="18">
        <v>4</v>
      </c>
      <c r="B61" s="19" t="s">
        <v>123</v>
      </c>
      <c r="C61" s="20"/>
      <c r="D61" s="21">
        <v>7500</v>
      </c>
      <c r="E61" s="21"/>
      <c r="F61" s="21">
        <v>7500</v>
      </c>
      <c r="G61" s="21"/>
      <c r="H61" s="21"/>
      <c r="I61" s="21"/>
      <c r="J61" s="21"/>
      <c r="K61" s="21"/>
      <c r="L61" s="21"/>
      <c r="M61" s="21"/>
      <c r="N61" s="21"/>
      <c r="O61" s="21"/>
      <c r="P61" s="21"/>
      <c r="Q61" s="21"/>
      <c r="R61" s="21"/>
      <c r="S61" s="21"/>
      <c r="T61" s="21"/>
      <c r="U61" s="21">
        <v>1000</v>
      </c>
      <c r="V61" s="21"/>
      <c r="W61" s="21"/>
      <c r="X61" s="21"/>
      <c r="Y61" s="22">
        <f>VLOOKUP(B61,[1]nHAP!B$11:N$47,13,0)</f>
        <v>1000</v>
      </c>
    </row>
    <row r="62" spans="1:25" s="17" customFormat="1" x14ac:dyDescent="0.3">
      <c r="A62" s="11" t="s">
        <v>18</v>
      </c>
      <c r="B62" s="14" t="s">
        <v>44</v>
      </c>
      <c r="C62" s="10"/>
      <c r="D62" s="15">
        <f>SUM(D63:D75)</f>
        <v>66764</v>
      </c>
      <c r="E62" s="15">
        <f t="shared" ref="E62:X62" si="10">SUM(E63:E75)</f>
        <v>0</v>
      </c>
      <c r="F62" s="15">
        <f t="shared" si="10"/>
        <v>66764</v>
      </c>
      <c r="G62" s="15">
        <f t="shared" si="10"/>
        <v>6000</v>
      </c>
      <c r="H62" s="15">
        <f t="shared" si="10"/>
        <v>6000</v>
      </c>
      <c r="I62" s="15">
        <f t="shared" si="10"/>
        <v>4000</v>
      </c>
      <c r="J62" s="15">
        <f t="shared" si="10"/>
        <v>4000</v>
      </c>
      <c r="K62" s="15">
        <f t="shared" si="10"/>
        <v>6000</v>
      </c>
      <c r="L62" s="15">
        <f t="shared" si="10"/>
        <v>6000</v>
      </c>
      <c r="M62" s="15">
        <f t="shared" si="10"/>
        <v>4000</v>
      </c>
      <c r="N62" s="15">
        <f t="shared" si="10"/>
        <v>4000</v>
      </c>
      <c r="O62" s="15">
        <f t="shared" si="10"/>
        <v>40422</v>
      </c>
      <c r="P62" s="15">
        <f t="shared" si="10"/>
        <v>0</v>
      </c>
      <c r="Q62" s="15">
        <f t="shared" si="10"/>
        <v>0</v>
      </c>
      <c r="R62" s="15">
        <f t="shared" si="10"/>
        <v>6000</v>
      </c>
      <c r="S62" s="15">
        <f t="shared" si="10"/>
        <v>0</v>
      </c>
      <c r="T62" s="15">
        <f t="shared" si="10"/>
        <v>0</v>
      </c>
      <c r="U62" s="15">
        <f t="shared" si="10"/>
        <v>5405</v>
      </c>
      <c r="V62" s="15">
        <f t="shared" si="10"/>
        <v>0</v>
      </c>
      <c r="W62" s="15">
        <f t="shared" si="10"/>
        <v>0</v>
      </c>
      <c r="X62" s="15">
        <f t="shared" si="10"/>
        <v>0</v>
      </c>
      <c r="Y62" s="16" t="e">
        <f>VLOOKUP(B62,[1]nHAP!B$11:N$47,13,0)</f>
        <v>#N/A</v>
      </c>
    </row>
    <row r="63" spans="1:25" x14ac:dyDescent="0.3">
      <c r="A63" s="18">
        <v>1</v>
      </c>
      <c r="B63" s="19" t="s">
        <v>72</v>
      </c>
      <c r="C63" s="20"/>
      <c r="D63" s="21">
        <v>23393</v>
      </c>
      <c r="E63" s="21"/>
      <c r="F63" s="21">
        <v>23393</v>
      </c>
      <c r="G63" s="21">
        <v>2000</v>
      </c>
      <c r="H63" s="21">
        <v>2000</v>
      </c>
      <c r="I63" s="21">
        <v>2000</v>
      </c>
      <c r="J63" s="21">
        <v>2000</v>
      </c>
      <c r="K63" s="21">
        <v>2000</v>
      </c>
      <c r="L63" s="21">
        <v>2000</v>
      </c>
      <c r="M63" s="21">
        <v>2000</v>
      </c>
      <c r="N63" s="21">
        <v>2000</v>
      </c>
      <c r="O63" s="21">
        <v>23393</v>
      </c>
      <c r="P63" s="21"/>
      <c r="Q63" s="21"/>
      <c r="R63" s="21">
        <v>2000</v>
      </c>
      <c r="S63" s="21"/>
      <c r="T63" s="21"/>
      <c r="U63" s="21"/>
      <c r="V63" s="21"/>
      <c r="W63" s="21"/>
      <c r="X63" s="21"/>
      <c r="Y63" s="16" t="e">
        <f>VLOOKUP(B63,[1]nHAP!B$11:N$47,13,0)</f>
        <v>#N/A</v>
      </c>
    </row>
    <row r="64" spans="1:25" ht="31.2" x14ac:dyDescent="0.3">
      <c r="A64" s="18">
        <v>2</v>
      </c>
      <c r="B64" s="19" t="s">
        <v>73</v>
      </c>
      <c r="C64" s="20"/>
      <c r="D64" s="21">
        <v>3965</v>
      </c>
      <c r="E64" s="21"/>
      <c r="F64" s="21">
        <v>3965</v>
      </c>
      <c r="G64" s="21">
        <v>500</v>
      </c>
      <c r="H64" s="21">
        <v>500</v>
      </c>
      <c r="I64" s="21">
        <v>0</v>
      </c>
      <c r="J64" s="21">
        <v>0</v>
      </c>
      <c r="K64" s="21">
        <v>500</v>
      </c>
      <c r="L64" s="21">
        <v>500</v>
      </c>
      <c r="M64" s="21">
        <v>0</v>
      </c>
      <c r="N64" s="21">
        <v>0</v>
      </c>
      <c r="O64" s="21">
        <v>3965</v>
      </c>
      <c r="P64" s="21"/>
      <c r="Q64" s="21"/>
      <c r="R64" s="21">
        <v>500</v>
      </c>
      <c r="S64" s="21"/>
      <c r="T64" s="21"/>
      <c r="U64" s="21">
        <f>VLOOKUP(B64,'[1]Phu luc dau tu cong 2023'!B$11:G$71,6,0)</f>
        <v>500</v>
      </c>
      <c r="V64" s="21"/>
      <c r="W64" s="21"/>
      <c r="X64" s="21"/>
      <c r="Y64" s="22">
        <f>VLOOKUP(B64,[1]nHAP!B$11:N$47,13,0)</f>
        <v>500</v>
      </c>
    </row>
    <row r="65" spans="1:25" ht="31.2" x14ac:dyDescent="0.3">
      <c r="A65" s="18">
        <v>3</v>
      </c>
      <c r="B65" s="19" t="s">
        <v>74</v>
      </c>
      <c r="C65" s="20"/>
      <c r="D65" s="21">
        <v>2134</v>
      </c>
      <c r="E65" s="21"/>
      <c r="F65" s="21">
        <v>2134</v>
      </c>
      <c r="G65" s="21">
        <v>500</v>
      </c>
      <c r="H65" s="21">
        <v>500</v>
      </c>
      <c r="I65" s="21">
        <v>0</v>
      </c>
      <c r="J65" s="21">
        <v>0</v>
      </c>
      <c r="K65" s="21">
        <v>500</v>
      </c>
      <c r="L65" s="21">
        <v>500</v>
      </c>
      <c r="M65" s="21">
        <v>0</v>
      </c>
      <c r="N65" s="21">
        <v>0</v>
      </c>
      <c r="O65" s="21">
        <v>2134</v>
      </c>
      <c r="P65" s="21"/>
      <c r="Q65" s="21"/>
      <c r="R65" s="21">
        <v>500</v>
      </c>
      <c r="S65" s="21"/>
      <c r="T65" s="21"/>
      <c r="U65" s="21"/>
      <c r="V65" s="21"/>
      <c r="W65" s="21"/>
      <c r="X65" s="21"/>
      <c r="Y65" s="16" t="e">
        <f>VLOOKUP(B65,[1]nHAP!B$11:N$47,13,0)</f>
        <v>#N/A</v>
      </c>
    </row>
    <row r="66" spans="1:25" ht="31.2" x14ac:dyDescent="0.3">
      <c r="A66" s="18">
        <v>4</v>
      </c>
      <c r="B66" s="19" t="s">
        <v>75</v>
      </c>
      <c r="C66" s="20"/>
      <c r="D66" s="21">
        <v>5076</v>
      </c>
      <c r="E66" s="21"/>
      <c r="F66" s="21">
        <v>5076</v>
      </c>
      <c r="G66" s="21">
        <v>2000</v>
      </c>
      <c r="H66" s="21">
        <v>2000</v>
      </c>
      <c r="I66" s="21">
        <v>2000</v>
      </c>
      <c r="J66" s="21">
        <v>2000</v>
      </c>
      <c r="K66" s="21">
        <v>2000</v>
      </c>
      <c r="L66" s="21">
        <v>2000</v>
      </c>
      <c r="M66" s="21">
        <v>2000</v>
      </c>
      <c r="N66" s="21">
        <v>2000</v>
      </c>
      <c r="O66" s="21">
        <v>5076</v>
      </c>
      <c r="P66" s="21"/>
      <c r="Q66" s="21"/>
      <c r="R66" s="21">
        <v>2000</v>
      </c>
      <c r="S66" s="21"/>
      <c r="T66" s="21"/>
      <c r="U66" s="21"/>
      <c r="V66" s="21"/>
      <c r="W66" s="21"/>
      <c r="X66" s="21"/>
      <c r="Y66" s="16" t="e">
        <f>VLOOKUP(B66,[1]nHAP!B$11:N$47,13,0)</f>
        <v>#N/A</v>
      </c>
    </row>
    <row r="67" spans="1:25" ht="31.2" x14ac:dyDescent="0.3">
      <c r="A67" s="18">
        <v>5</v>
      </c>
      <c r="B67" s="19" t="s">
        <v>76</v>
      </c>
      <c r="C67" s="20"/>
      <c r="D67" s="21">
        <v>5854</v>
      </c>
      <c r="E67" s="21"/>
      <c r="F67" s="21">
        <v>5854</v>
      </c>
      <c r="G67" s="21">
        <v>1000</v>
      </c>
      <c r="H67" s="21">
        <v>1000</v>
      </c>
      <c r="I67" s="21">
        <v>0</v>
      </c>
      <c r="J67" s="21">
        <v>0</v>
      </c>
      <c r="K67" s="21">
        <v>1000</v>
      </c>
      <c r="L67" s="21">
        <v>1000</v>
      </c>
      <c r="M67" s="21">
        <v>0</v>
      </c>
      <c r="N67" s="21">
        <v>0</v>
      </c>
      <c r="O67" s="21">
        <v>5854</v>
      </c>
      <c r="P67" s="21"/>
      <c r="Q67" s="21"/>
      <c r="R67" s="21">
        <v>1000</v>
      </c>
      <c r="S67" s="21"/>
      <c r="T67" s="21"/>
      <c r="U67" s="21"/>
      <c r="V67" s="21"/>
      <c r="W67" s="21"/>
      <c r="X67" s="21"/>
      <c r="Y67" s="16" t="e">
        <f>VLOOKUP(B67,[1]nHAP!B$11:N$47,13,0)</f>
        <v>#N/A</v>
      </c>
    </row>
    <row r="68" spans="1:25" ht="98.1" customHeight="1" x14ac:dyDescent="0.3">
      <c r="A68" s="18">
        <v>6</v>
      </c>
      <c r="B68" s="19" t="s">
        <v>124</v>
      </c>
      <c r="C68" s="20"/>
      <c r="D68" s="21">
        <v>2000</v>
      </c>
      <c r="E68" s="21"/>
      <c r="F68" s="21">
        <v>2000</v>
      </c>
      <c r="G68" s="21"/>
      <c r="H68" s="21"/>
      <c r="I68" s="21"/>
      <c r="J68" s="21"/>
      <c r="K68" s="21"/>
      <c r="L68" s="21"/>
      <c r="M68" s="21"/>
      <c r="N68" s="21"/>
      <c r="O68" s="21"/>
      <c r="P68" s="21"/>
      <c r="Q68" s="21"/>
      <c r="R68" s="21"/>
      <c r="S68" s="21"/>
      <c r="T68" s="21"/>
      <c r="U68" s="21">
        <v>505</v>
      </c>
      <c r="V68" s="21"/>
      <c r="W68" s="21"/>
      <c r="X68" s="21"/>
      <c r="Y68" s="22">
        <f>VLOOKUP(B68,[1]nHAP!B$11:N$47,13,0)</f>
        <v>505</v>
      </c>
    </row>
    <row r="69" spans="1:25" ht="31.2" x14ac:dyDescent="0.3">
      <c r="A69" s="18">
        <v>7</v>
      </c>
      <c r="B69" s="19" t="s">
        <v>125</v>
      </c>
      <c r="C69" s="20"/>
      <c r="D69" s="21">
        <v>1000</v>
      </c>
      <c r="E69" s="21"/>
      <c r="F69" s="21">
        <v>1000</v>
      </c>
      <c r="G69" s="21"/>
      <c r="H69" s="21"/>
      <c r="I69" s="21"/>
      <c r="J69" s="21"/>
      <c r="K69" s="21"/>
      <c r="L69" s="21"/>
      <c r="M69" s="21"/>
      <c r="N69" s="21"/>
      <c r="O69" s="21"/>
      <c r="P69" s="21"/>
      <c r="Q69" s="21"/>
      <c r="R69" s="21"/>
      <c r="S69" s="21"/>
      <c r="T69" s="21"/>
      <c r="U69" s="21">
        <v>200</v>
      </c>
      <c r="V69" s="21"/>
      <c r="W69" s="21"/>
      <c r="X69" s="21"/>
      <c r="Y69" s="22">
        <f>VLOOKUP(B69,[1]nHAP!B$11:N$47,13,0)</f>
        <v>200</v>
      </c>
    </row>
    <row r="70" spans="1:25" ht="31.2" x14ac:dyDescent="0.3">
      <c r="A70" s="18">
        <v>8</v>
      </c>
      <c r="B70" s="19" t="s">
        <v>126</v>
      </c>
      <c r="C70" s="20"/>
      <c r="D70" s="21">
        <v>2277</v>
      </c>
      <c r="E70" s="21"/>
      <c r="F70" s="21">
        <v>2277</v>
      </c>
      <c r="G70" s="21"/>
      <c r="H70" s="21"/>
      <c r="I70" s="21"/>
      <c r="J70" s="21"/>
      <c r="K70" s="21"/>
      <c r="L70" s="21"/>
      <c r="M70" s="21"/>
      <c r="N70" s="21"/>
      <c r="O70" s="21"/>
      <c r="P70" s="21"/>
      <c r="Q70" s="21"/>
      <c r="R70" s="21"/>
      <c r="S70" s="21"/>
      <c r="T70" s="21"/>
      <c r="U70" s="21">
        <v>500</v>
      </c>
      <c r="V70" s="21"/>
      <c r="W70" s="21"/>
      <c r="X70" s="21"/>
      <c r="Y70" s="22">
        <f>VLOOKUP(B70,[1]nHAP!B$11:N$47,13,0)</f>
        <v>500</v>
      </c>
    </row>
    <row r="71" spans="1:25" ht="46.8" x14ac:dyDescent="0.3">
      <c r="A71" s="18">
        <v>9</v>
      </c>
      <c r="B71" s="19" t="s">
        <v>127</v>
      </c>
      <c r="C71" s="20"/>
      <c r="D71" s="21">
        <v>4787</v>
      </c>
      <c r="E71" s="21"/>
      <c r="F71" s="21">
        <v>4787</v>
      </c>
      <c r="G71" s="21"/>
      <c r="H71" s="21"/>
      <c r="I71" s="21"/>
      <c r="J71" s="21"/>
      <c r="K71" s="21"/>
      <c r="L71" s="21"/>
      <c r="M71" s="21"/>
      <c r="N71" s="21"/>
      <c r="O71" s="21"/>
      <c r="P71" s="21"/>
      <c r="Q71" s="21"/>
      <c r="R71" s="21"/>
      <c r="S71" s="21"/>
      <c r="T71" s="21"/>
      <c r="U71" s="21">
        <v>1000</v>
      </c>
      <c r="V71" s="21"/>
      <c r="W71" s="21"/>
      <c r="X71" s="21"/>
      <c r="Y71" s="22">
        <f>VLOOKUP(B71,[1]nHAP!B$11:N$47,13,0)</f>
        <v>1000</v>
      </c>
    </row>
    <row r="72" spans="1:25" ht="31.2" x14ac:dyDescent="0.3">
      <c r="A72" s="18">
        <v>10</v>
      </c>
      <c r="B72" s="19" t="s">
        <v>128</v>
      </c>
      <c r="C72" s="20"/>
      <c r="D72" s="21">
        <v>5818</v>
      </c>
      <c r="E72" s="21"/>
      <c r="F72" s="21">
        <v>5818</v>
      </c>
      <c r="G72" s="21"/>
      <c r="H72" s="21"/>
      <c r="I72" s="21"/>
      <c r="J72" s="21"/>
      <c r="K72" s="21"/>
      <c r="L72" s="21"/>
      <c r="M72" s="21"/>
      <c r="N72" s="21"/>
      <c r="O72" s="21"/>
      <c r="P72" s="21"/>
      <c r="Q72" s="21"/>
      <c r="R72" s="21"/>
      <c r="S72" s="21"/>
      <c r="T72" s="21"/>
      <c r="U72" s="21">
        <v>1000</v>
      </c>
      <c r="V72" s="21"/>
      <c r="W72" s="21"/>
      <c r="X72" s="21"/>
      <c r="Y72" s="22">
        <f>VLOOKUP(B72,[1]nHAP!B$11:N$47,13,0)</f>
        <v>1000</v>
      </c>
    </row>
    <row r="73" spans="1:25" ht="31.2" x14ac:dyDescent="0.3">
      <c r="A73" s="18">
        <v>11</v>
      </c>
      <c r="B73" s="19" t="s">
        <v>129</v>
      </c>
      <c r="C73" s="20"/>
      <c r="D73" s="21">
        <v>4183</v>
      </c>
      <c r="E73" s="21"/>
      <c r="F73" s="21">
        <v>4183</v>
      </c>
      <c r="G73" s="21"/>
      <c r="H73" s="21"/>
      <c r="I73" s="21"/>
      <c r="J73" s="21"/>
      <c r="K73" s="21"/>
      <c r="L73" s="21"/>
      <c r="M73" s="21"/>
      <c r="N73" s="21"/>
      <c r="O73" s="21"/>
      <c r="P73" s="21"/>
      <c r="Q73" s="21"/>
      <c r="R73" s="21"/>
      <c r="S73" s="21"/>
      <c r="T73" s="21"/>
      <c r="U73" s="21">
        <v>500</v>
      </c>
      <c r="V73" s="21"/>
      <c r="W73" s="21"/>
      <c r="X73" s="21"/>
      <c r="Y73" s="22">
        <f>VLOOKUP(B73,[1]nHAP!B$11:N$47,13,0)</f>
        <v>500</v>
      </c>
    </row>
    <row r="74" spans="1:25" ht="31.2" x14ac:dyDescent="0.3">
      <c r="A74" s="18">
        <v>12</v>
      </c>
      <c r="B74" s="19" t="s">
        <v>130</v>
      </c>
      <c r="C74" s="20"/>
      <c r="D74" s="21">
        <v>3277</v>
      </c>
      <c r="E74" s="21"/>
      <c r="F74" s="21">
        <v>3277</v>
      </c>
      <c r="G74" s="21"/>
      <c r="H74" s="21"/>
      <c r="I74" s="21"/>
      <c r="J74" s="21"/>
      <c r="K74" s="21"/>
      <c r="L74" s="21"/>
      <c r="M74" s="21"/>
      <c r="N74" s="21"/>
      <c r="O74" s="21"/>
      <c r="P74" s="21"/>
      <c r="Q74" s="21"/>
      <c r="R74" s="21"/>
      <c r="S74" s="21"/>
      <c r="T74" s="21"/>
      <c r="U74" s="21">
        <v>500</v>
      </c>
      <c r="V74" s="21"/>
      <c r="W74" s="21"/>
      <c r="X74" s="21"/>
      <c r="Y74" s="22">
        <f>VLOOKUP(B74,[1]nHAP!B$11:N$47,13,0)</f>
        <v>500</v>
      </c>
    </row>
    <row r="75" spans="1:25" ht="64.349999999999994" customHeight="1" x14ac:dyDescent="0.3">
      <c r="A75" s="18">
        <v>13</v>
      </c>
      <c r="B75" s="19" t="s">
        <v>132</v>
      </c>
      <c r="C75" s="20"/>
      <c r="D75" s="21">
        <v>3000</v>
      </c>
      <c r="E75" s="21"/>
      <c r="F75" s="21">
        <v>3000</v>
      </c>
      <c r="G75" s="21"/>
      <c r="H75" s="21"/>
      <c r="I75" s="21"/>
      <c r="J75" s="21"/>
      <c r="K75" s="21"/>
      <c r="L75" s="21"/>
      <c r="M75" s="21"/>
      <c r="N75" s="21"/>
      <c r="O75" s="21"/>
      <c r="P75" s="21"/>
      <c r="Q75" s="21"/>
      <c r="R75" s="21"/>
      <c r="S75" s="21"/>
      <c r="T75" s="21"/>
      <c r="U75" s="21">
        <v>700</v>
      </c>
      <c r="V75" s="21"/>
      <c r="W75" s="21"/>
      <c r="X75" s="21"/>
      <c r="Y75" s="22">
        <f>VLOOKUP(B75,[1]nHAP!B$11:N$47,13,0)</f>
        <v>700</v>
      </c>
    </row>
    <row r="76" spans="1:25" s="17" customFormat="1" x14ac:dyDescent="0.3">
      <c r="A76" s="11" t="s">
        <v>18</v>
      </c>
      <c r="B76" s="14" t="s">
        <v>53</v>
      </c>
      <c r="C76" s="10"/>
      <c r="D76" s="15">
        <f>SUM(D77:D80)</f>
        <v>10619</v>
      </c>
      <c r="E76" s="15">
        <f t="shared" ref="E76:X76" si="11">SUM(E77:E80)</f>
        <v>0</v>
      </c>
      <c r="F76" s="15">
        <f t="shared" si="11"/>
        <v>10619</v>
      </c>
      <c r="G76" s="15">
        <f t="shared" si="11"/>
        <v>2371</v>
      </c>
      <c r="H76" s="15">
        <f t="shared" si="11"/>
        <v>2371</v>
      </c>
      <c r="I76" s="15">
        <f t="shared" si="11"/>
        <v>1971</v>
      </c>
      <c r="J76" s="15">
        <f t="shared" si="11"/>
        <v>1971</v>
      </c>
      <c r="K76" s="15">
        <f t="shared" si="11"/>
        <v>2371</v>
      </c>
      <c r="L76" s="15">
        <f t="shared" si="11"/>
        <v>2371</v>
      </c>
      <c r="M76" s="15">
        <f t="shared" si="11"/>
        <v>1971</v>
      </c>
      <c r="N76" s="15">
        <f t="shared" si="11"/>
        <v>1971</v>
      </c>
      <c r="O76" s="15">
        <f t="shared" si="11"/>
        <v>10619</v>
      </c>
      <c r="P76" s="15">
        <f t="shared" si="11"/>
        <v>0</v>
      </c>
      <c r="Q76" s="15">
        <f t="shared" si="11"/>
        <v>0</v>
      </c>
      <c r="R76" s="15">
        <f t="shared" si="11"/>
        <v>2371</v>
      </c>
      <c r="S76" s="15">
        <f t="shared" si="11"/>
        <v>0</v>
      </c>
      <c r="T76" s="15">
        <f t="shared" si="11"/>
        <v>0</v>
      </c>
      <c r="U76" s="15">
        <f t="shared" si="11"/>
        <v>0</v>
      </c>
      <c r="V76" s="15">
        <f t="shared" si="11"/>
        <v>0</v>
      </c>
      <c r="W76" s="15">
        <f t="shared" si="11"/>
        <v>0</v>
      </c>
      <c r="X76" s="15">
        <f t="shared" si="11"/>
        <v>0</v>
      </c>
      <c r="Y76" s="16" t="e">
        <f>VLOOKUP(B76,[1]nHAP!B$11:N$47,13,0)</f>
        <v>#N/A</v>
      </c>
    </row>
    <row r="77" spans="1:25" ht="31.2" x14ac:dyDescent="0.3">
      <c r="A77" s="18">
        <v>1</v>
      </c>
      <c r="B77" s="19" t="s">
        <v>77</v>
      </c>
      <c r="C77" s="20"/>
      <c r="D77" s="21">
        <v>4368</v>
      </c>
      <c r="E77" s="21"/>
      <c r="F77" s="21">
        <v>4368</v>
      </c>
      <c r="G77" s="21">
        <v>570</v>
      </c>
      <c r="H77" s="21">
        <v>570</v>
      </c>
      <c r="I77" s="21">
        <v>570</v>
      </c>
      <c r="J77" s="21">
        <v>570</v>
      </c>
      <c r="K77" s="21">
        <v>570</v>
      </c>
      <c r="L77" s="21">
        <v>570</v>
      </c>
      <c r="M77" s="21">
        <v>570</v>
      </c>
      <c r="N77" s="21">
        <v>570</v>
      </c>
      <c r="O77" s="21">
        <v>4368</v>
      </c>
      <c r="P77" s="21"/>
      <c r="Q77" s="21"/>
      <c r="R77" s="21">
        <v>570</v>
      </c>
      <c r="S77" s="21"/>
      <c r="T77" s="21"/>
      <c r="U77" s="21"/>
      <c r="V77" s="21"/>
      <c r="W77" s="21"/>
      <c r="X77" s="21"/>
      <c r="Y77" s="16" t="e">
        <f>VLOOKUP(B77,[1]nHAP!B$11:N$47,13,0)</f>
        <v>#N/A</v>
      </c>
    </row>
    <row r="78" spans="1:25" ht="31.2" x14ac:dyDescent="0.3">
      <c r="A78" s="18">
        <v>2</v>
      </c>
      <c r="B78" s="19" t="s">
        <v>78</v>
      </c>
      <c r="C78" s="20"/>
      <c r="D78" s="21">
        <v>2393</v>
      </c>
      <c r="E78" s="21"/>
      <c r="F78" s="21">
        <v>2393</v>
      </c>
      <c r="G78" s="21">
        <v>800</v>
      </c>
      <c r="H78" s="21">
        <v>800</v>
      </c>
      <c r="I78" s="21">
        <v>800</v>
      </c>
      <c r="J78" s="21">
        <v>800</v>
      </c>
      <c r="K78" s="21">
        <v>800</v>
      </c>
      <c r="L78" s="21">
        <v>800</v>
      </c>
      <c r="M78" s="21">
        <v>800</v>
      </c>
      <c r="N78" s="21">
        <v>800</v>
      </c>
      <c r="O78" s="21">
        <v>2393</v>
      </c>
      <c r="P78" s="21"/>
      <c r="Q78" s="21"/>
      <c r="R78" s="21">
        <v>800</v>
      </c>
      <c r="S78" s="21"/>
      <c r="T78" s="21"/>
      <c r="U78" s="21"/>
      <c r="V78" s="21"/>
      <c r="W78" s="21"/>
      <c r="X78" s="21"/>
      <c r="Y78" s="16" t="e">
        <f>VLOOKUP(B78,[1]nHAP!B$11:N$47,13,0)</f>
        <v>#N/A</v>
      </c>
    </row>
    <row r="79" spans="1:25" ht="31.2" x14ac:dyDescent="0.3">
      <c r="A79" s="18">
        <v>3</v>
      </c>
      <c r="B79" s="19" t="s">
        <v>79</v>
      </c>
      <c r="C79" s="20"/>
      <c r="D79" s="21">
        <v>1930</v>
      </c>
      <c r="E79" s="21"/>
      <c r="F79" s="21">
        <v>1930</v>
      </c>
      <c r="G79" s="21">
        <v>400</v>
      </c>
      <c r="H79" s="21">
        <v>400</v>
      </c>
      <c r="I79" s="21">
        <v>0</v>
      </c>
      <c r="J79" s="21">
        <v>0</v>
      </c>
      <c r="K79" s="21">
        <v>400</v>
      </c>
      <c r="L79" s="21">
        <v>400</v>
      </c>
      <c r="M79" s="21">
        <v>0</v>
      </c>
      <c r="N79" s="21">
        <v>0</v>
      </c>
      <c r="O79" s="21">
        <v>1930</v>
      </c>
      <c r="P79" s="21"/>
      <c r="Q79" s="21"/>
      <c r="R79" s="21">
        <v>400</v>
      </c>
      <c r="S79" s="21"/>
      <c r="T79" s="21"/>
      <c r="U79" s="21"/>
      <c r="V79" s="21"/>
      <c r="W79" s="21"/>
      <c r="X79" s="21"/>
      <c r="Y79" s="16" t="e">
        <f>VLOOKUP(B79,[1]nHAP!B$11:N$47,13,0)</f>
        <v>#N/A</v>
      </c>
    </row>
    <row r="80" spans="1:25" ht="31.2" x14ac:dyDescent="0.3">
      <c r="A80" s="18">
        <v>4</v>
      </c>
      <c r="B80" s="19" t="s">
        <v>80</v>
      </c>
      <c r="C80" s="20"/>
      <c r="D80" s="21">
        <v>1928</v>
      </c>
      <c r="E80" s="21"/>
      <c r="F80" s="21">
        <v>1928</v>
      </c>
      <c r="G80" s="21">
        <v>601</v>
      </c>
      <c r="H80" s="21">
        <v>601</v>
      </c>
      <c r="I80" s="21">
        <v>601</v>
      </c>
      <c r="J80" s="21">
        <v>601</v>
      </c>
      <c r="K80" s="21">
        <v>601</v>
      </c>
      <c r="L80" s="21">
        <v>601</v>
      </c>
      <c r="M80" s="21">
        <v>601</v>
      </c>
      <c r="N80" s="21">
        <v>601</v>
      </c>
      <c r="O80" s="21">
        <v>1928</v>
      </c>
      <c r="P80" s="21"/>
      <c r="Q80" s="21"/>
      <c r="R80" s="21">
        <v>601</v>
      </c>
      <c r="S80" s="21"/>
      <c r="T80" s="21"/>
      <c r="U80" s="21"/>
      <c r="V80" s="21"/>
      <c r="W80" s="21"/>
      <c r="X80" s="21"/>
      <c r="Y80" s="16" t="e">
        <f>VLOOKUP(B80,[1]nHAP!B$11:N$47,13,0)</f>
        <v>#N/A</v>
      </c>
    </row>
    <row r="81" spans="1:25" s="17" customFormat="1" x14ac:dyDescent="0.3">
      <c r="A81" s="11" t="s">
        <v>18</v>
      </c>
      <c r="B81" s="14" t="s">
        <v>67</v>
      </c>
      <c r="C81" s="10"/>
      <c r="D81" s="15">
        <f>D82+D83</f>
        <v>173818</v>
      </c>
      <c r="E81" s="15">
        <f t="shared" ref="E81:X81" si="12">E82+E83</f>
        <v>0</v>
      </c>
      <c r="F81" s="15">
        <f t="shared" si="12"/>
        <v>173818</v>
      </c>
      <c r="G81" s="15">
        <f t="shared" si="12"/>
        <v>9000</v>
      </c>
      <c r="H81" s="15">
        <f t="shared" si="12"/>
        <v>9000</v>
      </c>
      <c r="I81" s="15">
        <f t="shared" si="12"/>
        <v>6000</v>
      </c>
      <c r="J81" s="15">
        <f t="shared" si="12"/>
        <v>6000</v>
      </c>
      <c r="K81" s="15">
        <f t="shared" si="12"/>
        <v>9000</v>
      </c>
      <c r="L81" s="15">
        <f t="shared" si="12"/>
        <v>9000</v>
      </c>
      <c r="M81" s="15">
        <f t="shared" si="12"/>
        <v>6000</v>
      </c>
      <c r="N81" s="15">
        <f t="shared" si="12"/>
        <v>6000</v>
      </c>
      <c r="O81" s="15">
        <f t="shared" si="12"/>
        <v>173818</v>
      </c>
      <c r="P81" s="15">
        <f t="shared" si="12"/>
        <v>0</v>
      </c>
      <c r="Q81" s="15">
        <f t="shared" si="12"/>
        <v>0</v>
      </c>
      <c r="R81" s="15">
        <f t="shared" si="12"/>
        <v>9000</v>
      </c>
      <c r="S81" s="15">
        <f t="shared" si="12"/>
        <v>0</v>
      </c>
      <c r="T81" s="15">
        <f t="shared" si="12"/>
        <v>0</v>
      </c>
      <c r="U81" s="15">
        <f t="shared" si="12"/>
        <v>0</v>
      </c>
      <c r="V81" s="15">
        <f t="shared" si="12"/>
        <v>0</v>
      </c>
      <c r="W81" s="15">
        <f t="shared" si="12"/>
        <v>0</v>
      </c>
      <c r="X81" s="15">
        <f t="shared" si="12"/>
        <v>0</v>
      </c>
      <c r="Y81" s="16" t="e">
        <f>VLOOKUP(B81,[1]nHAP!B$11:N$47,13,0)</f>
        <v>#N/A</v>
      </c>
    </row>
    <row r="82" spans="1:25" ht="46.8" x14ac:dyDescent="0.3">
      <c r="A82" s="18">
        <v>1</v>
      </c>
      <c r="B82" s="19" t="s">
        <v>81</v>
      </c>
      <c r="C82" s="20"/>
      <c r="D82" s="21">
        <v>103146</v>
      </c>
      <c r="E82" s="21"/>
      <c r="F82" s="21">
        <v>103146</v>
      </c>
      <c r="G82" s="21">
        <v>5000</v>
      </c>
      <c r="H82" s="21">
        <v>5000</v>
      </c>
      <c r="I82" s="21">
        <v>2000</v>
      </c>
      <c r="J82" s="21">
        <v>2000</v>
      </c>
      <c r="K82" s="21">
        <v>5000</v>
      </c>
      <c r="L82" s="21">
        <v>5000</v>
      </c>
      <c r="M82" s="21">
        <v>2000</v>
      </c>
      <c r="N82" s="21">
        <v>2000</v>
      </c>
      <c r="O82" s="21">
        <v>103146</v>
      </c>
      <c r="P82" s="21"/>
      <c r="Q82" s="21"/>
      <c r="R82" s="21">
        <v>5000</v>
      </c>
      <c r="S82" s="21"/>
      <c r="T82" s="21"/>
      <c r="U82" s="21"/>
      <c r="V82" s="21"/>
      <c r="W82" s="21"/>
      <c r="X82" s="21"/>
      <c r="Y82" s="16" t="e">
        <f>VLOOKUP(B82,[1]nHAP!B$11:N$47,13,0)</f>
        <v>#N/A</v>
      </c>
    </row>
    <row r="83" spans="1:25" ht="31.2" x14ac:dyDescent="0.3">
      <c r="A83" s="18">
        <v>2</v>
      </c>
      <c r="B83" s="19" t="s">
        <v>82</v>
      </c>
      <c r="C83" s="20"/>
      <c r="D83" s="21">
        <v>70672</v>
      </c>
      <c r="E83" s="21"/>
      <c r="F83" s="21">
        <v>70672</v>
      </c>
      <c r="G83" s="21">
        <v>4000</v>
      </c>
      <c r="H83" s="21">
        <v>4000</v>
      </c>
      <c r="I83" s="21">
        <v>4000</v>
      </c>
      <c r="J83" s="21">
        <v>4000</v>
      </c>
      <c r="K83" s="21">
        <v>4000</v>
      </c>
      <c r="L83" s="21">
        <v>4000</v>
      </c>
      <c r="M83" s="21">
        <v>4000</v>
      </c>
      <c r="N83" s="21">
        <v>4000</v>
      </c>
      <c r="O83" s="21">
        <v>70672</v>
      </c>
      <c r="P83" s="21"/>
      <c r="Q83" s="21"/>
      <c r="R83" s="21">
        <v>4000</v>
      </c>
      <c r="S83" s="21"/>
      <c r="T83" s="21"/>
      <c r="U83" s="21"/>
      <c r="V83" s="21"/>
      <c r="W83" s="21"/>
      <c r="X83" s="21"/>
      <c r="Y83" s="16" t="e">
        <f>VLOOKUP(B83,[1]nHAP!B$11:N$47,13,0)</f>
        <v>#N/A</v>
      </c>
    </row>
    <row r="84" spans="1:25" s="17" customFormat="1" x14ac:dyDescent="0.3">
      <c r="A84" s="11" t="s">
        <v>23</v>
      </c>
      <c r="B84" s="14" t="s">
        <v>131</v>
      </c>
      <c r="C84" s="10"/>
      <c r="D84" s="15">
        <f>D85+D89+D98+D109+D114</f>
        <v>257688</v>
      </c>
      <c r="E84" s="15">
        <f t="shared" ref="E84:X84" si="13">E85+E89+E98+E109+E114</f>
        <v>0</v>
      </c>
      <c r="F84" s="15">
        <f t="shared" si="13"/>
        <v>257688</v>
      </c>
      <c r="G84" s="15">
        <f t="shared" si="13"/>
        <v>27435</v>
      </c>
      <c r="H84" s="15">
        <f t="shared" si="13"/>
        <v>27435</v>
      </c>
      <c r="I84" s="15">
        <f t="shared" si="13"/>
        <v>14081.52</v>
      </c>
      <c r="J84" s="15">
        <f t="shared" si="13"/>
        <v>14081.52</v>
      </c>
      <c r="K84" s="15">
        <f t="shared" si="13"/>
        <v>27435</v>
      </c>
      <c r="L84" s="15">
        <f t="shared" si="13"/>
        <v>27435</v>
      </c>
      <c r="M84" s="15">
        <f t="shared" si="13"/>
        <v>14081.52</v>
      </c>
      <c r="N84" s="15">
        <f t="shared" si="13"/>
        <v>14081.52</v>
      </c>
      <c r="O84" s="15">
        <f t="shared" si="13"/>
        <v>236688</v>
      </c>
      <c r="P84" s="15">
        <f t="shared" si="13"/>
        <v>0</v>
      </c>
      <c r="Q84" s="15">
        <f t="shared" si="13"/>
        <v>0</v>
      </c>
      <c r="R84" s="15">
        <f t="shared" si="13"/>
        <v>27435</v>
      </c>
      <c r="S84" s="15">
        <f t="shared" si="13"/>
        <v>0</v>
      </c>
      <c r="T84" s="15">
        <f t="shared" si="13"/>
        <v>0</v>
      </c>
      <c r="U84" s="15">
        <f t="shared" si="13"/>
        <v>6300</v>
      </c>
      <c r="V84" s="15">
        <f t="shared" si="13"/>
        <v>0</v>
      </c>
      <c r="W84" s="15">
        <f t="shared" si="13"/>
        <v>0</v>
      </c>
      <c r="X84" s="15">
        <f t="shared" si="13"/>
        <v>0</v>
      </c>
      <c r="Y84" s="16">
        <f>VLOOKUP(B84,[1]nHAP!B$11:N$47,13,0)</f>
        <v>0</v>
      </c>
    </row>
    <row r="85" spans="1:25" s="17" customFormat="1" x14ac:dyDescent="0.3">
      <c r="A85" s="11" t="s">
        <v>18</v>
      </c>
      <c r="B85" s="14" t="s">
        <v>53</v>
      </c>
      <c r="C85" s="10"/>
      <c r="D85" s="15">
        <f>SUM(D86:D88)</f>
        <v>9300</v>
      </c>
      <c r="E85" s="15">
        <f t="shared" ref="E85:X85" si="14">SUM(E86:E88)</f>
        <v>0</v>
      </c>
      <c r="F85" s="15">
        <f t="shared" si="14"/>
        <v>9300</v>
      </c>
      <c r="G85" s="15">
        <f t="shared" si="14"/>
        <v>2400</v>
      </c>
      <c r="H85" s="15">
        <f t="shared" si="14"/>
        <v>2400</v>
      </c>
      <c r="I85" s="15">
        <f t="shared" si="14"/>
        <v>1300</v>
      </c>
      <c r="J85" s="15">
        <f t="shared" si="14"/>
        <v>1300</v>
      </c>
      <c r="K85" s="15">
        <f t="shared" si="14"/>
        <v>2400</v>
      </c>
      <c r="L85" s="15">
        <f t="shared" si="14"/>
        <v>2400</v>
      </c>
      <c r="M85" s="15">
        <f t="shared" si="14"/>
        <v>1300</v>
      </c>
      <c r="N85" s="15">
        <f t="shared" si="14"/>
        <v>1300</v>
      </c>
      <c r="O85" s="15">
        <f t="shared" si="14"/>
        <v>9300</v>
      </c>
      <c r="P85" s="15">
        <f t="shared" si="14"/>
        <v>0</v>
      </c>
      <c r="Q85" s="15">
        <f t="shared" si="14"/>
        <v>0</v>
      </c>
      <c r="R85" s="15">
        <f t="shared" si="14"/>
        <v>2400</v>
      </c>
      <c r="S85" s="15">
        <f t="shared" si="14"/>
        <v>0</v>
      </c>
      <c r="T85" s="15">
        <f t="shared" si="14"/>
        <v>0</v>
      </c>
      <c r="U85" s="15">
        <f t="shared" si="14"/>
        <v>0</v>
      </c>
      <c r="V85" s="15">
        <f t="shared" si="14"/>
        <v>0</v>
      </c>
      <c r="W85" s="15">
        <f t="shared" si="14"/>
        <v>0</v>
      </c>
      <c r="X85" s="15">
        <f t="shared" si="14"/>
        <v>0</v>
      </c>
      <c r="Y85" s="16" t="e">
        <f>VLOOKUP(B85,[1]nHAP!B$11:N$47,13,0)</f>
        <v>#N/A</v>
      </c>
    </row>
    <row r="86" spans="1:25" ht="31.2" x14ac:dyDescent="0.3">
      <c r="A86" s="18">
        <v>1</v>
      </c>
      <c r="B86" s="19" t="s">
        <v>83</v>
      </c>
      <c r="C86" s="20"/>
      <c r="D86" s="21">
        <v>5200</v>
      </c>
      <c r="E86" s="21"/>
      <c r="F86" s="21">
        <v>5200</v>
      </c>
      <c r="G86" s="21">
        <v>1300</v>
      </c>
      <c r="H86" s="21">
        <v>1300</v>
      </c>
      <c r="I86" s="21">
        <v>1300</v>
      </c>
      <c r="J86" s="21">
        <v>1300</v>
      </c>
      <c r="K86" s="21">
        <v>1300</v>
      </c>
      <c r="L86" s="21">
        <v>1300</v>
      </c>
      <c r="M86" s="21">
        <v>1300</v>
      </c>
      <c r="N86" s="21">
        <v>1300</v>
      </c>
      <c r="O86" s="21">
        <v>5200</v>
      </c>
      <c r="P86" s="21"/>
      <c r="Q86" s="21"/>
      <c r="R86" s="21">
        <v>1300</v>
      </c>
      <c r="S86" s="21"/>
      <c r="T86" s="21"/>
      <c r="U86" s="21"/>
      <c r="V86" s="21"/>
      <c r="W86" s="21"/>
      <c r="X86" s="21"/>
      <c r="Y86" s="16" t="e">
        <f>VLOOKUP(B86,[1]nHAP!B$11:N$47,13,0)</f>
        <v>#N/A</v>
      </c>
    </row>
    <row r="87" spans="1:25" ht="31.2" x14ac:dyDescent="0.3">
      <c r="A87" s="18">
        <v>2</v>
      </c>
      <c r="B87" s="19" t="s">
        <v>84</v>
      </c>
      <c r="C87" s="20"/>
      <c r="D87" s="21">
        <v>3100</v>
      </c>
      <c r="E87" s="21"/>
      <c r="F87" s="21">
        <v>3100</v>
      </c>
      <c r="G87" s="21">
        <v>800</v>
      </c>
      <c r="H87" s="21">
        <v>800</v>
      </c>
      <c r="I87" s="21">
        <v>0</v>
      </c>
      <c r="J87" s="21">
        <v>0</v>
      </c>
      <c r="K87" s="21">
        <v>800</v>
      </c>
      <c r="L87" s="21">
        <v>800</v>
      </c>
      <c r="M87" s="21">
        <v>0</v>
      </c>
      <c r="N87" s="21">
        <v>0</v>
      </c>
      <c r="O87" s="21">
        <v>3100</v>
      </c>
      <c r="P87" s="21"/>
      <c r="Q87" s="21"/>
      <c r="R87" s="21">
        <v>800</v>
      </c>
      <c r="S87" s="21"/>
      <c r="T87" s="21"/>
      <c r="U87" s="21"/>
      <c r="V87" s="21"/>
      <c r="W87" s="21"/>
      <c r="X87" s="21"/>
      <c r="Y87" s="16" t="e">
        <f>VLOOKUP(B87,[1]nHAP!B$11:N$47,13,0)</f>
        <v>#N/A</v>
      </c>
    </row>
    <row r="88" spans="1:25" ht="62.4" x14ac:dyDescent="0.3">
      <c r="A88" s="18">
        <v>3</v>
      </c>
      <c r="B88" s="19" t="s">
        <v>85</v>
      </c>
      <c r="C88" s="20"/>
      <c r="D88" s="21">
        <v>1000</v>
      </c>
      <c r="E88" s="21"/>
      <c r="F88" s="21">
        <v>1000</v>
      </c>
      <c r="G88" s="21">
        <v>300</v>
      </c>
      <c r="H88" s="21">
        <v>300</v>
      </c>
      <c r="I88" s="21">
        <v>0</v>
      </c>
      <c r="J88" s="21">
        <v>0</v>
      </c>
      <c r="K88" s="21">
        <v>300</v>
      </c>
      <c r="L88" s="21">
        <v>300</v>
      </c>
      <c r="M88" s="21">
        <v>0</v>
      </c>
      <c r="N88" s="21">
        <v>0</v>
      </c>
      <c r="O88" s="21">
        <v>1000</v>
      </c>
      <c r="P88" s="21"/>
      <c r="Q88" s="21"/>
      <c r="R88" s="21">
        <v>300</v>
      </c>
      <c r="S88" s="21"/>
      <c r="T88" s="21"/>
      <c r="U88" s="21"/>
      <c r="V88" s="21"/>
      <c r="W88" s="21"/>
      <c r="X88" s="21"/>
      <c r="Y88" s="16" t="e">
        <f>VLOOKUP(B88,[1]nHAP!B$11:N$47,13,0)</f>
        <v>#N/A</v>
      </c>
    </row>
    <row r="89" spans="1:25" s="17" customFormat="1" x14ac:dyDescent="0.3">
      <c r="A89" s="11" t="s">
        <v>18</v>
      </c>
      <c r="B89" s="14" t="s">
        <v>32</v>
      </c>
      <c r="C89" s="10"/>
      <c r="D89" s="15">
        <f>SUM(D90:D97)</f>
        <v>174580</v>
      </c>
      <c r="E89" s="15">
        <f t="shared" ref="E89:X89" si="15">SUM(E90:E97)</f>
        <v>0</v>
      </c>
      <c r="F89" s="15">
        <f t="shared" si="15"/>
        <v>174580</v>
      </c>
      <c r="G89" s="15">
        <f t="shared" si="15"/>
        <v>9853</v>
      </c>
      <c r="H89" s="15">
        <f t="shared" si="15"/>
        <v>9853</v>
      </c>
      <c r="I89" s="15">
        <f t="shared" si="15"/>
        <v>6130</v>
      </c>
      <c r="J89" s="15">
        <f t="shared" si="15"/>
        <v>6130</v>
      </c>
      <c r="K89" s="15">
        <f t="shared" si="15"/>
        <v>9853</v>
      </c>
      <c r="L89" s="15">
        <f t="shared" si="15"/>
        <v>9853</v>
      </c>
      <c r="M89" s="15">
        <f t="shared" si="15"/>
        <v>6130</v>
      </c>
      <c r="N89" s="15">
        <f t="shared" si="15"/>
        <v>6130</v>
      </c>
      <c r="O89" s="15">
        <f t="shared" si="15"/>
        <v>174580</v>
      </c>
      <c r="P89" s="15">
        <f t="shared" si="15"/>
        <v>0</v>
      </c>
      <c r="Q89" s="15">
        <f t="shared" si="15"/>
        <v>0</v>
      </c>
      <c r="R89" s="15">
        <f t="shared" si="15"/>
        <v>9853</v>
      </c>
      <c r="S89" s="15">
        <f t="shared" si="15"/>
        <v>0</v>
      </c>
      <c r="T89" s="15">
        <f t="shared" si="15"/>
        <v>0</v>
      </c>
      <c r="U89" s="15">
        <f t="shared" si="15"/>
        <v>1700</v>
      </c>
      <c r="V89" s="15">
        <f t="shared" si="15"/>
        <v>0</v>
      </c>
      <c r="W89" s="15">
        <f t="shared" si="15"/>
        <v>0</v>
      </c>
      <c r="X89" s="15">
        <f t="shared" si="15"/>
        <v>0</v>
      </c>
      <c r="Y89" s="16" t="e">
        <f>VLOOKUP(B89,[1]nHAP!B$11:N$47,13,0)</f>
        <v>#N/A</v>
      </c>
    </row>
    <row r="90" spans="1:25" ht="31.2" x14ac:dyDescent="0.3">
      <c r="A90" s="18">
        <v>1</v>
      </c>
      <c r="B90" s="19" t="s">
        <v>86</v>
      </c>
      <c r="C90" s="20"/>
      <c r="D90" s="21">
        <v>10000</v>
      </c>
      <c r="E90" s="21"/>
      <c r="F90" s="21">
        <v>10000</v>
      </c>
      <c r="G90" s="21">
        <v>1000</v>
      </c>
      <c r="H90" s="21">
        <v>1000</v>
      </c>
      <c r="I90" s="21">
        <v>1000</v>
      </c>
      <c r="J90" s="21">
        <v>1000</v>
      </c>
      <c r="K90" s="21">
        <v>1000</v>
      </c>
      <c r="L90" s="21">
        <v>1000</v>
      </c>
      <c r="M90" s="21">
        <v>1000</v>
      </c>
      <c r="N90" s="21">
        <v>1000</v>
      </c>
      <c r="O90" s="21">
        <v>10000</v>
      </c>
      <c r="P90" s="21"/>
      <c r="Q90" s="21"/>
      <c r="R90" s="21">
        <v>1000</v>
      </c>
      <c r="S90" s="21"/>
      <c r="T90" s="21"/>
      <c r="U90" s="21"/>
      <c r="V90" s="21"/>
      <c r="W90" s="21"/>
      <c r="X90" s="21"/>
      <c r="Y90" s="16" t="e">
        <f>VLOOKUP(B90,[1]nHAP!B$11:N$47,13,0)</f>
        <v>#N/A</v>
      </c>
    </row>
    <row r="91" spans="1:25" ht="46.8" x14ac:dyDescent="0.3">
      <c r="A91" s="18">
        <v>2</v>
      </c>
      <c r="B91" s="19" t="s">
        <v>87</v>
      </c>
      <c r="C91" s="20"/>
      <c r="D91" s="21">
        <v>130000</v>
      </c>
      <c r="E91" s="21"/>
      <c r="F91" s="21">
        <v>130000</v>
      </c>
      <c r="G91" s="21">
        <v>1723</v>
      </c>
      <c r="H91" s="21">
        <v>1723</v>
      </c>
      <c r="I91" s="21">
        <v>0</v>
      </c>
      <c r="J91" s="21">
        <v>0</v>
      </c>
      <c r="K91" s="21">
        <v>1723</v>
      </c>
      <c r="L91" s="21">
        <v>1723</v>
      </c>
      <c r="M91" s="21">
        <v>0</v>
      </c>
      <c r="N91" s="21">
        <v>0</v>
      </c>
      <c r="O91" s="21">
        <v>130000</v>
      </c>
      <c r="P91" s="21"/>
      <c r="Q91" s="21"/>
      <c r="R91" s="21">
        <v>1723</v>
      </c>
      <c r="S91" s="21"/>
      <c r="T91" s="21"/>
      <c r="U91" s="21"/>
      <c r="V91" s="21"/>
      <c r="W91" s="21"/>
      <c r="X91" s="21"/>
      <c r="Y91" s="16" t="e">
        <f>VLOOKUP(B91,[1]nHAP!B$11:N$47,13,0)</f>
        <v>#N/A</v>
      </c>
    </row>
    <row r="92" spans="1:25" ht="46.8" x14ac:dyDescent="0.3">
      <c r="A92" s="18">
        <v>3</v>
      </c>
      <c r="B92" s="19" t="s">
        <v>88</v>
      </c>
      <c r="C92" s="20"/>
      <c r="D92" s="21">
        <v>3430</v>
      </c>
      <c r="E92" s="21"/>
      <c r="F92" s="21">
        <v>3430</v>
      </c>
      <c r="G92" s="21">
        <v>930</v>
      </c>
      <c r="H92" s="21">
        <v>930</v>
      </c>
      <c r="I92" s="21">
        <v>930</v>
      </c>
      <c r="J92" s="21">
        <v>930</v>
      </c>
      <c r="K92" s="21">
        <v>930</v>
      </c>
      <c r="L92" s="21">
        <v>930</v>
      </c>
      <c r="M92" s="21">
        <v>930</v>
      </c>
      <c r="N92" s="21">
        <v>930</v>
      </c>
      <c r="O92" s="21">
        <v>3430</v>
      </c>
      <c r="P92" s="21"/>
      <c r="Q92" s="21"/>
      <c r="R92" s="21">
        <v>930</v>
      </c>
      <c r="S92" s="21"/>
      <c r="T92" s="21"/>
      <c r="U92" s="21"/>
      <c r="V92" s="21"/>
      <c r="W92" s="21"/>
      <c r="X92" s="21"/>
      <c r="Y92" s="16" t="e">
        <f>VLOOKUP(B92,[1]nHAP!B$11:N$47,13,0)</f>
        <v>#N/A</v>
      </c>
    </row>
    <row r="93" spans="1:25" ht="46.8" x14ac:dyDescent="0.3">
      <c r="A93" s="18">
        <v>4</v>
      </c>
      <c r="B93" s="19" t="s">
        <v>89</v>
      </c>
      <c r="C93" s="20"/>
      <c r="D93" s="21">
        <v>3000</v>
      </c>
      <c r="E93" s="21"/>
      <c r="F93" s="21">
        <v>3000</v>
      </c>
      <c r="G93" s="21">
        <v>700</v>
      </c>
      <c r="H93" s="21">
        <v>700</v>
      </c>
      <c r="I93" s="21">
        <v>0</v>
      </c>
      <c r="J93" s="21">
        <v>0</v>
      </c>
      <c r="K93" s="21">
        <v>700</v>
      </c>
      <c r="L93" s="21">
        <v>700</v>
      </c>
      <c r="M93" s="21">
        <v>0</v>
      </c>
      <c r="N93" s="21">
        <v>0</v>
      </c>
      <c r="O93" s="21">
        <v>3000</v>
      </c>
      <c r="P93" s="21"/>
      <c r="Q93" s="21"/>
      <c r="R93" s="21">
        <v>700</v>
      </c>
      <c r="S93" s="21"/>
      <c r="T93" s="21"/>
      <c r="U93" s="21">
        <v>700</v>
      </c>
      <c r="V93" s="21"/>
      <c r="W93" s="21"/>
      <c r="X93" s="21"/>
      <c r="Y93" s="22" t="e">
        <f>VLOOKUP(B93,[1]nHAP!B$11:N$47,13,0)</f>
        <v>#N/A</v>
      </c>
    </row>
    <row r="94" spans="1:25" ht="46.8" x14ac:dyDescent="0.3">
      <c r="A94" s="18">
        <v>5</v>
      </c>
      <c r="B94" s="19" t="s">
        <v>90</v>
      </c>
      <c r="C94" s="20"/>
      <c r="D94" s="21">
        <v>7000</v>
      </c>
      <c r="E94" s="21"/>
      <c r="F94" s="21">
        <v>7000</v>
      </c>
      <c r="G94" s="21">
        <v>1000</v>
      </c>
      <c r="H94" s="21">
        <v>1000</v>
      </c>
      <c r="I94" s="21">
        <v>0</v>
      </c>
      <c r="J94" s="21">
        <v>0</v>
      </c>
      <c r="K94" s="21">
        <v>1000</v>
      </c>
      <c r="L94" s="21">
        <v>1000</v>
      </c>
      <c r="M94" s="21">
        <v>0</v>
      </c>
      <c r="N94" s="21">
        <v>0</v>
      </c>
      <c r="O94" s="21">
        <v>7000</v>
      </c>
      <c r="P94" s="21"/>
      <c r="Q94" s="21"/>
      <c r="R94" s="21">
        <v>1000</v>
      </c>
      <c r="S94" s="21"/>
      <c r="T94" s="21"/>
      <c r="U94" s="21">
        <v>1000</v>
      </c>
      <c r="V94" s="21"/>
      <c r="W94" s="21"/>
      <c r="X94" s="21"/>
      <c r="Y94" s="22" t="e">
        <f>VLOOKUP(B94,[1]nHAP!B$11:N$47,13,0)</f>
        <v>#N/A</v>
      </c>
    </row>
    <row r="95" spans="1:25" ht="46.8" x14ac:dyDescent="0.3">
      <c r="A95" s="18">
        <v>6</v>
      </c>
      <c r="B95" s="19" t="s">
        <v>91</v>
      </c>
      <c r="C95" s="20"/>
      <c r="D95" s="21">
        <v>1150</v>
      </c>
      <c r="E95" s="21"/>
      <c r="F95" s="21">
        <v>1150</v>
      </c>
      <c r="G95" s="21">
        <v>500</v>
      </c>
      <c r="H95" s="21">
        <v>500</v>
      </c>
      <c r="I95" s="21">
        <v>500</v>
      </c>
      <c r="J95" s="21">
        <v>500</v>
      </c>
      <c r="K95" s="21">
        <v>500</v>
      </c>
      <c r="L95" s="21">
        <v>500</v>
      </c>
      <c r="M95" s="21">
        <v>500</v>
      </c>
      <c r="N95" s="21">
        <v>500</v>
      </c>
      <c r="O95" s="21">
        <v>1150</v>
      </c>
      <c r="P95" s="21"/>
      <c r="Q95" s="21"/>
      <c r="R95" s="21">
        <v>500</v>
      </c>
      <c r="S95" s="21"/>
      <c r="T95" s="21"/>
      <c r="U95" s="21"/>
      <c r="V95" s="21"/>
      <c r="W95" s="21"/>
      <c r="X95" s="21"/>
      <c r="Y95" s="16" t="e">
        <f>VLOOKUP(B95,[1]nHAP!B$11:N$47,13,0)</f>
        <v>#N/A</v>
      </c>
    </row>
    <row r="96" spans="1:25" ht="31.2" x14ac:dyDescent="0.3">
      <c r="A96" s="18">
        <v>7</v>
      </c>
      <c r="B96" s="19" t="s">
        <v>92</v>
      </c>
      <c r="C96" s="20"/>
      <c r="D96" s="21">
        <v>7000</v>
      </c>
      <c r="E96" s="21"/>
      <c r="F96" s="21">
        <v>7000</v>
      </c>
      <c r="G96" s="21">
        <v>1400</v>
      </c>
      <c r="H96" s="21">
        <v>1400</v>
      </c>
      <c r="I96" s="21">
        <v>1400</v>
      </c>
      <c r="J96" s="21">
        <v>1400</v>
      </c>
      <c r="K96" s="21">
        <v>1400</v>
      </c>
      <c r="L96" s="21">
        <v>1400</v>
      </c>
      <c r="M96" s="21">
        <v>1400</v>
      </c>
      <c r="N96" s="21">
        <v>1400</v>
      </c>
      <c r="O96" s="21">
        <v>7000</v>
      </c>
      <c r="P96" s="21"/>
      <c r="Q96" s="21"/>
      <c r="R96" s="21">
        <v>1400</v>
      </c>
      <c r="S96" s="21"/>
      <c r="T96" s="21"/>
      <c r="U96" s="21"/>
      <c r="V96" s="21"/>
      <c r="W96" s="21"/>
      <c r="X96" s="21"/>
      <c r="Y96" s="16" t="e">
        <f>VLOOKUP(B96,[1]nHAP!B$11:N$47,13,0)</f>
        <v>#N/A</v>
      </c>
    </row>
    <row r="97" spans="1:25" ht="31.2" x14ac:dyDescent="0.3">
      <c r="A97" s="18">
        <v>8</v>
      </c>
      <c r="B97" s="19" t="s">
        <v>93</v>
      </c>
      <c r="C97" s="20"/>
      <c r="D97" s="21">
        <v>13000</v>
      </c>
      <c r="E97" s="21"/>
      <c r="F97" s="21">
        <v>13000</v>
      </c>
      <c r="G97" s="21">
        <v>2600</v>
      </c>
      <c r="H97" s="21">
        <v>2600</v>
      </c>
      <c r="I97" s="21">
        <v>2300</v>
      </c>
      <c r="J97" s="21">
        <v>2300</v>
      </c>
      <c r="K97" s="21">
        <v>2600</v>
      </c>
      <c r="L97" s="21">
        <v>2600</v>
      </c>
      <c r="M97" s="21">
        <v>2300</v>
      </c>
      <c r="N97" s="21">
        <v>2300</v>
      </c>
      <c r="O97" s="21">
        <v>13000</v>
      </c>
      <c r="P97" s="21"/>
      <c r="Q97" s="21"/>
      <c r="R97" s="21">
        <v>2600</v>
      </c>
      <c r="S97" s="21"/>
      <c r="T97" s="21"/>
      <c r="U97" s="21"/>
      <c r="V97" s="21"/>
      <c r="W97" s="21"/>
      <c r="X97" s="21"/>
      <c r="Y97" s="16" t="e">
        <f>VLOOKUP(B97,[1]nHAP!B$11:N$47,13,0)</f>
        <v>#N/A</v>
      </c>
    </row>
    <row r="98" spans="1:25" s="17" customFormat="1" x14ac:dyDescent="0.3">
      <c r="A98" s="11" t="s">
        <v>18</v>
      </c>
      <c r="B98" s="14" t="s">
        <v>44</v>
      </c>
      <c r="C98" s="10"/>
      <c r="D98" s="15">
        <f>SUM(D99:D108)</f>
        <v>41600</v>
      </c>
      <c r="E98" s="15">
        <f t="shared" ref="E98:X98" si="16">SUM(E99:E108)</f>
        <v>0</v>
      </c>
      <c r="F98" s="15">
        <f t="shared" si="16"/>
        <v>41600</v>
      </c>
      <c r="G98" s="15">
        <f t="shared" si="16"/>
        <v>9800</v>
      </c>
      <c r="H98" s="15">
        <f t="shared" si="16"/>
        <v>9800</v>
      </c>
      <c r="I98" s="15">
        <f t="shared" si="16"/>
        <v>5251.52</v>
      </c>
      <c r="J98" s="15">
        <f t="shared" si="16"/>
        <v>5251.52</v>
      </c>
      <c r="K98" s="15">
        <f t="shared" si="16"/>
        <v>9800</v>
      </c>
      <c r="L98" s="15">
        <f t="shared" si="16"/>
        <v>9800</v>
      </c>
      <c r="M98" s="15">
        <f t="shared" si="16"/>
        <v>5251.52</v>
      </c>
      <c r="N98" s="15">
        <f t="shared" si="16"/>
        <v>5251.52</v>
      </c>
      <c r="O98" s="15">
        <f t="shared" si="16"/>
        <v>41600</v>
      </c>
      <c r="P98" s="15">
        <f t="shared" si="16"/>
        <v>0</v>
      </c>
      <c r="Q98" s="15">
        <f t="shared" si="16"/>
        <v>0</v>
      </c>
      <c r="R98" s="15">
        <f t="shared" si="16"/>
        <v>9800</v>
      </c>
      <c r="S98" s="15">
        <f t="shared" si="16"/>
        <v>0</v>
      </c>
      <c r="T98" s="15">
        <f t="shared" si="16"/>
        <v>0</v>
      </c>
      <c r="U98" s="15">
        <f t="shared" si="16"/>
        <v>2600</v>
      </c>
      <c r="V98" s="15">
        <f t="shared" si="16"/>
        <v>0</v>
      </c>
      <c r="W98" s="15">
        <f t="shared" si="16"/>
        <v>0</v>
      </c>
      <c r="X98" s="15">
        <f t="shared" si="16"/>
        <v>0</v>
      </c>
      <c r="Y98" s="16" t="e">
        <f>VLOOKUP(B98,[1]nHAP!B$11:N$47,13,0)</f>
        <v>#N/A</v>
      </c>
    </row>
    <row r="99" spans="1:25" ht="46.8" x14ac:dyDescent="0.3">
      <c r="A99" s="18">
        <v>1</v>
      </c>
      <c r="B99" s="19" t="s">
        <v>94</v>
      </c>
      <c r="C99" s="20"/>
      <c r="D99" s="21">
        <v>1000</v>
      </c>
      <c r="E99" s="21"/>
      <c r="F99" s="21">
        <v>1000</v>
      </c>
      <c r="G99" s="21">
        <v>500</v>
      </c>
      <c r="H99" s="21">
        <v>500</v>
      </c>
      <c r="I99" s="21">
        <v>0</v>
      </c>
      <c r="J99" s="21">
        <v>0</v>
      </c>
      <c r="K99" s="21">
        <v>500</v>
      </c>
      <c r="L99" s="21">
        <v>500</v>
      </c>
      <c r="M99" s="21">
        <v>0</v>
      </c>
      <c r="N99" s="21">
        <v>0</v>
      </c>
      <c r="O99" s="21">
        <v>1000</v>
      </c>
      <c r="P99" s="21"/>
      <c r="Q99" s="21"/>
      <c r="R99" s="21">
        <v>500</v>
      </c>
      <c r="S99" s="21"/>
      <c r="T99" s="21"/>
      <c r="U99" s="21"/>
      <c r="V99" s="21"/>
      <c r="W99" s="21"/>
      <c r="X99" s="21"/>
      <c r="Y99" s="16" t="e">
        <f>VLOOKUP(B99,[1]nHAP!B$11:N$47,13,0)</f>
        <v>#N/A</v>
      </c>
    </row>
    <row r="100" spans="1:25" ht="31.2" x14ac:dyDescent="0.3">
      <c r="A100" s="18">
        <v>2</v>
      </c>
      <c r="B100" s="19" t="s">
        <v>95</v>
      </c>
      <c r="C100" s="20"/>
      <c r="D100" s="21">
        <v>4800</v>
      </c>
      <c r="E100" s="21"/>
      <c r="F100" s="21">
        <v>4800</v>
      </c>
      <c r="G100" s="21">
        <v>1000</v>
      </c>
      <c r="H100" s="21">
        <v>1000</v>
      </c>
      <c r="I100" s="21">
        <v>1000</v>
      </c>
      <c r="J100" s="21">
        <v>1000</v>
      </c>
      <c r="K100" s="21">
        <v>1000</v>
      </c>
      <c r="L100" s="21">
        <v>1000</v>
      </c>
      <c r="M100" s="21">
        <v>1000</v>
      </c>
      <c r="N100" s="21">
        <v>1000</v>
      </c>
      <c r="O100" s="21">
        <v>4800</v>
      </c>
      <c r="P100" s="21"/>
      <c r="Q100" s="21"/>
      <c r="R100" s="21">
        <v>1000</v>
      </c>
      <c r="S100" s="21"/>
      <c r="T100" s="21"/>
      <c r="U100" s="21"/>
      <c r="V100" s="21"/>
      <c r="W100" s="21"/>
      <c r="X100" s="21"/>
      <c r="Y100" s="16" t="e">
        <f>VLOOKUP(B100,[1]nHAP!B$11:N$47,13,0)</f>
        <v>#N/A</v>
      </c>
    </row>
    <row r="101" spans="1:25" ht="53.1" customHeight="1" x14ac:dyDescent="0.3">
      <c r="A101" s="18">
        <v>3</v>
      </c>
      <c r="B101" s="19" t="s">
        <v>96</v>
      </c>
      <c r="C101" s="20"/>
      <c r="D101" s="21">
        <v>6000</v>
      </c>
      <c r="E101" s="21"/>
      <c r="F101" s="21">
        <v>6000</v>
      </c>
      <c r="G101" s="21">
        <v>1500</v>
      </c>
      <c r="H101" s="21">
        <v>1500</v>
      </c>
      <c r="I101" s="21">
        <v>1500</v>
      </c>
      <c r="J101" s="21">
        <v>1500</v>
      </c>
      <c r="K101" s="21">
        <v>1500</v>
      </c>
      <c r="L101" s="21">
        <v>1500</v>
      </c>
      <c r="M101" s="21">
        <v>1500</v>
      </c>
      <c r="N101" s="21">
        <v>1500</v>
      </c>
      <c r="O101" s="21">
        <v>6000</v>
      </c>
      <c r="P101" s="21"/>
      <c r="Q101" s="21"/>
      <c r="R101" s="21">
        <v>1500</v>
      </c>
      <c r="S101" s="21"/>
      <c r="T101" s="21"/>
      <c r="U101" s="21"/>
      <c r="V101" s="21"/>
      <c r="W101" s="21"/>
      <c r="X101" s="21"/>
      <c r="Y101" s="16" t="e">
        <f>VLOOKUP(B101,[1]nHAP!B$11:N$47,13,0)</f>
        <v>#N/A</v>
      </c>
    </row>
    <row r="102" spans="1:25" ht="31.2" x14ac:dyDescent="0.3">
      <c r="A102" s="18">
        <v>4</v>
      </c>
      <c r="B102" s="19" t="s">
        <v>97</v>
      </c>
      <c r="C102" s="20"/>
      <c r="D102" s="21">
        <v>7200</v>
      </c>
      <c r="E102" s="21"/>
      <c r="F102" s="21">
        <v>7200</v>
      </c>
      <c r="G102" s="21">
        <v>1500</v>
      </c>
      <c r="H102" s="21">
        <v>1500</v>
      </c>
      <c r="I102" s="21">
        <v>251.52</v>
      </c>
      <c r="J102" s="21">
        <v>251.52</v>
      </c>
      <c r="K102" s="21">
        <v>1500</v>
      </c>
      <c r="L102" s="21">
        <v>1500</v>
      </c>
      <c r="M102" s="21">
        <v>251.52</v>
      </c>
      <c r="N102" s="21">
        <v>251.52</v>
      </c>
      <c r="O102" s="21">
        <v>7200</v>
      </c>
      <c r="P102" s="21"/>
      <c r="Q102" s="21"/>
      <c r="R102" s="21">
        <v>1500</v>
      </c>
      <c r="S102" s="21"/>
      <c r="T102" s="21"/>
      <c r="U102" s="21">
        <v>1000</v>
      </c>
      <c r="V102" s="21"/>
      <c r="W102" s="21"/>
      <c r="X102" s="21"/>
      <c r="Y102" s="22" t="e">
        <f>VLOOKUP(B102,[1]nHAP!B$11:N$47,13,0)</f>
        <v>#N/A</v>
      </c>
    </row>
    <row r="103" spans="1:25" ht="54" customHeight="1" x14ac:dyDescent="0.3">
      <c r="A103" s="18">
        <v>5</v>
      </c>
      <c r="B103" s="19" t="s">
        <v>98</v>
      </c>
      <c r="C103" s="20"/>
      <c r="D103" s="21">
        <v>4000</v>
      </c>
      <c r="E103" s="21"/>
      <c r="F103" s="21">
        <v>4000</v>
      </c>
      <c r="G103" s="21">
        <v>800</v>
      </c>
      <c r="H103" s="21">
        <v>800</v>
      </c>
      <c r="I103" s="21">
        <v>0</v>
      </c>
      <c r="J103" s="21">
        <v>0</v>
      </c>
      <c r="K103" s="21">
        <v>800</v>
      </c>
      <c r="L103" s="21">
        <v>800</v>
      </c>
      <c r="M103" s="21">
        <v>0</v>
      </c>
      <c r="N103" s="21">
        <v>0</v>
      </c>
      <c r="O103" s="21">
        <v>4000</v>
      </c>
      <c r="P103" s="21"/>
      <c r="Q103" s="21"/>
      <c r="R103" s="21">
        <v>800</v>
      </c>
      <c r="S103" s="21"/>
      <c r="T103" s="21"/>
      <c r="U103" s="21"/>
      <c r="V103" s="21"/>
      <c r="W103" s="21"/>
      <c r="X103" s="21"/>
      <c r="Y103" s="16" t="e">
        <f>VLOOKUP(B103,[1]nHAP!B$11:N$47,13,0)</f>
        <v>#N/A</v>
      </c>
    </row>
    <row r="104" spans="1:25" ht="31.2" x14ac:dyDescent="0.3">
      <c r="A104" s="18">
        <v>6</v>
      </c>
      <c r="B104" s="19" t="s">
        <v>99</v>
      </c>
      <c r="C104" s="20"/>
      <c r="D104" s="21">
        <v>7000</v>
      </c>
      <c r="E104" s="21"/>
      <c r="F104" s="21">
        <v>7000</v>
      </c>
      <c r="G104" s="21">
        <v>1500</v>
      </c>
      <c r="H104" s="21">
        <v>1500</v>
      </c>
      <c r="I104" s="21">
        <v>1500</v>
      </c>
      <c r="J104" s="21">
        <v>1500</v>
      </c>
      <c r="K104" s="21">
        <v>1500</v>
      </c>
      <c r="L104" s="21">
        <v>1500</v>
      </c>
      <c r="M104" s="21">
        <v>1500</v>
      </c>
      <c r="N104" s="21">
        <v>1500</v>
      </c>
      <c r="O104" s="21">
        <v>7000</v>
      </c>
      <c r="P104" s="21"/>
      <c r="Q104" s="21"/>
      <c r="R104" s="21">
        <v>1500</v>
      </c>
      <c r="S104" s="21"/>
      <c r="T104" s="21"/>
      <c r="U104" s="21"/>
      <c r="V104" s="21"/>
      <c r="W104" s="21"/>
      <c r="X104" s="21"/>
      <c r="Y104" s="16" t="e">
        <f>VLOOKUP(B104,[1]nHAP!B$11:N$47,13,0)</f>
        <v>#N/A</v>
      </c>
    </row>
    <row r="105" spans="1:25" ht="68.400000000000006" customHeight="1" x14ac:dyDescent="0.3">
      <c r="A105" s="18">
        <v>7</v>
      </c>
      <c r="B105" s="19" t="s">
        <v>100</v>
      </c>
      <c r="C105" s="20"/>
      <c r="D105" s="21">
        <v>3000</v>
      </c>
      <c r="E105" s="21"/>
      <c r="F105" s="21">
        <v>3000</v>
      </c>
      <c r="G105" s="21">
        <v>600</v>
      </c>
      <c r="H105" s="21">
        <v>600</v>
      </c>
      <c r="I105" s="21">
        <v>0</v>
      </c>
      <c r="J105" s="21">
        <v>0</v>
      </c>
      <c r="K105" s="21">
        <v>600</v>
      </c>
      <c r="L105" s="21">
        <v>600</v>
      </c>
      <c r="M105" s="21">
        <v>0</v>
      </c>
      <c r="N105" s="21">
        <v>0</v>
      </c>
      <c r="O105" s="21">
        <v>3000</v>
      </c>
      <c r="P105" s="21"/>
      <c r="Q105" s="21"/>
      <c r="R105" s="21">
        <v>600</v>
      </c>
      <c r="S105" s="21"/>
      <c r="T105" s="21"/>
      <c r="U105" s="21"/>
      <c r="V105" s="21"/>
      <c r="W105" s="21"/>
      <c r="X105" s="21"/>
      <c r="Y105" s="16" t="e">
        <f>VLOOKUP(B105,[1]nHAP!B$11:N$47,13,0)</f>
        <v>#N/A</v>
      </c>
    </row>
    <row r="106" spans="1:25" ht="31.2" x14ac:dyDescent="0.3">
      <c r="A106" s="18">
        <v>8</v>
      </c>
      <c r="B106" s="19" t="s">
        <v>101</v>
      </c>
      <c r="C106" s="20"/>
      <c r="D106" s="21">
        <v>4800</v>
      </c>
      <c r="E106" s="21"/>
      <c r="F106" s="21">
        <v>4800</v>
      </c>
      <c r="G106" s="21">
        <v>800</v>
      </c>
      <c r="H106" s="21">
        <v>800</v>
      </c>
      <c r="I106" s="21">
        <v>0</v>
      </c>
      <c r="J106" s="21">
        <v>0</v>
      </c>
      <c r="K106" s="21">
        <v>800</v>
      </c>
      <c r="L106" s="21">
        <v>800</v>
      </c>
      <c r="M106" s="21">
        <v>0</v>
      </c>
      <c r="N106" s="21">
        <v>0</v>
      </c>
      <c r="O106" s="21">
        <v>4800</v>
      </c>
      <c r="P106" s="21"/>
      <c r="Q106" s="21"/>
      <c r="R106" s="21">
        <v>800</v>
      </c>
      <c r="S106" s="21"/>
      <c r="T106" s="21"/>
      <c r="U106" s="21">
        <v>1000</v>
      </c>
      <c r="V106" s="21"/>
      <c r="W106" s="21"/>
      <c r="X106" s="21"/>
      <c r="Y106" s="22" t="e">
        <f>VLOOKUP(B106,[1]nHAP!B$11:N$47,13,0)</f>
        <v>#N/A</v>
      </c>
    </row>
    <row r="107" spans="1:25" ht="31.2" x14ac:dyDescent="0.3">
      <c r="A107" s="18">
        <v>9</v>
      </c>
      <c r="B107" s="19" t="s">
        <v>102</v>
      </c>
      <c r="C107" s="20"/>
      <c r="D107" s="21">
        <v>2000</v>
      </c>
      <c r="E107" s="21"/>
      <c r="F107" s="21">
        <v>2000</v>
      </c>
      <c r="G107" s="21">
        <v>900</v>
      </c>
      <c r="H107" s="21">
        <v>900</v>
      </c>
      <c r="I107" s="21">
        <v>400</v>
      </c>
      <c r="J107" s="21">
        <v>400</v>
      </c>
      <c r="K107" s="21">
        <v>900</v>
      </c>
      <c r="L107" s="21">
        <v>900</v>
      </c>
      <c r="M107" s="21">
        <v>400</v>
      </c>
      <c r="N107" s="21">
        <v>400</v>
      </c>
      <c r="O107" s="21">
        <v>2000</v>
      </c>
      <c r="P107" s="21"/>
      <c r="Q107" s="21"/>
      <c r="R107" s="21">
        <v>900</v>
      </c>
      <c r="S107" s="21"/>
      <c r="T107" s="21"/>
      <c r="U107" s="21">
        <v>600</v>
      </c>
      <c r="V107" s="21"/>
      <c r="W107" s="21"/>
      <c r="X107" s="21"/>
      <c r="Y107" s="22" t="e">
        <f>VLOOKUP(B107,[1]nHAP!B$11:N$47,13,0)</f>
        <v>#N/A</v>
      </c>
    </row>
    <row r="108" spans="1:25" ht="62.4" x14ac:dyDescent="0.3">
      <c r="A108" s="18">
        <v>10</v>
      </c>
      <c r="B108" s="19" t="s">
        <v>103</v>
      </c>
      <c r="C108" s="20"/>
      <c r="D108" s="21">
        <v>1800</v>
      </c>
      <c r="E108" s="21"/>
      <c r="F108" s="21">
        <v>1800</v>
      </c>
      <c r="G108" s="21">
        <v>700</v>
      </c>
      <c r="H108" s="21">
        <v>700</v>
      </c>
      <c r="I108" s="21">
        <v>600</v>
      </c>
      <c r="J108" s="21">
        <v>600</v>
      </c>
      <c r="K108" s="21">
        <v>700</v>
      </c>
      <c r="L108" s="21">
        <v>700</v>
      </c>
      <c r="M108" s="21">
        <v>600</v>
      </c>
      <c r="N108" s="21">
        <v>600</v>
      </c>
      <c r="O108" s="21">
        <v>1800</v>
      </c>
      <c r="P108" s="21"/>
      <c r="Q108" s="21"/>
      <c r="R108" s="21">
        <v>700</v>
      </c>
      <c r="S108" s="21"/>
      <c r="T108" s="21"/>
      <c r="U108" s="21"/>
      <c r="V108" s="21"/>
      <c r="W108" s="21"/>
      <c r="X108" s="21"/>
      <c r="Y108" s="16" t="e">
        <f>VLOOKUP(B108,[1]nHAP!B$11:N$47,13,0)</f>
        <v>#N/A</v>
      </c>
    </row>
    <row r="109" spans="1:25" s="17" customFormat="1" x14ac:dyDescent="0.3">
      <c r="A109" s="11" t="s">
        <v>18</v>
      </c>
      <c r="B109" s="14" t="s">
        <v>104</v>
      </c>
      <c r="C109" s="10"/>
      <c r="D109" s="15">
        <f>SUM(D110:D113)</f>
        <v>10008</v>
      </c>
      <c r="E109" s="15">
        <f t="shared" ref="E109:X109" si="17">SUM(E110:E113)</f>
        <v>0</v>
      </c>
      <c r="F109" s="15">
        <f t="shared" si="17"/>
        <v>10008</v>
      </c>
      <c r="G109" s="15">
        <f t="shared" si="17"/>
        <v>4782</v>
      </c>
      <c r="H109" s="15">
        <f t="shared" si="17"/>
        <v>4782</v>
      </c>
      <c r="I109" s="15">
        <f t="shared" si="17"/>
        <v>1400</v>
      </c>
      <c r="J109" s="15">
        <f t="shared" si="17"/>
        <v>1400</v>
      </c>
      <c r="K109" s="15">
        <f t="shared" si="17"/>
        <v>4782</v>
      </c>
      <c r="L109" s="15">
        <f t="shared" si="17"/>
        <v>4782</v>
      </c>
      <c r="M109" s="15">
        <f t="shared" si="17"/>
        <v>1400</v>
      </c>
      <c r="N109" s="15">
        <f t="shared" si="17"/>
        <v>1400</v>
      </c>
      <c r="O109" s="15">
        <f t="shared" si="17"/>
        <v>10008</v>
      </c>
      <c r="P109" s="15">
        <f t="shared" si="17"/>
        <v>0</v>
      </c>
      <c r="Q109" s="15">
        <f t="shared" si="17"/>
        <v>0</v>
      </c>
      <c r="R109" s="15">
        <f t="shared" si="17"/>
        <v>4782</v>
      </c>
      <c r="S109" s="15">
        <f t="shared" si="17"/>
        <v>0</v>
      </c>
      <c r="T109" s="15">
        <f t="shared" si="17"/>
        <v>0</v>
      </c>
      <c r="U109" s="15">
        <f t="shared" si="17"/>
        <v>700</v>
      </c>
      <c r="V109" s="15">
        <f t="shared" si="17"/>
        <v>0</v>
      </c>
      <c r="W109" s="15">
        <f t="shared" si="17"/>
        <v>0</v>
      </c>
      <c r="X109" s="15">
        <f t="shared" si="17"/>
        <v>0</v>
      </c>
      <c r="Y109" s="16" t="e">
        <f>VLOOKUP(B109,[1]nHAP!B$11:N$47,13,0)</f>
        <v>#N/A</v>
      </c>
    </row>
    <row r="110" spans="1:25" ht="31.2" x14ac:dyDescent="0.3">
      <c r="A110" s="18">
        <v>1</v>
      </c>
      <c r="B110" s="19" t="s">
        <v>105</v>
      </c>
      <c r="C110" s="20"/>
      <c r="D110" s="21">
        <v>3600</v>
      </c>
      <c r="E110" s="21"/>
      <c r="F110" s="21">
        <v>3600</v>
      </c>
      <c r="G110" s="21">
        <v>700</v>
      </c>
      <c r="H110" s="21">
        <v>700</v>
      </c>
      <c r="I110" s="21">
        <v>0</v>
      </c>
      <c r="J110" s="21">
        <v>0</v>
      </c>
      <c r="K110" s="21">
        <v>700</v>
      </c>
      <c r="L110" s="21">
        <v>700</v>
      </c>
      <c r="M110" s="21">
        <v>0</v>
      </c>
      <c r="N110" s="21">
        <v>0</v>
      </c>
      <c r="O110" s="21">
        <v>3600</v>
      </c>
      <c r="P110" s="21"/>
      <c r="Q110" s="21"/>
      <c r="R110" s="21">
        <v>700</v>
      </c>
      <c r="S110" s="21"/>
      <c r="T110" s="21"/>
      <c r="U110" s="21">
        <v>700</v>
      </c>
      <c r="V110" s="21"/>
      <c r="W110" s="21"/>
      <c r="X110" s="21"/>
      <c r="Y110" s="22" t="e">
        <f>VLOOKUP(B110,[1]nHAP!B$11:N$47,13,0)</f>
        <v>#N/A</v>
      </c>
    </row>
    <row r="111" spans="1:25" ht="46.8" x14ac:dyDescent="0.3">
      <c r="A111" s="18">
        <v>2</v>
      </c>
      <c r="B111" s="19" t="s">
        <v>106</v>
      </c>
      <c r="C111" s="20"/>
      <c r="D111" s="21">
        <v>1000</v>
      </c>
      <c r="E111" s="21"/>
      <c r="F111" s="21">
        <v>1000</v>
      </c>
      <c r="G111" s="21">
        <v>700</v>
      </c>
      <c r="H111" s="21">
        <v>700</v>
      </c>
      <c r="I111" s="21">
        <v>600</v>
      </c>
      <c r="J111" s="21">
        <v>600</v>
      </c>
      <c r="K111" s="21">
        <v>700</v>
      </c>
      <c r="L111" s="21">
        <v>700</v>
      </c>
      <c r="M111" s="21">
        <v>600</v>
      </c>
      <c r="N111" s="21">
        <v>600</v>
      </c>
      <c r="O111" s="21">
        <v>1000</v>
      </c>
      <c r="P111" s="21"/>
      <c r="Q111" s="21"/>
      <c r="R111" s="21">
        <v>700</v>
      </c>
      <c r="S111" s="21"/>
      <c r="T111" s="21"/>
      <c r="U111" s="21"/>
      <c r="V111" s="21"/>
      <c r="W111" s="21"/>
      <c r="X111" s="21"/>
      <c r="Y111" s="16" t="e">
        <f>VLOOKUP(B111,[1]nHAP!B$11:N$47,13,0)</f>
        <v>#N/A</v>
      </c>
    </row>
    <row r="112" spans="1:25" ht="46.8" x14ac:dyDescent="0.3">
      <c r="A112" s="18">
        <v>3</v>
      </c>
      <c r="B112" s="19" t="s">
        <v>107</v>
      </c>
      <c r="C112" s="20"/>
      <c r="D112" s="21">
        <v>1200</v>
      </c>
      <c r="E112" s="21"/>
      <c r="F112" s="21">
        <v>1200</v>
      </c>
      <c r="G112" s="21">
        <v>1000</v>
      </c>
      <c r="H112" s="21">
        <v>1000</v>
      </c>
      <c r="I112" s="21">
        <v>800</v>
      </c>
      <c r="J112" s="21">
        <v>800</v>
      </c>
      <c r="K112" s="21">
        <v>1000</v>
      </c>
      <c r="L112" s="21">
        <v>1000</v>
      </c>
      <c r="M112" s="21">
        <v>800</v>
      </c>
      <c r="N112" s="21">
        <v>800</v>
      </c>
      <c r="O112" s="21">
        <v>1200</v>
      </c>
      <c r="P112" s="21"/>
      <c r="Q112" s="21"/>
      <c r="R112" s="21">
        <v>1000</v>
      </c>
      <c r="S112" s="21"/>
      <c r="T112" s="21"/>
      <c r="U112" s="21"/>
      <c r="V112" s="21"/>
      <c r="W112" s="21"/>
      <c r="X112" s="21"/>
      <c r="Y112" s="16" t="e">
        <f>VLOOKUP(B112,[1]nHAP!B$11:N$47,13,0)</f>
        <v>#N/A</v>
      </c>
    </row>
    <row r="113" spans="1:25" ht="39" customHeight="1" x14ac:dyDescent="0.3">
      <c r="A113" s="18">
        <v>4</v>
      </c>
      <c r="B113" s="19" t="s">
        <v>108</v>
      </c>
      <c r="C113" s="20"/>
      <c r="D113" s="21">
        <v>4208</v>
      </c>
      <c r="E113" s="21"/>
      <c r="F113" s="21">
        <v>4208</v>
      </c>
      <c r="G113" s="21">
        <v>2382</v>
      </c>
      <c r="H113" s="21">
        <v>2382</v>
      </c>
      <c r="I113" s="21">
        <v>0</v>
      </c>
      <c r="J113" s="21">
        <v>0</v>
      </c>
      <c r="K113" s="21">
        <v>2382</v>
      </c>
      <c r="L113" s="21">
        <v>2382</v>
      </c>
      <c r="M113" s="21">
        <v>0</v>
      </c>
      <c r="N113" s="21">
        <v>0</v>
      </c>
      <c r="O113" s="21">
        <v>4208</v>
      </c>
      <c r="P113" s="21"/>
      <c r="Q113" s="21"/>
      <c r="R113" s="21">
        <v>2382</v>
      </c>
      <c r="S113" s="21"/>
      <c r="T113" s="21"/>
      <c r="U113" s="21"/>
      <c r="V113" s="21"/>
      <c r="W113" s="21"/>
      <c r="X113" s="21"/>
      <c r="Y113" s="16" t="e">
        <f>VLOOKUP(B113,[1]nHAP!B$11:N$47,13,0)</f>
        <v>#N/A</v>
      </c>
    </row>
    <row r="114" spans="1:25" s="17" customFormat="1" x14ac:dyDescent="0.3">
      <c r="A114" s="11" t="s">
        <v>18</v>
      </c>
      <c r="B114" s="14" t="s">
        <v>67</v>
      </c>
      <c r="C114" s="10"/>
      <c r="D114" s="15">
        <f>SUM(D115:D117)</f>
        <v>22200</v>
      </c>
      <c r="E114" s="15">
        <f t="shared" ref="E114:X114" si="18">SUM(E115:E117)</f>
        <v>0</v>
      </c>
      <c r="F114" s="15">
        <f t="shared" si="18"/>
        <v>22200</v>
      </c>
      <c r="G114" s="15">
        <f t="shared" si="18"/>
        <v>600</v>
      </c>
      <c r="H114" s="15">
        <f t="shared" si="18"/>
        <v>600</v>
      </c>
      <c r="I114" s="15">
        <f t="shared" si="18"/>
        <v>0</v>
      </c>
      <c r="J114" s="15">
        <f t="shared" si="18"/>
        <v>0</v>
      </c>
      <c r="K114" s="15">
        <f t="shared" si="18"/>
        <v>600</v>
      </c>
      <c r="L114" s="15">
        <f t="shared" si="18"/>
        <v>600</v>
      </c>
      <c r="M114" s="15">
        <f t="shared" si="18"/>
        <v>0</v>
      </c>
      <c r="N114" s="15">
        <f t="shared" si="18"/>
        <v>0</v>
      </c>
      <c r="O114" s="15">
        <f t="shared" si="18"/>
        <v>1200</v>
      </c>
      <c r="P114" s="15">
        <f t="shared" si="18"/>
        <v>0</v>
      </c>
      <c r="Q114" s="15">
        <f t="shared" si="18"/>
        <v>0</v>
      </c>
      <c r="R114" s="15">
        <f t="shared" si="18"/>
        <v>600</v>
      </c>
      <c r="S114" s="15">
        <f t="shared" si="18"/>
        <v>0</v>
      </c>
      <c r="T114" s="15">
        <f t="shared" si="18"/>
        <v>0</v>
      </c>
      <c r="U114" s="15">
        <f t="shared" si="18"/>
        <v>1300</v>
      </c>
      <c r="V114" s="15">
        <f t="shared" si="18"/>
        <v>0</v>
      </c>
      <c r="W114" s="15">
        <f t="shared" si="18"/>
        <v>0</v>
      </c>
      <c r="X114" s="15">
        <f t="shared" si="18"/>
        <v>0</v>
      </c>
      <c r="Y114" s="16" t="e">
        <f>VLOOKUP(B114,[1]nHAP!B$11:N$47,13,0)</f>
        <v>#N/A</v>
      </c>
    </row>
    <row r="115" spans="1:25" ht="46.8" x14ac:dyDescent="0.3">
      <c r="A115" s="18">
        <v>1</v>
      </c>
      <c r="B115" s="19" t="s">
        <v>109</v>
      </c>
      <c r="C115" s="20"/>
      <c r="D115" s="21">
        <v>1200</v>
      </c>
      <c r="E115" s="21"/>
      <c r="F115" s="21">
        <v>1200</v>
      </c>
      <c r="G115" s="21">
        <v>600</v>
      </c>
      <c r="H115" s="21">
        <v>600</v>
      </c>
      <c r="I115" s="21">
        <v>0</v>
      </c>
      <c r="J115" s="21">
        <v>0</v>
      </c>
      <c r="K115" s="21">
        <v>600</v>
      </c>
      <c r="L115" s="21">
        <v>600</v>
      </c>
      <c r="M115" s="21">
        <v>0</v>
      </c>
      <c r="N115" s="21">
        <v>0</v>
      </c>
      <c r="O115" s="21">
        <v>1200</v>
      </c>
      <c r="P115" s="21"/>
      <c r="Q115" s="21"/>
      <c r="R115" s="21">
        <v>600</v>
      </c>
      <c r="S115" s="21"/>
      <c r="T115" s="21"/>
      <c r="U115" s="21">
        <v>300</v>
      </c>
      <c r="V115" s="21"/>
      <c r="W115" s="21"/>
      <c r="X115" s="21"/>
      <c r="Y115" s="22" t="e">
        <f>VLOOKUP(B115,[1]nHAP!B$11:N$47,13,0)</f>
        <v>#N/A</v>
      </c>
    </row>
    <row r="116" spans="1:25" ht="31.2" x14ac:dyDescent="0.3">
      <c r="A116" s="18">
        <v>2</v>
      </c>
      <c r="B116" s="19" t="s">
        <v>135</v>
      </c>
      <c r="C116" s="20"/>
      <c r="D116" s="21">
        <v>9000</v>
      </c>
      <c r="E116" s="21"/>
      <c r="F116" s="21">
        <v>9000</v>
      </c>
      <c r="G116" s="21"/>
      <c r="H116" s="21"/>
      <c r="I116" s="21"/>
      <c r="J116" s="21"/>
      <c r="K116" s="21"/>
      <c r="L116" s="21"/>
      <c r="M116" s="21"/>
      <c r="N116" s="21"/>
      <c r="O116" s="21"/>
      <c r="P116" s="21"/>
      <c r="Q116" s="21"/>
      <c r="R116" s="21"/>
      <c r="S116" s="21"/>
      <c r="T116" s="21"/>
      <c r="U116" s="21">
        <v>500</v>
      </c>
      <c r="V116" s="21"/>
      <c r="W116" s="21"/>
      <c r="X116" s="21"/>
      <c r="Y116" s="22">
        <f>VLOOKUP(B116,[1]nHAP!B$11:N$47,13,0)</f>
        <v>500</v>
      </c>
    </row>
    <row r="117" spans="1:25" ht="31.2" x14ac:dyDescent="0.3">
      <c r="A117" s="18">
        <v>3</v>
      </c>
      <c r="B117" s="19" t="s">
        <v>136</v>
      </c>
      <c r="C117" s="20"/>
      <c r="D117" s="21">
        <v>12000</v>
      </c>
      <c r="E117" s="21"/>
      <c r="F117" s="21">
        <v>12000</v>
      </c>
      <c r="G117" s="21"/>
      <c r="H117" s="21"/>
      <c r="I117" s="21"/>
      <c r="J117" s="21"/>
      <c r="K117" s="21"/>
      <c r="L117" s="21"/>
      <c r="M117" s="21"/>
      <c r="N117" s="21"/>
      <c r="O117" s="21"/>
      <c r="P117" s="21"/>
      <c r="Q117" s="21"/>
      <c r="R117" s="21"/>
      <c r="S117" s="21"/>
      <c r="T117" s="21"/>
      <c r="U117" s="21">
        <v>500</v>
      </c>
      <c r="V117" s="21"/>
      <c r="W117" s="21"/>
      <c r="X117" s="21"/>
      <c r="Y117" s="22">
        <f>VLOOKUP(B117,[1]nHAP!B$11:N$47,13,0)</f>
        <v>500</v>
      </c>
    </row>
    <row r="118" spans="1:25" s="17" customFormat="1" x14ac:dyDescent="0.3">
      <c r="A118" s="10" t="s">
        <v>24</v>
      </c>
      <c r="B118" s="14" t="s">
        <v>142</v>
      </c>
      <c r="C118" s="10"/>
      <c r="D118" s="15">
        <f>D119+D122+D127</f>
        <v>50735</v>
      </c>
      <c r="E118" s="15">
        <f t="shared" ref="E118:X118" si="19">E119+E122+E127</f>
        <v>0</v>
      </c>
      <c r="F118" s="15">
        <f t="shared" si="19"/>
        <v>46375</v>
      </c>
      <c r="G118" s="15">
        <f t="shared" si="19"/>
        <v>4360</v>
      </c>
      <c r="H118" s="15">
        <f t="shared" si="19"/>
        <v>4360</v>
      </c>
      <c r="I118" s="15">
        <f t="shared" si="19"/>
        <v>0</v>
      </c>
      <c r="J118" s="15">
        <f t="shared" si="19"/>
        <v>0</v>
      </c>
      <c r="K118" s="15">
        <f t="shared" si="19"/>
        <v>4360</v>
      </c>
      <c r="L118" s="15">
        <f t="shared" si="19"/>
        <v>4360</v>
      </c>
      <c r="M118" s="15">
        <f t="shared" si="19"/>
        <v>0</v>
      </c>
      <c r="N118" s="15">
        <f t="shared" si="19"/>
        <v>0</v>
      </c>
      <c r="O118" s="15">
        <f t="shared" si="19"/>
        <v>4360</v>
      </c>
      <c r="P118" s="15">
        <f t="shared" si="19"/>
        <v>0</v>
      </c>
      <c r="Q118" s="15">
        <f t="shared" si="19"/>
        <v>0</v>
      </c>
      <c r="R118" s="15">
        <f t="shared" si="19"/>
        <v>4360</v>
      </c>
      <c r="S118" s="15">
        <f t="shared" si="19"/>
        <v>0</v>
      </c>
      <c r="T118" s="15">
        <f t="shared" si="19"/>
        <v>0</v>
      </c>
      <c r="U118" s="15">
        <f t="shared" si="19"/>
        <v>43000</v>
      </c>
      <c r="V118" s="15">
        <f t="shared" si="19"/>
        <v>0</v>
      </c>
      <c r="W118" s="15">
        <f t="shared" si="19"/>
        <v>0</v>
      </c>
      <c r="X118" s="15">
        <f t="shared" si="19"/>
        <v>0</v>
      </c>
      <c r="Y118" s="16" t="e">
        <f>VLOOKUP(B118,[1]nHAP!B$11:N$47,13,0)</f>
        <v>#N/A</v>
      </c>
    </row>
    <row r="119" spans="1:25" s="17" customFormat="1" x14ac:dyDescent="0.3">
      <c r="A119" s="10" t="s">
        <v>18</v>
      </c>
      <c r="B119" s="14" t="s">
        <v>53</v>
      </c>
      <c r="C119" s="10"/>
      <c r="D119" s="15">
        <f>D120+D121</f>
        <v>5875</v>
      </c>
      <c r="E119" s="15">
        <f t="shared" ref="E119:X119" si="20">E120+E121</f>
        <v>0</v>
      </c>
      <c r="F119" s="15">
        <f t="shared" si="20"/>
        <v>5875</v>
      </c>
      <c r="G119" s="15">
        <f t="shared" si="20"/>
        <v>0</v>
      </c>
      <c r="H119" s="15">
        <f t="shared" si="20"/>
        <v>0</v>
      </c>
      <c r="I119" s="15">
        <f t="shared" si="20"/>
        <v>0</v>
      </c>
      <c r="J119" s="15">
        <f t="shared" si="20"/>
        <v>0</v>
      </c>
      <c r="K119" s="15">
        <f t="shared" si="20"/>
        <v>0</v>
      </c>
      <c r="L119" s="15">
        <f t="shared" si="20"/>
        <v>0</v>
      </c>
      <c r="M119" s="15">
        <f t="shared" si="20"/>
        <v>0</v>
      </c>
      <c r="N119" s="15">
        <f t="shared" si="20"/>
        <v>0</v>
      </c>
      <c r="O119" s="15">
        <f t="shared" si="20"/>
        <v>0</v>
      </c>
      <c r="P119" s="15">
        <f t="shared" si="20"/>
        <v>0</v>
      </c>
      <c r="Q119" s="15">
        <f t="shared" si="20"/>
        <v>0</v>
      </c>
      <c r="R119" s="15">
        <f t="shared" si="20"/>
        <v>0</v>
      </c>
      <c r="S119" s="15">
        <f t="shared" si="20"/>
        <v>0</v>
      </c>
      <c r="T119" s="15">
        <f t="shared" si="20"/>
        <v>0</v>
      </c>
      <c r="U119" s="15">
        <f t="shared" si="20"/>
        <v>2500</v>
      </c>
      <c r="V119" s="15">
        <f t="shared" si="20"/>
        <v>0</v>
      </c>
      <c r="W119" s="15">
        <f t="shared" si="20"/>
        <v>0</v>
      </c>
      <c r="X119" s="15">
        <f t="shared" si="20"/>
        <v>0</v>
      </c>
      <c r="Y119" s="16" t="e">
        <f>VLOOKUP(B119,[1]nHAP!B$11:N$47,13,0)</f>
        <v>#N/A</v>
      </c>
    </row>
    <row r="120" spans="1:25" ht="31.2" x14ac:dyDescent="0.3">
      <c r="A120" s="20">
        <v>1</v>
      </c>
      <c r="B120" s="19" t="s">
        <v>133</v>
      </c>
      <c r="C120" s="20"/>
      <c r="D120" s="21">
        <v>3375</v>
      </c>
      <c r="E120" s="21"/>
      <c r="F120" s="21">
        <v>3375</v>
      </c>
      <c r="G120" s="21"/>
      <c r="H120" s="21"/>
      <c r="I120" s="21"/>
      <c r="J120" s="21"/>
      <c r="K120" s="21"/>
      <c r="L120" s="21"/>
      <c r="M120" s="21"/>
      <c r="N120" s="21"/>
      <c r="O120" s="21"/>
      <c r="P120" s="21"/>
      <c r="Q120" s="21"/>
      <c r="R120" s="21"/>
      <c r="S120" s="21"/>
      <c r="T120" s="21"/>
      <c r="U120" s="21">
        <v>2000</v>
      </c>
      <c r="V120" s="21"/>
      <c r="W120" s="21"/>
      <c r="X120" s="21"/>
      <c r="Y120" s="22">
        <f>VLOOKUP(B120,[1]nHAP!B$11:N$47,13,0)</f>
        <v>2000</v>
      </c>
    </row>
    <row r="121" spans="1:25" ht="46.8" x14ac:dyDescent="0.3">
      <c r="A121" s="20">
        <v>2</v>
      </c>
      <c r="B121" s="19" t="s">
        <v>134</v>
      </c>
      <c r="C121" s="20"/>
      <c r="D121" s="21">
        <v>2500</v>
      </c>
      <c r="E121" s="21"/>
      <c r="F121" s="21">
        <v>2500</v>
      </c>
      <c r="G121" s="21"/>
      <c r="H121" s="21"/>
      <c r="I121" s="21"/>
      <c r="J121" s="21"/>
      <c r="K121" s="21"/>
      <c r="L121" s="21"/>
      <c r="M121" s="21"/>
      <c r="N121" s="21"/>
      <c r="O121" s="21"/>
      <c r="P121" s="21"/>
      <c r="Q121" s="21"/>
      <c r="R121" s="21"/>
      <c r="S121" s="21"/>
      <c r="T121" s="21"/>
      <c r="U121" s="21">
        <v>500</v>
      </c>
      <c r="V121" s="21"/>
      <c r="W121" s="21"/>
      <c r="X121" s="21"/>
      <c r="Y121" s="22">
        <f>VLOOKUP(B121,[1]nHAP!B$11:N$47,13,0)</f>
        <v>500</v>
      </c>
    </row>
    <row r="122" spans="1:25" s="17" customFormat="1" ht="31.2" x14ac:dyDescent="0.3">
      <c r="A122" s="11" t="s">
        <v>18</v>
      </c>
      <c r="B122" s="14" t="s">
        <v>110</v>
      </c>
      <c r="C122" s="10"/>
      <c r="D122" s="15">
        <f>SUM(D123:D126)</f>
        <v>4360</v>
      </c>
      <c r="E122" s="15">
        <f t="shared" ref="E122:X122" si="21">SUM(E123:E126)</f>
        <v>0</v>
      </c>
      <c r="F122" s="15">
        <f t="shared" si="21"/>
        <v>0</v>
      </c>
      <c r="G122" s="15">
        <f t="shared" si="21"/>
        <v>4360</v>
      </c>
      <c r="H122" s="15">
        <f t="shared" si="21"/>
        <v>4360</v>
      </c>
      <c r="I122" s="15">
        <f t="shared" si="21"/>
        <v>0</v>
      </c>
      <c r="J122" s="15">
        <f t="shared" si="21"/>
        <v>0</v>
      </c>
      <c r="K122" s="15">
        <f t="shared" si="21"/>
        <v>4360</v>
      </c>
      <c r="L122" s="15">
        <f t="shared" si="21"/>
        <v>4360</v>
      </c>
      <c r="M122" s="15">
        <f t="shared" si="21"/>
        <v>0</v>
      </c>
      <c r="N122" s="15">
        <f t="shared" si="21"/>
        <v>0</v>
      </c>
      <c r="O122" s="15">
        <f t="shared" si="21"/>
        <v>4360</v>
      </c>
      <c r="P122" s="15">
        <f t="shared" si="21"/>
        <v>0</v>
      </c>
      <c r="Q122" s="15">
        <f t="shared" si="21"/>
        <v>0</v>
      </c>
      <c r="R122" s="15">
        <f t="shared" si="21"/>
        <v>4360</v>
      </c>
      <c r="S122" s="15">
        <f t="shared" si="21"/>
        <v>0</v>
      </c>
      <c r="T122" s="15">
        <f t="shared" si="21"/>
        <v>0</v>
      </c>
      <c r="U122" s="15">
        <f t="shared" si="21"/>
        <v>0</v>
      </c>
      <c r="V122" s="15">
        <f t="shared" si="21"/>
        <v>0</v>
      </c>
      <c r="W122" s="15">
        <f t="shared" si="21"/>
        <v>0</v>
      </c>
      <c r="X122" s="15">
        <f t="shared" si="21"/>
        <v>0</v>
      </c>
      <c r="Y122" s="16" t="e">
        <f>VLOOKUP(B122,[1]nHAP!B$11:N$47,13,0)</f>
        <v>#N/A</v>
      </c>
    </row>
    <row r="123" spans="1:25" ht="31.2" x14ac:dyDescent="0.3">
      <c r="A123" s="18">
        <v>1</v>
      </c>
      <c r="B123" s="19" t="s">
        <v>111</v>
      </c>
      <c r="C123" s="20"/>
      <c r="D123" s="21">
        <v>3300</v>
      </c>
      <c r="E123" s="21"/>
      <c r="F123" s="21"/>
      <c r="G123" s="21">
        <v>3300</v>
      </c>
      <c r="H123" s="21">
        <v>3300</v>
      </c>
      <c r="I123" s="21">
        <v>0</v>
      </c>
      <c r="J123" s="21">
        <v>0</v>
      </c>
      <c r="K123" s="21">
        <v>3300</v>
      </c>
      <c r="L123" s="21">
        <v>3300</v>
      </c>
      <c r="M123" s="21">
        <v>0</v>
      </c>
      <c r="N123" s="21">
        <v>0</v>
      </c>
      <c r="O123" s="21">
        <v>3300</v>
      </c>
      <c r="P123" s="21"/>
      <c r="Q123" s="21"/>
      <c r="R123" s="21">
        <v>3300</v>
      </c>
      <c r="S123" s="21"/>
      <c r="T123" s="21"/>
      <c r="U123" s="21"/>
      <c r="V123" s="21"/>
      <c r="W123" s="21"/>
      <c r="X123" s="21"/>
      <c r="Y123" s="16" t="e">
        <f>VLOOKUP(B123,[1]nHAP!B$11:N$47,13,0)</f>
        <v>#N/A</v>
      </c>
    </row>
    <row r="124" spans="1:25" ht="31.2" x14ac:dyDescent="0.3">
      <c r="A124" s="18">
        <v>2</v>
      </c>
      <c r="B124" s="19" t="s">
        <v>112</v>
      </c>
      <c r="C124" s="20"/>
      <c r="D124" s="21">
        <v>220</v>
      </c>
      <c r="E124" s="21"/>
      <c r="F124" s="21"/>
      <c r="G124" s="21">
        <v>220</v>
      </c>
      <c r="H124" s="21">
        <v>220</v>
      </c>
      <c r="I124" s="21">
        <v>0</v>
      </c>
      <c r="J124" s="21">
        <v>0</v>
      </c>
      <c r="K124" s="21">
        <v>220</v>
      </c>
      <c r="L124" s="21">
        <v>220</v>
      </c>
      <c r="M124" s="21">
        <v>0</v>
      </c>
      <c r="N124" s="21">
        <v>0</v>
      </c>
      <c r="O124" s="21">
        <v>220</v>
      </c>
      <c r="P124" s="21"/>
      <c r="Q124" s="21"/>
      <c r="R124" s="21">
        <v>220</v>
      </c>
      <c r="S124" s="21"/>
      <c r="T124" s="21"/>
      <c r="U124" s="21"/>
      <c r="V124" s="21"/>
      <c r="W124" s="21"/>
      <c r="X124" s="21"/>
      <c r="Y124" s="16" t="e">
        <f>VLOOKUP(B124,[1]nHAP!B$11:N$47,13,0)</f>
        <v>#N/A</v>
      </c>
    </row>
    <row r="125" spans="1:25" ht="31.2" x14ac:dyDescent="0.3">
      <c r="A125" s="18">
        <v>3</v>
      </c>
      <c r="B125" s="19" t="s">
        <v>113</v>
      </c>
      <c r="C125" s="20"/>
      <c r="D125" s="21">
        <v>200</v>
      </c>
      <c r="E125" s="21"/>
      <c r="F125" s="21"/>
      <c r="G125" s="21">
        <v>200</v>
      </c>
      <c r="H125" s="21">
        <v>200</v>
      </c>
      <c r="I125" s="21">
        <v>0</v>
      </c>
      <c r="J125" s="21">
        <v>0</v>
      </c>
      <c r="K125" s="21">
        <v>200</v>
      </c>
      <c r="L125" s="21">
        <v>200</v>
      </c>
      <c r="M125" s="21">
        <v>0</v>
      </c>
      <c r="N125" s="21">
        <v>0</v>
      </c>
      <c r="O125" s="21">
        <v>200</v>
      </c>
      <c r="P125" s="21"/>
      <c r="Q125" s="21"/>
      <c r="R125" s="21">
        <v>200</v>
      </c>
      <c r="S125" s="21"/>
      <c r="T125" s="21"/>
      <c r="U125" s="21"/>
      <c r="V125" s="21"/>
      <c r="W125" s="21"/>
      <c r="X125" s="21"/>
      <c r="Y125" s="16" t="e">
        <f>VLOOKUP(B125,[1]nHAP!B$11:N$47,13,0)</f>
        <v>#N/A</v>
      </c>
    </row>
    <row r="126" spans="1:25" ht="46.8" x14ac:dyDescent="0.3">
      <c r="A126" s="18">
        <v>4</v>
      </c>
      <c r="B126" s="19" t="s">
        <v>114</v>
      </c>
      <c r="C126" s="20"/>
      <c r="D126" s="21">
        <v>640</v>
      </c>
      <c r="E126" s="21"/>
      <c r="F126" s="21"/>
      <c r="G126" s="21">
        <v>640</v>
      </c>
      <c r="H126" s="21">
        <v>640</v>
      </c>
      <c r="I126" s="21">
        <v>0</v>
      </c>
      <c r="J126" s="21">
        <v>0</v>
      </c>
      <c r="K126" s="21">
        <v>640</v>
      </c>
      <c r="L126" s="21">
        <v>640</v>
      </c>
      <c r="M126" s="21">
        <v>0</v>
      </c>
      <c r="N126" s="21">
        <v>0</v>
      </c>
      <c r="O126" s="21">
        <v>640</v>
      </c>
      <c r="P126" s="21"/>
      <c r="Q126" s="21"/>
      <c r="R126" s="21">
        <v>640</v>
      </c>
      <c r="S126" s="21"/>
      <c r="T126" s="21"/>
      <c r="U126" s="21"/>
      <c r="V126" s="21"/>
      <c r="W126" s="21"/>
      <c r="X126" s="21"/>
      <c r="Y126" s="16" t="e">
        <f>VLOOKUP(B126,[1]nHAP!B$11:N$47,13,0)</f>
        <v>#N/A</v>
      </c>
    </row>
    <row r="127" spans="1:25" s="17" customFormat="1" ht="46.8" x14ac:dyDescent="0.3">
      <c r="A127" s="11" t="s">
        <v>18</v>
      </c>
      <c r="B127" s="14" t="s">
        <v>137</v>
      </c>
      <c r="C127" s="10"/>
      <c r="D127" s="15">
        <f>SUM(D128:D130)</f>
        <v>40500</v>
      </c>
      <c r="E127" s="15">
        <f t="shared" ref="E127:X127" si="22">SUM(E128:E130)</f>
        <v>0</v>
      </c>
      <c r="F127" s="15">
        <f t="shared" si="22"/>
        <v>40500</v>
      </c>
      <c r="G127" s="15">
        <f t="shared" si="22"/>
        <v>0</v>
      </c>
      <c r="H127" s="15">
        <f t="shared" si="22"/>
        <v>0</v>
      </c>
      <c r="I127" s="15">
        <f t="shared" si="22"/>
        <v>0</v>
      </c>
      <c r="J127" s="15">
        <f t="shared" si="22"/>
        <v>0</v>
      </c>
      <c r="K127" s="15">
        <f t="shared" si="22"/>
        <v>0</v>
      </c>
      <c r="L127" s="15">
        <f t="shared" si="22"/>
        <v>0</v>
      </c>
      <c r="M127" s="15">
        <f t="shared" si="22"/>
        <v>0</v>
      </c>
      <c r="N127" s="15">
        <f t="shared" si="22"/>
        <v>0</v>
      </c>
      <c r="O127" s="15">
        <f t="shared" si="22"/>
        <v>0</v>
      </c>
      <c r="P127" s="15">
        <f t="shared" si="22"/>
        <v>0</v>
      </c>
      <c r="Q127" s="15">
        <f t="shared" si="22"/>
        <v>0</v>
      </c>
      <c r="R127" s="15">
        <f t="shared" si="22"/>
        <v>0</v>
      </c>
      <c r="S127" s="15">
        <f t="shared" si="22"/>
        <v>0</v>
      </c>
      <c r="T127" s="15">
        <f t="shared" si="22"/>
        <v>0</v>
      </c>
      <c r="U127" s="15">
        <f t="shared" si="22"/>
        <v>40500</v>
      </c>
      <c r="V127" s="15">
        <f t="shared" si="22"/>
        <v>0</v>
      </c>
      <c r="W127" s="15">
        <f t="shared" si="22"/>
        <v>0</v>
      </c>
      <c r="X127" s="15">
        <f t="shared" si="22"/>
        <v>0</v>
      </c>
      <c r="Y127" s="16">
        <f>VLOOKUP(B127,[1]nHAP!B$11:N$47,13,0)</f>
        <v>0</v>
      </c>
    </row>
    <row r="128" spans="1:25" ht="31.2" x14ac:dyDescent="0.3">
      <c r="A128" s="18">
        <v>1</v>
      </c>
      <c r="B128" s="19" t="s">
        <v>138</v>
      </c>
      <c r="C128" s="20"/>
      <c r="D128" s="21">
        <v>8100</v>
      </c>
      <c r="E128" s="21"/>
      <c r="F128" s="21">
        <v>8100</v>
      </c>
      <c r="G128" s="21"/>
      <c r="H128" s="21"/>
      <c r="I128" s="21"/>
      <c r="J128" s="21"/>
      <c r="K128" s="21"/>
      <c r="L128" s="21"/>
      <c r="M128" s="21"/>
      <c r="N128" s="21"/>
      <c r="O128" s="21"/>
      <c r="P128" s="21"/>
      <c r="Q128" s="21"/>
      <c r="R128" s="21"/>
      <c r="S128" s="21"/>
      <c r="T128" s="21"/>
      <c r="U128" s="21">
        <v>8100</v>
      </c>
      <c r="V128" s="21"/>
      <c r="W128" s="21"/>
      <c r="X128" s="21"/>
      <c r="Y128" s="22">
        <f>VLOOKUP(B128,[1]nHAP!B$11:N$47,13,0)</f>
        <v>8100</v>
      </c>
    </row>
    <row r="129" spans="1:25" ht="46.8" x14ac:dyDescent="0.3">
      <c r="A129" s="18">
        <v>2</v>
      </c>
      <c r="B129" s="19" t="s">
        <v>139</v>
      </c>
      <c r="C129" s="20"/>
      <c r="D129" s="21">
        <v>30000</v>
      </c>
      <c r="E129" s="21"/>
      <c r="F129" s="21">
        <v>30000</v>
      </c>
      <c r="G129" s="21"/>
      <c r="H129" s="21"/>
      <c r="I129" s="21"/>
      <c r="J129" s="21"/>
      <c r="K129" s="21"/>
      <c r="L129" s="21"/>
      <c r="M129" s="21"/>
      <c r="N129" s="21"/>
      <c r="O129" s="21"/>
      <c r="P129" s="21"/>
      <c r="Q129" s="21"/>
      <c r="R129" s="21"/>
      <c r="S129" s="21"/>
      <c r="T129" s="21"/>
      <c r="U129" s="21">
        <v>30000</v>
      </c>
      <c r="V129" s="21"/>
      <c r="W129" s="21"/>
      <c r="X129" s="21"/>
      <c r="Y129" s="22">
        <f>VLOOKUP(B129,[1]nHAP!B$11:N$47,13,0)</f>
        <v>30000</v>
      </c>
    </row>
    <row r="130" spans="1:25" ht="46.8" x14ac:dyDescent="0.3">
      <c r="A130" s="18">
        <v>3</v>
      </c>
      <c r="B130" s="19" t="s">
        <v>140</v>
      </c>
      <c r="C130" s="20"/>
      <c r="D130" s="21">
        <v>2400</v>
      </c>
      <c r="E130" s="21"/>
      <c r="F130" s="21">
        <v>2400</v>
      </c>
      <c r="G130" s="21"/>
      <c r="H130" s="21"/>
      <c r="I130" s="21"/>
      <c r="J130" s="21"/>
      <c r="K130" s="21"/>
      <c r="L130" s="21"/>
      <c r="M130" s="21"/>
      <c r="N130" s="21"/>
      <c r="O130" s="21"/>
      <c r="P130" s="21"/>
      <c r="Q130" s="21"/>
      <c r="R130" s="21"/>
      <c r="S130" s="21"/>
      <c r="T130" s="21"/>
      <c r="U130" s="21">
        <v>2400</v>
      </c>
      <c r="V130" s="21"/>
      <c r="W130" s="21"/>
      <c r="X130" s="21"/>
      <c r="Y130" s="22">
        <f>VLOOKUP(B130,[1]nHAP!B$11:N$47,13,0)</f>
        <v>2400</v>
      </c>
    </row>
    <row r="316" ht="98.25" customHeight="1" x14ac:dyDescent="0.3"/>
  </sheetData>
  <mergeCells count="37">
    <mergeCell ref="A1:X1"/>
    <mergeCell ref="A2:X2"/>
    <mergeCell ref="A3:X3"/>
    <mergeCell ref="A4:X4"/>
    <mergeCell ref="A5:A9"/>
    <mergeCell ref="B5:B9"/>
    <mergeCell ref="C5:F5"/>
    <mergeCell ref="G5:L5"/>
    <mergeCell ref="M5:N6"/>
    <mergeCell ref="G7:G9"/>
    <mergeCell ref="H7:H9"/>
    <mergeCell ref="I7:I9"/>
    <mergeCell ref="J7:J9"/>
    <mergeCell ref="O5:T6"/>
    <mergeCell ref="U5:X6"/>
    <mergeCell ref="C6:C9"/>
    <mergeCell ref="D6:D9"/>
    <mergeCell ref="E6:F6"/>
    <mergeCell ref="G6:H6"/>
    <mergeCell ref="I6:J6"/>
    <mergeCell ref="K6:L6"/>
    <mergeCell ref="E7:E9"/>
    <mergeCell ref="F7:F9"/>
    <mergeCell ref="K7:K9"/>
    <mergeCell ref="L7:L9"/>
    <mergeCell ref="M7:M9"/>
    <mergeCell ref="N7:N9"/>
    <mergeCell ref="O7:Q7"/>
    <mergeCell ref="U7:U9"/>
    <mergeCell ref="V7:X7"/>
    <mergeCell ref="O8:O9"/>
    <mergeCell ref="P8:Q8"/>
    <mergeCell ref="R8:R9"/>
    <mergeCell ref="S8:T8"/>
    <mergeCell ref="V8:V9"/>
    <mergeCell ref="W8:X8"/>
    <mergeCell ref="R7:T7"/>
  </mergeCells>
  <pageMargins left="0.31496062992125984" right="0.31496062992125984" top="0.55118110236220474" bottom="0.35433070866141736" header="0.31496062992125984" footer="0.31496062992125984"/>
  <pageSetup paperSize="9" scale="60"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43"/>
  <sheetViews>
    <sheetView zoomScale="78" zoomScaleNormal="78" workbookViewId="0">
      <selection activeCell="B13" sqref="B13"/>
    </sheetView>
  </sheetViews>
  <sheetFormatPr defaultColWidth="9" defaultRowHeight="15.6" x14ac:dyDescent="0.3"/>
  <cols>
    <col min="1" max="1" width="8.3984375" style="6" customWidth="1"/>
    <col min="2" max="2" width="35.3984375" style="7" customWidth="1"/>
    <col min="3" max="3" width="7.8984375" style="27" customWidth="1"/>
    <col min="4" max="4" width="7.59765625" style="27" customWidth="1"/>
    <col min="5" max="5" width="8.09765625" style="27" customWidth="1"/>
    <col min="6" max="6" width="23.19921875" style="27" customWidth="1"/>
    <col min="7" max="7" width="18.59765625" style="2" customWidth="1"/>
    <col min="8" max="8" width="15.8984375" style="3" customWidth="1"/>
    <col min="9" max="9" width="9.3984375" style="3" customWidth="1"/>
    <col min="10" max="10" width="12.69921875" style="2" bestFit="1" customWidth="1"/>
    <col min="11" max="11" width="4.5" style="2" customWidth="1"/>
    <col min="12" max="12" width="12.5" style="2" customWidth="1"/>
    <col min="13" max="13" width="9.8984375" style="2" customWidth="1"/>
    <col min="14" max="14" width="13.09765625" style="2" customWidth="1"/>
    <col min="15" max="15" width="11.09765625" style="2" customWidth="1"/>
    <col min="16" max="19" width="9" style="2" customWidth="1"/>
    <col min="20" max="20" width="13.8984375" style="2" bestFit="1" customWidth="1"/>
    <col min="21" max="16384" width="9" style="2"/>
  </cols>
  <sheetData>
    <row r="1" spans="1:21" ht="17.399999999999999" x14ac:dyDescent="0.3">
      <c r="A1" s="156"/>
      <c r="B1" s="156"/>
      <c r="C1" s="156"/>
      <c r="D1" s="156"/>
      <c r="E1" s="156"/>
      <c r="F1" s="156"/>
      <c r="G1" s="156"/>
      <c r="H1" s="28"/>
      <c r="I1" s="28"/>
      <c r="J1" s="31"/>
      <c r="K1" s="31"/>
      <c r="L1" s="31"/>
      <c r="M1" s="25"/>
    </row>
    <row r="2" spans="1:21" s="45" customFormat="1" ht="17.399999999999999" x14ac:dyDescent="0.35">
      <c r="A2" s="157" t="s">
        <v>218</v>
      </c>
      <c r="B2" s="157"/>
      <c r="C2" s="157"/>
      <c r="D2" s="157"/>
      <c r="E2" s="157"/>
      <c r="F2" s="157"/>
      <c r="G2" s="157"/>
    </row>
    <row r="3" spans="1:21" s="46" customFormat="1" ht="17.399999999999999" x14ac:dyDescent="0.35">
      <c r="A3" s="158" t="s">
        <v>148</v>
      </c>
      <c r="B3" s="158"/>
      <c r="C3" s="158"/>
      <c r="D3" s="158"/>
      <c r="E3" s="158"/>
      <c r="F3" s="158"/>
      <c r="G3" s="158"/>
    </row>
    <row r="4" spans="1:21" ht="21" x14ac:dyDescent="0.3">
      <c r="A4" s="42"/>
      <c r="B4" s="43"/>
      <c r="C4" s="44"/>
      <c r="D4" s="44"/>
      <c r="E4" s="44"/>
      <c r="F4" s="44"/>
      <c r="G4" s="66" t="s">
        <v>143</v>
      </c>
      <c r="H4" s="29"/>
      <c r="I4" s="29"/>
      <c r="J4" s="26"/>
      <c r="K4" s="26"/>
      <c r="L4" s="26"/>
      <c r="M4" s="26"/>
      <c r="U4" s="2">
        <v>2000</v>
      </c>
    </row>
    <row r="5" spans="1:21" s="30" customFormat="1" ht="30" customHeight="1" x14ac:dyDescent="0.3">
      <c r="A5" s="162" t="s">
        <v>1</v>
      </c>
      <c r="B5" s="159" t="s">
        <v>147</v>
      </c>
      <c r="C5" s="159" t="s">
        <v>201</v>
      </c>
      <c r="D5" s="159" t="s">
        <v>202</v>
      </c>
      <c r="E5" s="159" t="s">
        <v>203</v>
      </c>
      <c r="F5" s="159" t="s">
        <v>219</v>
      </c>
      <c r="G5" s="165" t="s">
        <v>146</v>
      </c>
      <c r="H5" s="37"/>
      <c r="I5" s="37"/>
      <c r="J5" s="38"/>
      <c r="K5" s="38"/>
      <c r="L5" s="38"/>
      <c r="M5" s="38"/>
      <c r="U5" s="30">
        <v>1000</v>
      </c>
    </row>
    <row r="6" spans="1:21" s="30" customFormat="1" ht="15.75" customHeight="1" x14ac:dyDescent="0.3">
      <c r="A6" s="163"/>
      <c r="B6" s="160"/>
      <c r="C6" s="160"/>
      <c r="D6" s="160"/>
      <c r="E6" s="160"/>
      <c r="F6" s="160"/>
      <c r="G6" s="166"/>
      <c r="H6" s="34"/>
      <c r="I6" s="34"/>
      <c r="J6" s="33"/>
      <c r="K6" s="33"/>
      <c r="L6" s="33"/>
      <c r="M6" s="33"/>
    </row>
    <row r="7" spans="1:21" s="30" customFormat="1" ht="16.2" x14ac:dyDescent="0.3">
      <c r="A7" s="164"/>
      <c r="B7" s="161"/>
      <c r="C7" s="161"/>
      <c r="D7" s="161"/>
      <c r="E7" s="161"/>
      <c r="F7" s="161"/>
      <c r="G7" s="167"/>
      <c r="H7" s="34"/>
      <c r="I7" s="34"/>
      <c r="J7" s="33"/>
      <c r="K7" s="33"/>
      <c r="L7" s="33"/>
      <c r="M7" s="33"/>
    </row>
    <row r="8" spans="1:21" s="62" customFormat="1" ht="18" x14ac:dyDescent="0.3">
      <c r="A8" s="57"/>
      <c r="B8" s="58" t="s">
        <v>152</v>
      </c>
      <c r="C8" s="83">
        <f>C9+C21+C23+C29+C38+C42+C51+C53</f>
        <v>5683</v>
      </c>
      <c r="D8" s="59">
        <f>D9+D21+D23+D29+D38+D42+D52+D54</f>
        <v>4152</v>
      </c>
      <c r="E8" s="59">
        <f>E9+E21+E23+E29+E38+E42+E51+E53</f>
        <v>3791</v>
      </c>
      <c r="F8" s="59"/>
      <c r="G8" s="59"/>
      <c r="H8" s="60"/>
      <c r="I8" s="60"/>
      <c r="J8" s="61"/>
      <c r="K8" s="61"/>
      <c r="L8" s="61"/>
      <c r="M8" s="61"/>
    </row>
    <row r="9" spans="1:21" s="62" customFormat="1" ht="18" x14ac:dyDescent="0.3">
      <c r="A9" s="68" t="s">
        <v>19</v>
      </c>
      <c r="B9" s="69" t="s">
        <v>153</v>
      </c>
      <c r="C9" s="84">
        <f>C10</f>
        <v>1050</v>
      </c>
      <c r="D9" s="70">
        <f>D10+D11+D12+D13+D14+D15+D16+D17+D18+D19+D20</f>
        <v>1034</v>
      </c>
      <c r="E9" s="70">
        <f>E10+E11+E12+E13+E14+E15+E16+E17+E18+E19+E20</f>
        <v>939</v>
      </c>
      <c r="F9" s="70"/>
      <c r="G9" s="70"/>
      <c r="H9" s="60"/>
      <c r="I9" s="60"/>
      <c r="J9" s="61"/>
      <c r="K9" s="61"/>
      <c r="L9" s="61"/>
      <c r="M9" s="61"/>
    </row>
    <row r="10" spans="1:21" s="4" customFormat="1" ht="36" customHeight="1" x14ac:dyDescent="0.3">
      <c r="A10" s="71" t="s">
        <v>25</v>
      </c>
      <c r="B10" s="72" t="s">
        <v>187</v>
      </c>
      <c r="C10" s="170">
        <v>1050</v>
      </c>
      <c r="D10" s="73">
        <v>80</v>
      </c>
      <c r="E10" s="73">
        <v>60</v>
      </c>
      <c r="F10" s="73"/>
      <c r="G10" s="73" t="s">
        <v>204</v>
      </c>
      <c r="H10" s="32"/>
      <c r="I10" s="32">
        <f>580*3*0.16*0.296</f>
        <v>82.406400000000005</v>
      </c>
      <c r="J10" s="35">
        <f t="shared" ref="J10:J54" si="0">I10*1300000</f>
        <v>107128320</v>
      </c>
      <c r="K10" s="35"/>
      <c r="L10" s="36"/>
      <c r="M10" s="35"/>
      <c r="N10" s="5"/>
    </row>
    <row r="11" spans="1:21" s="4" customFormat="1" ht="36" x14ac:dyDescent="0.3">
      <c r="A11" s="71" t="s">
        <v>224</v>
      </c>
      <c r="B11" s="72" t="s">
        <v>200</v>
      </c>
      <c r="C11" s="171"/>
      <c r="D11" s="73">
        <v>190</v>
      </c>
      <c r="E11" s="73">
        <v>190</v>
      </c>
      <c r="F11" s="73"/>
      <c r="G11" s="73"/>
      <c r="H11" s="32"/>
      <c r="I11" s="32"/>
      <c r="J11" s="35"/>
      <c r="K11" s="35"/>
      <c r="L11" s="36"/>
      <c r="M11" s="35"/>
      <c r="N11" s="5"/>
    </row>
    <row r="12" spans="1:21" s="4" customFormat="1" ht="18" x14ac:dyDescent="0.3">
      <c r="A12" s="71" t="s">
        <v>144</v>
      </c>
      <c r="B12" s="72" t="s">
        <v>188</v>
      </c>
      <c r="C12" s="171"/>
      <c r="D12" s="73">
        <v>60</v>
      </c>
      <c r="E12" s="73">
        <v>60</v>
      </c>
      <c r="F12" s="73"/>
      <c r="G12" s="73"/>
      <c r="H12" s="32"/>
      <c r="I12" s="32"/>
      <c r="J12" s="35"/>
      <c r="K12" s="35"/>
      <c r="L12" s="36"/>
      <c r="M12" s="35"/>
      <c r="N12" s="5"/>
    </row>
    <row r="13" spans="1:21" s="4" customFormat="1" ht="18" x14ac:dyDescent="0.3">
      <c r="A13" s="71" t="s">
        <v>225</v>
      </c>
      <c r="B13" s="72" t="s">
        <v>189</v>
      </c>
      <c r="C13" s="171"/>
      <c r="D13" s="73">
        <v>51</v>
      </c>
      <c r="E13" s="73">
        <v>51</v>
      </c>
      <c r="F13" s="73"/>
      <c r="G13" s="73"/>
      <c r="H13" s="32"/>
      <c r="I13" s="32"/>
      <c r="J13" s="35"/>
      <c r="K13" s="35"/>
      <c r="L13" s="36"/>
      <c r="M13" s="35"/>
      <c r="N13" s="5"/>
    </row>
    <row r="14" spans="1:21" s="4" customFormat="1" ht="18" x14ac:dyDescent="0.3">
      <c r="A14" s="71" t="s">
        <v>226</v>
      </c>
      <c r="B14" s="72" t="s">
        <v>190</v>
      </c>
      <c r="C14" s="171"/>
      <c r="D14" s="73">
        <v>145</v>
      </c>
      <c r="E14" s="73">
        <v>145</v>
      </c>
      <c r="F14" s="73"/>
      <c r="G14" s="73"/>
      <c r="H14" s="32"/>
      <c r="I14" s="32"/>
      <c r="J14" s="35"/>
      <c r="K14" s="35"/>
      <c r="L14" s="36"/>
      <c r="M14" s="35"/>
      <c r="N14" s="5"/>
    </row>
    <row r="15" spans="1:21" s="4" customFormat="1" ht="36" x14ac:dyDescent="0.3">
      <c r="A15" s="71" t="s">
        <v>145</v>
      </c>
      <c r="B15" s="72" t="s">
        <v>191</v>
      </c>
      <c r="C15" s="171"/>
      <c r="D15" s="73">
        <v>30</v>
      </c>
      <c r="E15" s="73">
        <v>0</v>
      </c>
      <c r="F15" s="73"/>
      <c r="G15" s="73" t="s">
        <v>205</v>
      </c>
      <c r="H15" s="32"/>
      <c r="I15" s="32"/>
      <c r="J15" s="35"/>
      <c r="K15" s="35"/>
      <c r="L15" s="36"/>
      <c r="M15" s="35"/>
      <c r="N15" s="5"/>
    </row>
    <row r="16" spans="1:21" s="4" customFormat="1" ht="36" x14ac:dyDescent="0.3">
      <c r="A16" s="71" t="s">
        <v>227</v>
      </c>
      <c r="B16" s="72" t="s">
        <v>192</v>
      </c>
      <c r="C16" s="171"/>
      <c r="D16" s="73">
        <v>30</v>
      </c>
      <c r="E16" s="73">
        <v>20</v>
      </c>
      <c r="F16" s="73"/>
      <c r="G16" s="73" t="s">
        <v>206</v>
      </c>
      <c r="H16" s="32"/>
      <c r="I16" s="32"/>
      <c r="J16" s="35"/>
      <c r="K16" s="35"/>
      <c r="L16" s="36"/>
      <c r="M16" s="35"/>
      <c r="N16" s="5"/>
    </row>
    <row r="17" spans="1:14" s="4" customFormat="1" ht="18" x14ac:dyDescent="0.3">
      <c r="A17" s="71" t="s">
        <v>228</v>
      </c>
      <c r="B17" s="72" t="s">
        <v>193</v>
      </c>
      <c r="C17" s="171"/>
      <c r="D17" s="73">
        <v>200</v>
      </c>
      <c r="E17" s="73">
        <v>200</v>
      </c>
      <c r="F17" s="73"/>
      <c r="G17" s="73"/>
      <c r="H17" s="32"/>
      <c r="I17" s="32"/>
      <c r="J17" s="35"/>
      <c r="K17" s="35"/>
      <c r="L17" s="36"/>
      <c r="M17" s="35"/>
      <c r="N17" s="5"/>
    </row>
    <row r="18" spans="1:14" s="4" customFormat="1" ht="18" x14ac:dyDescent="0.3">
      <c r="A18" s="71" t="s">
        <v>229</v>
      </c>
      <c r="B18" s="72" t="s">
        <v>194</v>
      </c>
      <c r="C18" s="171"/>
      <c r="D18" s="73">
        <v>80</v>
      </c>
      <c r="E18" s="73">
        <v>80</v>
      </c>
      <c r="F18" s="73"/>
      <c r="G18" s="73"/>
      <c r="H18" s="32"/>
      <c r="I18" s="32"/>
      <c r="J18" s="35"/>
      <c r="K18" s="35"/>
      <c r="L18" s="36"/>
      <c r="M18" s="35"/>
      <c r="N18" s="5"/>
    </row>
    <row r="19" spans="1:14" s="4" customFormat="1" ht="36" x14ac:dyDescent="0.3">
      <c r="A19" s="71" t="s">
        <v>230</v>
      </c>
      <c r="B19" s="72" t="s">
        <v>195</v>
      </c>
      <c r="C19" s="171"/>
      <c r="D19" s="73">
        <v>85</v>
      </c>
      <c r="E19" s="73">
        <v>55</v>
      </c>
      <c r="F19" s="73"/>
      <c r="G19" s="73" t="s">
        <v>207</v>
      </c>
      <c r="H19" s="32"/>
      <c r="I19" s="32"/>
      <c r="J19" s="35"/>
      <c r="K19" s="35"/>
      <c r="L19" s="36"/>
      <c r="M19" s="35"/>
      <c r="N19" s="5"/>
    </row>
    <row r="20" spans="1:14" s="4" customFormat="1" ht="36" x14ac:dyDescent="0.3">
      <c r="A20" s="71" t="s">
        <v>231</v>
      </c>
      <c r="B20" s="72" t="s">
        <v>196</v>
      </c>
      <c r="C20" s="172"/>
      <c r="D20" s="73">
        <v>83</v>
      </c>
      <c r="E20" s="73">
        <v>78</v>
      </c>
      <c r="F20" s="73"/>
      <c r="G20" s="73" t="s">
        <v>208</v>
      </c>
      <c r="H20" s="32"/>
      <c r="I20" s="32"/>
      <c r="J20" s="35"/>
      <c r="K20" s="35"/>
      <c r="L20" s="36"/>
      <c r="M20" s="35"/>
      <c r="N20" s="5"/>
    </row>
    <row r="21" spans="1:14" s="56" customFormat="1" ht="17.399999999999999" x14ac:dyDescent="0.3">
      <c r="A21" s="74" t="s">
        <v>22</v>
      </c>
      <c r="B21" s="75" t="s">
        <v>154</v>
      </c>
      <c r="C21" s="76">
        <f>C22</f>
        <v>500</v>
      </c>
      <c r="D21" s="77">
        <f>D22</f>
        <v>228</v>
      </c>
      <c r="E21" s="77">
        <f>E22</f>
        <v>228</v>
      </c>
      <c r="F21" s="77"/>
      <c r="G21" s="77"/>
      <c r="H21" s="52"/>
      <c r="I21" s="52"/>
      <c r="J21" s="53"/>
      <c r="K21" s="53"/>
      <c r="L21" s="54"/>
      <c r="M21" s="53"/>
      <c r="N21" s="55"/>
    </row>
    <row r="22" spans="1:14" s="4" customFormat="1" ht="36" x14ac:dyDescent="0.3">
      <c r="A22" s="71" t="s">
        <v>144</v>
      </c>
      <c r="B22" s="72" t="s">
        <v>151</v>
      </c>
      <c r="C22" s="78">
        <v>500</v>
      </c>
      <c r="D22" s="73">
        <v>228</v>
      </c>
      <c r="E22" s="73">
        <v>228</v>
      </c>
      <c r="F22" s="73"/>
      <c r="G22" s="73"/>
      <c r="H22" s="32"/>
      <c r="I22" s="32">
        <f>500*3*0.16*0.296</f>
        <v>71.039999999999992</v>
      </c>
      <c r="J22" s="35">
        <f t="shared" si="0"/>
        <v>92351999.999999985</v>
      </c>
      <c r="K22" s="35"/>
      <c r="L22" s="36"/>
      <c r="M22" s="35"/>
      <c r="N22" s="5"/>
    </row>
    <row r="23" spans="1:14" s="56" customFormat="1" ht="17.399999999999999" x14ac:dyDescent="0.3">
      <c r="A23" s="74" t="s">
        <v>23</v>
      </c>
      <c r="B23" s="75" t="s">
        <v>155</v>
      </c>
      <c r="C23" s="76">
        <f>C24</f>
        <v>395</v>
      </c>
      <c r="D23" s="77">
        <f>D24+D25+D26+D27+D28</f>
        <v>347</v>
      </c>
      <c r="E23" s="77">
        <f>E24+E25+E26+E27+E28</f>
        <v>269</v>
      </c>
      <c r="F23" s="77"/>
      <c r="G23" s="77"/>
      <c r="H23" s="52"/>
      <c r="I23" s="52"/>
      <c r="J23" s="53"/>
      <c r="K23" s="53"/>
      <c r="L23" s="54"/>
      <c r="M23" s="53"/>
      <c r="N23" s="55"/>
    </row>
    <row r="24" spans="1:14" s="56" customFormat="1" ht="36" x14ac:dyDescent="0.3">
      <c r="A24" s="71" t="s">
        <v>25</v>
      </c>
      <c r="B24" s="72" t="s">
        <v>182</v>
      </c>
      <c r="C24" s="173">
        <v>395</v>
      </c>
      <c r="D24" s="73">
        <v>35</v>
      </c>
      <c r="E24" s="73">
        <v>35</v>
      </c>
      <c r="F24" s="73"/>
      <c r="G24" s="73"/>
      <c r="H24" s="52"/>
      <c r="I24" s="52"/>
      <c r="J24" s="53"/>
      <c r="K24" s="53"/>
      <c r="L24" s="54"/>
      <c r="M24" s="53"/>
      <c r="N24" s="55"/>
    </row>
    <row r="25" spans="1:14" s="56" customFormat="1" ht="36" x14ac:dyDescent="0.3">
      <c r="A25" s="71" t="s">
        <v>224</v>
      </c>
      <c r="B25" s="72" t="s">
        <v>183</v>
      </c>
      <c r="C25" s="171"/>
      <c r="D25" s="73">
        <v>45</v>
      </c>
      <c r="E25" s="73">
        <v>42</v>
      </c>
      <c r="F25" s="73"/>
      <c r="G25" s="73" t="s">
        <v>209</v>
      </c>
      <c r="H25" s="52"/>
      <c r="I25" s="52"/>
      <c r="J25" s="53"/>
      <c r="K25" s="53"/>
      <c r="L25" s="54"/>
      <c r="M25" s="53"/>
      <c r="N25" s="55"/>
    </row>
    <row r="26" spans="1:14" s="56" customFormat="1" ht="36" x14ac:dyDescent="0.3">
      <c r="A26" s="71" t="s">
        <v>144</v>
      </c>
      <c r="B26" s="72" t="s">
        <v>184</v>
      </c>
      <c r="C26" s="171"/>
      <c r="D26" s="73">
        <v>50</v>
      </c>
      <c r="E26" s="73">
        <v>0</v>
      </c>
      <c r="F26" s="73"/>
      <c r="G26" s="73" t="s">
        <v>210</v>
      </c>
      <c r="H26" s="52"/>
      <c r="I26" s="52"/>
      <c r="J26" s="53"/>
      <c r="K26" s="53"/>
      <c r="L26" s="54"/>
      <c r="M26" s="53"/>
      <c r="N26" s="55"/>
    </row>
    <row r="27" spans="1:14" s="56" customFormat="1" ht="36" x14ac:dyDescent="0.3">
      <c r="A27" s="71" t="s">
        <v>225</v>
      </c>
      <c r="B27" s="72" t="s">
        <v>185</v>
      </c>
      <c r="C27" s="171"/>
      <c r="D27" s="73">
        <v>25</v>
      </c>
      <c r="E27" s="73">
        <v>0</v>
      </c>
      <c r="F27" s="73"/>
      <c r="G27" s="73" t="s">
        <v>211</v>
      </c>
      <c r="H27" s="52"/>
      <c r="I27" s="52"/>
      <c r="J27" s="53"/>
      <c r="K27" s="53"/>
      <c r="L27" s="54"/>
      <c r="M27" s="53"/>
      <c r="N27" s="55"/>
    </row>
    <row r="28" spans="1:14" s="4" customFormat="1" ht="52.5" customHeight="1" x14ac:dyDescent="0.3">
      <c r="A28" s="71" t="s">
        <v>226</v>
      </c>
      <c r="B28" s="72" t="s">
        <v>186</v>
      </c>
      <c r="C28" s="172"/>
      <c r="D28" s="73">
        <v>192</v>
      </c>
      <c r="E28" s="73">
        <v>192</v>
      </c>
      <c r="F28" s="73"/>
      <c r="G28" s="73" t="s">
        <v>212</v>
      </c>
      <c r="H28" s="32"/>
      <c r="I28" s="32">
        <f>395*3*0.16*0.296</f>
        <v>56.121599999999994</v>
      </c>
      <c r="J28" s="35">
        <f t="shared" si="0"/>
        <v>72958079.999999985</v>
      </c>
      <c r="K28" s="35"/>
      <c r="L28" s="36"/>
      <c r="M28" s="35"/>
      <c r="N28" s="5"/>
    </row>
    <row r="29" spans="1:14" s="56" customFormat="1" ht="18.75" customHeight="1" x14ac:dyDescent="0.3">
      <c r="A29" s="74" t="s">
        <v>24</v>
      </c>
      <c r="B29" s="75" t="s">
        <v>156</v>
      </c>
      <c r="C29" s="79">
        <f>C30</f>
        <v>1650</v>
      </c>
      <c r="D29" s="77">
        <f>D30+D31+D32+D33+D34+D35+D36+D37</f>
        <v>841</v>
      </c>
      <c r="E29" s="77">
        <f>E30+E31+E32+E33+E34+E35+E36+E37</f>
        <v>723</v>
      </c>
      <c r="F29" s="77"/>
      <c r="G29" s="77"/>
      <c r="H29" s="52"/>
      <c r="I29" s="52"/>
      <c r="J29" s="53"/>
      <c r="K29" s="53"/>
      <c r="L29" s="54"/>
      <c r="M29" s="53"/>
      <c r="N29" s="55"/>
    </row>
    <row r="30" spans="1:14" s="56" customFormat="1" ht="37.5" customHeight="1" x14ac:dyDescent="0.3">
      <c r="A30" s="71" t="s">
        <v>25</v>
      </c>
      <c r="B30" s="72" t="s">
        <v>164</v>
      </c>
      <c r="C30" s="175">
        <v>1650</v>
      </c>
      <c r="D30" s="80">
        <v>270</v>
      </c>
      <c r="E30" s="80">
        <v>270</v>
      </c>
      <c r="F30" s="80"/>
      <c r="G30" s="80"/>
      <c r="H30" s="52"/>
      <c r="I30" s="52"/>
      <c r="J30" s="53"/>
      <c r="K30" s="53"/>
      <c r="L30" s="54"/>
      <c r="M30" s="53"/>
      <c r="N30" s="55"/>
    </row>
    <row r="31" spans="1:14" s="56" customFormat="1" ht="36" x14ac:dyDescent="0.3">
      <c r="A31" s="71" t="s">
        <v>224</v>
      </c>
      <c r="B31" s="72" t="s">
        <v>165</v>
      </c>
      <c r="C31" s="176"/>
      <c r="D31" s="80">
        <v>44</v>
      </c>
      <c r="E31" s="80">
        <v>44</v>
      </c>
      <c r="F31" s="80"/>
      <c r="G31" s="80"/>
      <c r="H31" s="52"/>
      <c r="I31" s="52"/>
      <c r="J31" s="53"/>
      <c r="K31" s="53"/>
      <c r="L31" s="54"/>
      <c r="M31" s="53"/>
      <c r="N31" s="55"/>
    </row>
    <row r="32" spans="1:14" s="56" customFormat="1" ht="90" x14ac:dyDescent="0.3">
      <c r="A32" s="71" t="s">
        <v>144</v>
      </c>
      <c r="B32" s="72" t="s">
        <v>166</v>
      </c>
      <c r="C32" s="176"/>
      <c r="D32" s="80">
        <v>219</v>
      </c>
      <c r="E32" s="80">
        <v>183</v>
      </c>
      <c r="F32" s="80"/>
      <c r="G32" s="80" t="s">
        <v>213</v>
      </c>
      <c r="H32" s="52"/>
      <c r="I32" s="52"/>
      <c r="J32" s="53"/>
      <c r="K32" s="53"/>
      <c r="L32" s="54"/>
      <c r="M32" s="53"/>
      <c r="N32" s="55"/>
    </row>
    <row r="33" spans="1:14" s="56" customFormat="1" ht="54" x14ac:dyDescent="0.3">
      <c r="A33" s="71" t="s">
        <v>225</v>
      </c>
      <c r="B33" s="72" t="s">
        <v>167</v>
      </c>
      <c r="C33" s="176"/>
      <c r="D33" s="80">
        <v>73</v>
      </c>
      <c r="E33" s="80">
        <v>51</v>
      </c>
      <c r="F33" s="80"/>
      <c r="G33" s="80" t="s">
        <v>214</v>
      </c>
      <c r="H33" s="52"/>
      <c r="I33" s="52"/>
      <c r="J33" s="53"/>
      <c r="K33" s="53"/>
      <c r="L33" s="54"/>
      <c r="M33" s="53"/>
      <c r="N33" s="55"/>
    </row>
    <row r="34" spans="1:14" s="56" customFormat="1" ht="48" customHeight="1" x14ac:dyDescent="0.3">
      <c r="A34" s="71" t="s">
        <v>226</v>
      </c>
      <c r="B34" s="72" t="s">
        <v>168</v>
      </c>
      <c r="C34" s="176"/>
      <c r="D34" s="80">
        <v>68</v>
      </c>
      <c r="E34" s="80">
        <v>68</v>
      </c>
      <c r="F34" s="80"/>
      <c r="G34" s="80"/>
      <c r="H34" s="52"/>
      <c r="I34" s="52"/>
      <c r="J34" s="53"/>
      <c r="K34" s="53"/>
      <c r="L34" s="54"/>
      <c r="M34" s="53"/>
      <c r="N34" s="55"/>
    </row>
    <row r="35" spans="1:14" s="56" customFormat="1" ht="33.75" customHeight="1" x14ac:dyDescent="0.3">
      <c r="A35" s="71" t="s">
        <v>145</v>
      </c>
      <c r="B35" s="72" t="s">
        <v>199</v>
      </c>
      <c r="C35" s="176"/>
      <c r="D35" s="80">
        <v>55</v>
      </c>
      <c r="E35" s="80">
        <v>0</v>
      </c>
      <c r="F35" s="80"/>
      <c r="G35" s="80" t="s">
        <v>215</v>
      </c>
      <c r="H35" s="52"/>
      <c r="I35" s="52"/>
      <c r="J35" s="53"/>
      <c r="K35" s="53"/>
      <c r="L35" s="54"/>
      <c r="M35" s="53"/>
      <c r="N35" s="55"/>
    </row>
    <row r="36" spans="1:14" s="56" customFormat="1" ht="48" customHeight="1" x14ac:dyDescent="0.3">
      <c r="A36" s="71" t="s">
        <v>227</v>
      </c>
      <c r="B36" s="72" t="s">
        <v>169</v>
      </c>
      <c r="C36" s="176"/>
      <c r="D36" s="80">
        <v>72</v>
      </c>
      <c r="E36" s="80">
        <v>72</v>
      </c>
      <c r="F36" s="80"/>
      <c r="G36" s="80"/>
      <c r="H36" s="52"/>
      <c r="I36" s="52"/>
      <c r="J36" s="53"/>
      <c r="K36" s="53"/>
      <c r="L36" s="54"/>
      <c r="M36" s="53"/>
      <c r="N36" s="55"/>
    </row>
    <row r="37" spans="1:14" s="4" customFormat="1" ht="36" x14ac:dyDescent="0.3">
      <c r="A37" s="71" t="s">
        <v>228</v>
      </c>
      <c r="B37" s="72" t="s">
        <v>170</v>
      </c>
      <c r="C37" s="177"/>
      <c r="D37" s="80">
        <v>40</v>
      </c>
      <c r="E37" s="80">
        <v>35</v>
      </c>
      <c r="F37" s="80"/>
      <c r="G37" s="80" t="s">
        <v>216</v>
      </c>
      <c r="H37" s="32"/>
      <c r="I37" s="32">
        <f>1650*3*0.16*0.296</f>
        <v>234.43199999999999</v>
      </c>
      <c r="J37" s="35">
        <f t="shared" si="0"/>
        <v>304761600</v>
      </c>
      <c r="K37" s="35"/>
      <c r="L37" s="36"/>
      <c r="M37" s="35"/>
      <c r="N37" s="5"/>
    </row>
    <row r="38" spans="1:14" s="56" customFormat="1" ht="17.399999999999999" x14ac:dyDescent="0.3">
      <c r="A38" s="74" t="s">
        <v>157</v>
      </c>
      <c r="B38" s="75" t="s">
        <v>158</v>
      </c>
      <c r="C38" s="79">
        <f>C39</f>
        <v>530</v>
      </c>
      <c r="D38" s="77">
        <f>D39+D40+D41</f>
        <v>544</v>
      </c>
      <c r="E38" s="77">
        <f>E39+E40+E41</f>
        <v>544</v>
      </c>
      <c r="F38" s="77"/>
      <c r="G38" s="77"/>
      <c r="H38" s="52"/>
      <c r="I38" s="52"/>
      <c r="J38" s="53"/>
      <c r="K38" s="53"/>
      <c r="L38" s="54"/>
      <c r="M38" s="53"/>
      <c r="N38" s="55"/>
    </row>
    <row r="39" spans="1:14" s="56" customFormat="1" ht="36" x14ac:dyDescent="0.3">
      <c r="A39" s="71" t="s">
        <v>25</v>
      </c>
      <c r="B39" s="72" t="s">
        <v>171</v>
      </c>
      <c r="C39" s="173">
        <v>530</v>
      </c>
      <c r="D39" s="73">
        <v>143</v>
      </c>
      <c r="E39" s="73">
        <v>143</v>
      </c>
      <c r="F39" s="73"/>
      <c r="G39" s="73"/>
      <c r="H39" s="52"/>
      <c r="I39" s="52"/>
      <c r="J39" s="53"/>
      <c r="K39" s="53"/>
      <c r="L39" s="54"/>
      <c r="M39" s="53"/>
      <c r="N39" s="55"/>
    </row>
    <row r="40" spans="1:14" s="56" customFormat="1" ht="36" x14ac:dyDescent="0.3">
      <c r="A40" s="71" t="s">
        <v>224</v>
      </c>
      <c r="B40" s="72" t="s">
        <v>172</v>
      </c>
      <c r="C40" s="171"/>
      <c r="D40" s="73">
        <v>196</v>
      </c>
      <c r="E40" s="73">
        <v>196</v>
      </c>
      <c r="F40" s="73"/>
      <c r="G40" s="73"/>
      <c r="H40" s="52"/>
      <c r="I40" s="52"/>
      <c r="J40" s="53"/>
      <c r="K40" s="53"/>
      <c r="L40" s="54"/>
      <c r="M40" s="53"/>
      <c r="N40" s="55"/>
    </row>
    <row r="41" spans="1:14" s="4" customFormat="1" ht="18" x14ac:dyDescent="0.3">
      <c r="A41" s="71" t="s">
        <v>144</v>
      </c>
      <c r="B41" s="72" t="s">
        <v>173</v>
      </c>
      <c r="C41" s="172"/>
      <c r="D41" s="73">
        <v>205</v>
      </c>
      <c r="E41" s="73">
        <v>205</v>
      </c>
      <c r="F41" s="73"/>
      <c r="G41" s="73"/>
      <c r="H41" s="32"/>
      <c r="I41" s="32">
        <f>530*3*0.16*0.296</f>
        <v>75.302399999999992</v>
      </c>
      <c r="J41" s="35">
        <f t="shared" si="0"/>
        <v>97893119.999999985</v>
      </c>
      <c r="K41" s="35"/>
      <c r="L41" s="36"/>
      <c r="M41" s="35"/>
      <c r="N41" s="5"/>
    </row>
    <row r="42" spans="1:14" s="56" customFormat="1" ht="17.399999999999999" x14ac:dyDescent="0.3">
      <c r="A42" s="74" t="s">
        <v>159</v>
      </c>
      <c r="B42" s="75" t="s">
        <v>160</v>
      </c>
      <c r="C42" s="76">
        <f>C43</f>
        <v>938</v>
      </c>
      <c r="D42" s="77">
        <f>D43+D44+D45+D46+D47+D48+D49+D50</f>
        <v>913</v>
      </c>
      <c r="E42" s="77">
        <f>E43+E44+E45+E46+E47+E48+E49+E50</f>
        <v>858</v>
      </c>
      <c r="F42" s="77"/>
      <c r="G42" s="77"/>
      <c r="H42" s="52"/>
      <c r="I42" s="52"/>
      <c r="J42" s="53"/>
      <c r="K42" s="53"/>
      <c r="L42" s="54"/>
      <c r="M42" s="53"/>
      <c r="N42" s="55"/>
    </row>
    <row r="43" spans="1:14" s="56" customFormat="1" ht="36" x14ac:dyDescent="0.3">
      <c r="A43" s="71" t="s">
        <v>25</v>
      </c>
      <c r="B43" s="72" t="s">
        <v>174</v>
      </c>
      <c r="C43" s="173">
        <v>938</v>
      </c>
      <c r="D43" s="73">
        <v>255</v>
      </c>
      <c r="E43" s="73">
        <v>255</v>
      </c>
      <c r="F43" s="179"/>
      <c r="G43" s="73"/>
      <c r="H43" s="52"/>
      <c r="I43" s="52"/>
      <c r="J43" s="53"/>
      <c r="K43" s="53"/>
      <c r="L43" s="54"/>
      <c r="M43" s="53"/>
      <c r="N43" s="55"/>
    </row>
    <row r="44" spans="1:14" s="56" customFormat="1" ht="36" x14ac:dyDescent="0.3">
      <c r="A44" s="71" t="s">
        <v>224</v>
      </c>
      <c r="B44" s="72" t="s">
        <v>175</v>
      </c>
      <c r="C44" s="171"/>
      <c r="D44" s="73">
        <v>81</v>
      </c>
      <c r="E44" s="73">
        <v>81</v>
      </c>
      <c r="F44" s="180"/>
      <c r="G44" s="73"/>
      <c r="H44" s="52"/>
      <c r="I44" s="52"/>
      <c r="J44" s="53"/>
      <c r="K44" s="53"/>
      <c r="L44" s="54"/>
      <c r="M44" s="53"/>
      <c r="N44" s="55"/>
    </row>
    <row r="45" spans="1:14" s="56" customFormat="1" ht="36" x14ac:dyDescent="0.3">
      <c r="A45" s="71" t="s">
        <v>144</v>
      </c>
      <c r="B45" s="72" t="s">
        <v>176</v>
      </c>
      <c r="C45" s="171"/>
      <c r="D45" s="73">
        <v>147</v>
      </c>
      <c r="E45" s="73">
        <v>147</v>
      </c>
      <c r="F45" s="180"/>
      <c r="G45" s="73"/>
      <c r="H45" s="52"/>
      <c r="I45" s="52"/>
      <c r="J45" s="53"/>
      <c r="K45" s="53"/>
      <c r="L45" s="54"/>
      <c r="M45" s="53"/>
      <c r="N45" s="55"/>
    </row>
    <row r="46" spans="1:14" s="56" customFormat="1" ht="18" x14ac:dyDescent="0.3">
      <c r="A46" s="71" t="s">
        <v>225</v>
      </c>
      <c r="B46" s="72" t="s">
        <v>177</v>
      </c>
      <c r="C46" s="171"/>
      <c r="D46" s="73">
        <v>158</v>
      </c>
      <c r="E46" s="73">
        <v>158</v>
      </c>
      <c r="F46" s="180"/>
      <c r="G46" s="73"/>
      <c r="H46" s="52"/>
      <c r="I46" s="52"/>
      <c r="J46" s="53"/>
      <c r="K46" s="53"/>
      <c r="L46" s="54"/>
      <c r="M46" s="53"/>
      <c r="N46" s="55"/>
    </row>
    <row r="47" spans="1:14" s="56" customFormat="1" ht="18" x14ac:dyDescent="0.3">
      <c r="A47" s="71" t="s">
        <v>226</v>
      </c>
      <c r="B47" s="72" t="s">
        <v>178</v>
      </c>
      <c r="C47" s="171"/>
      <c r="D47" s="73">
        <v>55</v>
      </c>
      <c r="E47" s="73">
        <v>0</v>
      </c>
      <c r="F47" s="180"/>
      <c r="G47" s="73" t="s">
        <v>217</v>
      </c>
      <c r="H47" s="52"/>
      <c r="I47" s="52"/>
      <c r="J47" s="53"/>
      <c r="K47" s="53"/>
      <c r="L47" s="54"/>
      <c r="M47" s="53"/>
      <c r="N47" s="55"/>
    </row>
    <row r="48" spans="1:14" s="56" customFormat="1" ht="18" x14ac:dyDescent="0.3">
      <c r="A48" s="71" t="s">
        <v>145</v>
      </c>
      <c r="B48" s="72" t="s">
        <v>179</v>
      </c>
      <c r="C48" s="171"/>
      <c r="D48" s="73">
        <v>50</v>
      </c>
      <c r="E48" s="73">
        <v>50</v>
      </c>
      <c r="F48" s="180"/>
      <c r="G48" s="73"/>
      <c r="H48" s="52"/>
      <c r="I48" s="52"/>
      <c r="J48" s="53"/>
      <c r="K48" s="53"/>
      <c r="L48" s="54"/>
      <c r="M48" s="53"/>
      <c r="N48" s="55"/>
    </row>
    <row r="49" spans="1:14" s="56" customFormat="1" ht="36" x14ac:dyDescent="0.3">
      <c r="A49" s="71" t="s">
        <v>227</v>
      </c>
      <c r="B49" s="72" t="s">
        <v>180</v>
      </c>
      <c r="C49" s="171"/>
      <c r="D49" s="73">
        <v>37</v>
      </c>
      <c r="E49" s="73">
        <v>37</v>
      </c>
      <c r="F49" s="180"/>
      <c r="G49" s="73"/>
      <c r="H49" s="52"/>
      <c r="I49" s="52"/>
      <c r="J49" s="53"/>
      <c r="K49" s="53"/>
      <c r="L49" s="54"/>
      <c r="M49" s="53"/>
      <c r="N49" s="55"/>
    </row>
    <row r="50" spans="1:14" s="56" customFormat="1" ht="36" x14ac:dyDescent="0.3">
      <c r="A50" s="71" t="s">
        <v>228</v>
      </c>
      <c r="B50" s="72" t="s">
        <v>181</v>
      </c>
      <c r="C50" s="171"/>
      <c r="D50" s="73">
        <v>130</v>
      </c>
      <c r="E50" s="73">
        <v>130</v>
      </c>
      <c r="F50" s="181"/>
      <c r="G50" s="73"/>
      <c r="H50" s="52"/>
      <c r="I50" s="52"/>
      <c r="J50" s="53"/>
      <c r="K50" s="53"/>
      <c r="L50" s="54"/>
      <c r="M50" s="53"/>
      <c r="N50" s="55"/>
    </row>
    <row r="51" spans="1:14" s="56" customFormat="1" ht="17.399999999999999" x14ac:dyDescent="0.3">
      <c r="A51" s="74" t="s">
        <v>161</v>
      </c>
      <c r="B51" s="75" t="s">
        <v>162</v>
      </c>
      <c r="C51" s="76">
        <f>C52</f>
        <v>500</v>
      </c>
      <c r="D51" s="77">
        <f>D52</f>
        <v>125</v>
      </c>
      <c r="E51" s="77">
        <f>E52</f>
        <v>125</v>
      </c>
      <c r="F51" s="77"/>
      <c r="G51" s="77"/>
      <c r="H51" s="52"/>
      <c r="I51" s="32">
        <f>D51*3*0.16*0.296</f>
        <v>17.759999999999998</v>
      </c>
      <c r="J51" s="35">
        <f t="shared" si="0"/>
        <v>23087999.999999996</v>
      </c>
      <c r="K51" s="53"/>
      <c r="L51" s="54"/>
      <c r="M51" s="53"/>
      <c r="N51" s="55"/>
    </row>
    <row r="52" spans="1:14" s="4" customFormat="1" ht="130.5" customHeight="1" x14ac:dyDescent="0.3">
      <c r="A52" s="71" t="s">
        <v>25</v>
      </c>
      <c r="B52" s="72" t="s">
        <v>197</v>
      </c>
      <c r="C52" s="81">
        <v>500</v>
      </c>
      <c r="D52" s="73">
        <v>125</v>
      </c>
      <c r="E52" s="73">
        <v>125</v>
      </c>
      <c r="F52" s="73" t="s">
        <v>222</v>
      </c>
      <c r="G52" s="73" t="s">
        <v>223</v>
      </c>
      <c r="H52" s="32"/>
      <c r="I52" s="32">
        <f>D52*3*0.16*0.296</f>
        <v>17.759999999999998</v>
      </c>
      <c r="J52" s="35">
        <f t="shared" si="0"/>
        <v>23087999.999999996</v>
      </c>
      <c r="K52" s="35"/>
      <c r="L52" s="36"/>
      <c r="M52" s="35"/>
      <c r="N52" s="5"/>
    </row>
    <row r="53" spans="1:14" s="56" customFormat="1" ht="17.399999999999999" x14ac:dyDescent="0.3">
      <c r="A53" s="74" t="s">
        <v>161</v>
      </c>
      <c r="B53" s="75" t="s">
        <v>163</v>
      </c>
      <c r="C53" s="76">
        <f>C54</f>
        <v>120</v>
      </c>
      <c r="D53" s="77">
        <f>D54</f>
        <v>120</v>
      </c>
      <c r="E53" s="77">
        <f>E54</f>
        <v>105</v>
      </c>
      <c r="F53" s="77"/>
      <c r="G53" s="77"/>
      <c r="H53" s="52"/>
      <c r="I53" s="32">
        <f>D53*3*0.16*0.296</f>
        <v>17.049599999999998</v>
      </c>
      <c r="J53" s="35">
        <f t="shared" si="0"/>
        <v>22164479.999999996</v>
      </c>
      <c r="K53" s="53"/>
      <c r="L53" s="54"/>
      <c r="M53" s="53"/>
      <c r="N53" s="55"/>
    </row>
    <row r="54" spans="1:14" s="4" customFormat="1" ht="90" x14ac:dyDescent="0.3">
      <c r="A54" s="71" t="s">
        <v>224</v>
      </c>
      <c r="B54" s="72" t="s">
        <v>198</v>
      </c>
      <c r="C54" s="82">
        <v>120</v>
      </c>
      <c r="D54" s="73">
        <v>120</v>
      </c>
      <c r="E54" s="73">
        <v>105</v>
      </c>
      <c r="F54" s="73" t="s">
        <v>220</v>
      </c>
      <c r="G54" s="73" t="s">
        <v>221</v>
      </c>
      <c r="H54" s="32"/>
      <c r="I54" s="32">
        <f>D54*3*0.16*0.296</f>
        <v>17.049599999999998</v>
      </c>
      <c r="J54" s="35">
        <f t="shared" si="0"/>
        <v>22164479.999999996</v>
      </c>
      <c r="K54" s="35"/>
      <c r="L54" s="36"/>
      <c r="M54" s="35"/>
      <c r="N54" s="5"/>
    </row>
    <row r="55" spans="1:14" s="4" customFormat="1" ht="18" x14ac:dyDescent="0.3">
      <c r="A55" s="48"/>
      <c r="B55" s="63"/>
      <c r="C55" s="67"/>
      <c r="D55" s="64"/>
      <c r="E55" s="64"/>
      <c r="F55" s="64"/>
      <c r="G55" s="65"/>
      <c r="H55" s="32"/>
      <c r="I55" s="32"/>
      <c r="J55" s="35"/>
      <c r="K55" s="35"/>
      <c r="L55" s="36"/>
      <c r="M55" s="35"/>
      <c r="N55" s="5"/>
    </row>
    <row r="56" spans="1:14" s="4" customFormat="1" ht="18" x14ac:dyDescent="0.3">
      <c r="A56" s="48"/>
      <c r="B56" s="43"/>
      <c r="C56" s="49"/>
      <c r="D56" s="49"/>
      <c r="E56" s="49"/>
      <c r="F56" s="49"/>
      <c r="G56" s="50"/>
      <c r="H56" s="32"/>
      <c r="I56" s="32"/>
      <c r="J56" s="35"/>
      <c r="K56" s="35"/>
      <c r="L56" s="36"/>
      <c r="M56" s="35"/>
      <c r="N56" s="5"/>
    </row>
    <row r="57" spans="1:14" s="4" customFormat="1" ht="18" x14ac:dyDescent="0.3">
      <c r="A57" s="48"/>
      <c r="B57" s="178"/>
      <c r="C57" s="178"/>
      <c r="D57" s="178"/>
      <c r="E57" s="178"/>
      <c r="F57" s="178"/>
      <c r="G57" s="178"/>
      <c r="H57" s="32"/>
      <c r="I57" s="32"/>
      <c r="J57" s="35"/>
      <c r="K57" s="35"/>
      <c r="L57" s="36"/>
      <c r="M57" s="35"/>
      <c r="N57" s="5"/>
    </row>
    <row r="58" spans="1:14" s="30" customFormat="1" x14ac:dyDescent="0.3">
      <c r="A58" s="40"/>
      <c r="B58" s="41"/>
      <c r="C58" s="51"/>
      <c r="D58" s="174"/>
      <c r="E58" s="174"/>
      <c r="F58" s="174"/>
      <c r="G58" s="174"/>
      <c r="H58" s="39"/>
      <c r="I58" s="39"/>
    </row>
    <row r="59" spans="1:14" s="30" customFormat="1" x14ac:dyDescent="0.3">
      <c r="A59" s="40"/>
      <c r="B59" s="47" t="s">
        <v>149</v>
      </c>
      <c r="C59" s="47"/>
      <c r="D59" s="168"/>
      <c r="E59" s="168"/>
      <c r="F59" s="168"/>
      <c r="G59" s="168"/>
      <c r="H59" s="39"/>
      <c r="I59" s="39"/>
    </row>
    <row r="60" spans="1:14" s="30" customFormat="1" x14ac:dyDescent="0.3">
      <c r="A60" s="40"/>
      <c r="B60" s="41"/>
      <c r="C60" s="51"/>
      <c r="D60" s="168"/>
      <c r="E60" s="168"/>
      <c r="F60" s="168"/>
      <c r="G60" s="168"/>
      <c r="H60" s="39"/>
      <c r="I60" s="39"/>
    </row>
    <row r="61" spans="1:14" s="30" customFormat="1" x14ac:dyDescent="0.3">
      <c r="A61" s="40"/>
      <c r="B61" s="41"/>
      <c r="C61" s="51"/>
      <c r="D61" s="51"/>
      <c r="E61" s="51"/>
      <c r="F61" s="51"/>
      <c r="H61" s="39"/>
      <c r="I61" s="39"/>
    </row>
    <row r="62" spans="1:14" s="30" customFormat="1" x14ac:dyDescent="0.3">
      <c r="A62" s="40"/>
      <c r="B62" s="41"/>
      <c r="C62" s="51"/>
      <c r="D62" s="51"/>
      <c r="E62" s="51"/>
      <c r="F62" s="51"/>
      <c r="H62" s="39"/>
      <c r="I62" s="39"/>
    </row>
    <row r="63" spans="1:14" s="30" customFormat="1" x14ac:dyDescent="0.3">
      <c r="A63" s="40"/>
      <c r="B63" s="41"/>
      <c r="C63" s="51"/>
      <c r="D63" s="51"/>
      <c r="E63" s="51"/>
      <c r="F63" s="51"/>
      <c r="H63" s="39"/>
      <c r="I63" s="39"/>
    </row>
    <row r="64" spans="1:14" s="30" customFormat="1" x14ac:dyDescent="0.3">
      <c r="A64" s="40"/>
      <c r="B64" s="47" t="s">
        <v>150</v>
      </c>
      <c r="C64" s="51"/>
      <c r="D64" s="168"/>
      <c r="E64" s="168"/>
      <c r="F64" s="168"/>
      <c r="G64" s="169"/>
      <c r="H64" s="39"/>
      <c r="I64" s="39"/>
    </row>
    <row r="65" spans="1:9" s="30" customFormat="1" x14ac:dyDescent="0.3">
      <c r="A65" s="40"/>
      <c r="B65" s="41"/>
      <c r="C65" s="51"/>
      <c r="D65" s="51"/>
      <c r="E65" s="51"/>
      <c r="F65" s="51"/>
      <c r="H65" s="39"/>
      <c r="I65" s="39"/>
    </row>
    <row r="66" spans="1:9" s="30" customFormat="1" x14ac:dyDescent="0.3">
      <c r="A66" s="40"/>
      <c r="B66" s="41"/>
      <c r="C66" s="51"/>
      <c r="D66" s="51"/>
      <c r="E66" s="51"/>
      <c r="F66" s="51"/>
      <c r="H66" s="39"/>
      <c r="I66" s="39"/>
    </row>
    <row r="67" spans="1:9" s="30" customFormat="1" x14ac:dyDescent="0.3">
      <c r="A67" s="40"/>
      <c r="B67" s="41"/>
      <c r="C67" s="51"/>
      <c r="D67" s="51"/>
      <c r="E67" s="51"/>
      <c r="F67" s="51"/>
      <c r="H67" s="39"/>
      <c r="I67" s="39"/>
    </row>
    <row r="68" spans="1:9" s="30" customFormat="1" x14ac:dyDescent="0.3">
      <c r="A68" s="40"/>
      <c r="B68" s="41"/>
      <c r="C68" s="51"/>
      <c r="D68" s="51"/>
      <c r="E68" s="51"/>
      <c r="F68" s="51"/>
      <c r="H68" s="39"/>
      <c r="I68" s="39"/>
    </row>
    <row r="69" spans="1:9" s="30" customFormat="1" x14ac:dyDescent="0.3">
      <c r="A69" s="40"/>
      <c r="B69" s="41"/>
      <c r="C69" s="51"/>
      <c r="D69" s="51"/>
      <c r="E69" s="51"/>
      <c r="F69" s="51"/>
      <c r="H69" s="39"/>
      <c r="I69" s="39"/>
    </row>
    <row r="70" spans="1:9" s="30" customFormat="1" x14ac:dyDescent="0.3">
      <c r="A70" s="40"/>
      <c r="B70" s="41"/>
      <c r="C70" s="51"/>
      <c r="D70" s="51"/>
      <c r="E70" s="51"/>
      <c r="F70" s="51"/>
      <c r="H70" s="39"/>
      <c r="I70" s="39"/>
    </row>
    <row r="71" spans="1:9" s="30" customFormat="1" x14ac:dyDescent="0.3">
      <c r="A71" s="40"/>
      <c r="B71" s="41"/>
      <c r="C71" s="51"/>
      <c r="D71" s="51"/>
      <c r="E71" s="51"/>
      <c r="F71" s="51"/>
      <c r="H71" s="39"/>
      <c r="I71" s="39"/>
    </row>
    <row r="72" spans="1:9" s="30" customFormat="1" x14ac:dyDescent="0.3">
      <c r="A72" s="40"/>
      <c r="B72" s="41"/>
      <c r="C72" s="51"/>
      <c r="D72" s="51"/>
      <c r="E72" s="51"/>
      <c r="F72" s="51"/>
      <c r="H72" s="39"/>
      <c r="I72" s="39"/>
    </row>
    <row r="73" spans="1:9" s="30" customFormat="1" x14ac:dyDescent="0.3">
      <c r="A73" s="40"/>
      <c r="B73" s="41"/>
      <c r="C73" s="51"/>
      <c r="D73" s="51"/>
      <c r="E73" s="51"/>
      <c r="F73" s="51"/>
      <c r="H73" s="39"/>
      <c r="I73" s="39"/>
    </row>
    <row r="74" spans="1:9" s="30" customFormat="1" x14ac:dyDescent="0.3">
      <c r="A74" s="40"/>
      <c r="B74" s="41"/>
      <c r="C74" s="51"/>
      <c r="D74" s="51"/>
      <c r="E74" s="51"/>
      <c r="F74" s="51"/>
      <c r="H74" s="39"/>
      <c r="I74" s="39"/>
    </row>
    <row r="75" spans="1:9" s="30" customFormat="1" x14ac:dyDescent="0.3">
      <c r="A75" s="40"/>
      <c r="B75" s="41"/>
      <c r="C75" s="51"/>
      <c r="D75" s="51"/>
      <c r="E75" s="51"/>
      <c r="F75" s="51"/>
      <c r="H75" s="39"/>
      <c r="I75" s="39"/>
    </row>
    <row r="76" spans="1:9" s="30" customFormat="1" x14ac:dyDescent="0.3">
      <c r="A76" s="40"/>
      <c r="B76" s="41"/>
      <c r="C76" s="51"/>
      <c r="D76" s="51"/>
      <c r="E76" s="51"/>
      <c r="F76" s="51"/>
      <c r="H76" s="39"/>
      <c r="I76" s="39"/>
    </row>
    <row r="77" spans="1:9" s="30" customFormat="1" x14ac:dyDescent="0.3">
      <c r="A77" s="40"/>
      <c r="B77" s="41"/>
      <c r="C77" s="51"/>
      <c r="D77" s="51"/>
      <c r="E77" s="51"/>
      <c r="F77" s="51"/>
      <c r="H77" s="39"/>
      <c r="I77" s="39"/>
    </row>
    <row r="78" spans="1:9" s="30" customFormat="1" x14ac:dyDescent="0.3">
      <c r="A78" s="40"/>
      <c r="B78" s="41"/>
      <c r="C78" s="51"/>
      <c r="D78" s="51"/>
      <c r="E78" s="51"/>
      <c r="F78" s="51"/>
      <c r="H78" s="39"/>
      <c r="I78" s="39"/>
    </row>
    <row r="79" spans="1:9" s="30" customFormat="1" x14ac:dyDescent="0.3">
      <c r="A79" s="40"/>
      <c r="B79" s="41"/>
      <c r="C79" s="51"/>
      <c r="D79" s="51"/>
      <c r="E79" s="51"/>
      <c r="F79" s="51"/>
      <c r="H79" s="39"/>
      <c r="I79" s="39"/>
    </row>
    <row r="80" spans="1:9" s="30" customFormat="1" x14ac:dyDescent="0.3">
      <c r="A80" s="40"/>
      <c r="B80" s="41"/>
      <c r="C80" s="51"/>
      <c r="D80" s="51"/>
      <c r="E80" s="51"/>
      <c r="F80" s="51"/>
      <c r="H80" s="39"/>
      <c r="I80" s="39"/>
    </row>
    <row r="81" spans="1:9" s="30" customFormat="1" x14ac:dyDescent="0.3">
      <c r="A81" s="40"/>
      <c r="B81" s="41"/>
      <c r="C81" s="51"/>
      <c r="D81" s="51"/>
      <c r="E81" s="51"/>
      <c r="F81" s="51"/>
      <c r="H81" s="39"/>
      <c r="I81" s="39"/>
    </row>
    <row r="82" spans="1:9" s="30" customFormat="1" x14ac:dyDescent="0.3">
      <c r="A82" s="40"/>
      <c r="B82" s="41"/>
      <c r="C82" s="51"/>
      <c r="D82" s="51"/>
      <c r="E82" s="51"/>
      <c r="F82" s="51"/>
      <c r="H82" s="39"/>
      <c r="I82" s="39"/>
    </row>
    <row r="83" spans="1:9" s="30" customFormat="1" x14ac:dyDescent="0.3">
      <c r="A83" s="40"/>
      <c r="B83" s="41"/>
      <c r="C83" s="51"/>
      <c r="D83" s="51"/>
      <c r="E83" s="51"/>
      <c r="F83" s="51"/>
      <c r="H83" s="39"/>
      <c r="I83" s="39"/>
    </row>
    <row r="84" spans="1:9" s="30" customFormat="1" x14ac:dyDescent="0.3">
      <c r="A84" s="40"/>
      <c r="B84" s="41"/>
      <c r="C84" s="51"/>
      <c r="D84" s="51"/>
      <c r="E84" s="51"/>
      <c r="F84" s="51"/>
      <c r="H84" s="39"/>
      <c r="I84" s="39"/>
    </row>
    <row r="85" spans="1:9" s="30" customFormat="1" x14ac:dyDescent="0.3">
      <c r="A85" s="40"/>
      <c r="B85" s="41"/>
      <c r="C85" s="51"/>
      <c r="D85" s="51"/>
      <c r="E85" s="51"/>
      <c r="F85" s="51"/>
      <c r="H85" s="39"/>
      <c r="I85" s="39"/>
    </row>
    <row r="86" spans="1:9" s="30" customFormat="1" x14ac:dyDescent="0.3">
      <c r="A86" s="40"/>
      <c r="B86" s="41"/>
      <c r="C86" s="51"/>
      <c r="D86" s="51"/>
      <c r="E86" s="51"/>
      <c r="F86" s="51"/>
      <c r="H86" s="39"/>
      <c r="I86" s="39"/>
    </row>
    <row r="87" spans="1:9" s="30" customFormat="1" x14ac:dyDescent="0.3">
      <c r="A87" s="40"/>
      <c r="B87" s="41"/>
      <c r="C87" s="51"/>
      <c r="D87" s="51"/>
      <c r="E87" s="51"/>
      <c r="F87" s="51"/>
      <c r="H87" s="39"/>
      <c r="I87" s="39"/>
    </row>
    <row r="88" spans="1:9" s="30" customFormat="1" x14ac:dyDescent="0.3">
      <c r="A88" s="40"/>
      <c r="B88" s="41"/>
      <c r="C88" s="51"/>
      <c r="D88" s="51"/>
      <c r="E88" s="51"/>
      <c r="F88" s="51"/>
      <c r="H88" s="39"/>
      <c r="I88" s="39"/>
    </row>
    <row r="89" spans="1:9" s="30" customFormat="1" x14ac:dyDescent="0.3">
      <c r="A89" s="40"/>
      <c r="B89" s="41"/>
      <c r="C89" s="51"/>
      <c r="D89" s="51"/>
      <c r="E89" s="51"/>
      <c r="F89" s="51"/>
      <c r="H89" s="39"/>
      <c r="I89" s="39"/>
    </row>
    <row r="90" spans="1:9" s="30" customFormat="1" x14ac:dyDescent="0.3">
      <c r="A90" s="40"/>
      <c r="B90" s="41"/>
      <c r="C90" s="51"/>
      <c r="D90" s="51"/>
      <c r="E90" s="51"/>
      <c r="F90" s="51"/>
      <c r="H90" s="39"/>
      <c r="I90" s="39"/>
    </row>
    <row r="91" spans="1:9" s="30" customFormat="1" x14ac:dyDescent="0.3">
      <c r="A91" s="40"/>
      <c r="B91" s="41"/>
      <c r="C91" s="51"/>
      <c r="D91" s="51"/>
      <c r="E91" s="51"/>
      <c r="F91" s="51"/>
      <c r="H91" s="39"/>
      <c r="I91" s="39"/>
    </row>
    <row r="92" spans="1:9" s="30" customFormat="1" x14ac:dyDescent="0.3">
      <c r="A92" s="40"/>
      <c r="B92" s="41"/>
      <c r="C92" s="51"/>
      <c r="D92" s="51"/>
      <c r="E92" s="51"/>
      <c r="F92" s="51"/>
      <c r="H92" s="39"/>
      <c r="I92" s="39"/>
    </row>
    <row r="93" spans="1:9" s="30" customFormat="1" x14ac:dyDescent="0.3">
      <c r="A93" s="40"/>
      <c r="B93" s="41"/>
      <c r="C93" s="51"/>
      <c r="D93" s="51"/>
      <c r="E93" s="51"/>
      <c r="F93" s="51"/>
      <c r="H93" s="39"/>
      <c r="I93" s="39"/>
    </row>
    <row r="94" spans="1:9" s="30" customFormat="1" x14ac:dyDescent="0.3">
      <c r="A94" s="40"/>
      <c r="B94" s="41"/>
      <c r="C94" s="51"/>
      <c r="D94" s="51"/>
      <c r="E94" s="51"/>
      <c r="F94" s="51"/>
      <c r="H94" s="39"/>
      <c r="I94" s="39"/>
    </row>
    <row r="95" spans="1:9" s="30" customFormat="1" x14ac:dyDescent="0.3">
      <c r="A95" s="40"/>
      <c r="B95" s="41"/>
      <c r="C95" s="51"/>
      <c r="D95" s="51"/>
      <c r="E95" s="51"/>
      <c r="F95" s="51"/>
      <c r="H95" s="39"/>
      <c r="I95" s="39"/>
    </row>
    <row r="96" spans="1:9" s="30" customFormat="1" x14ac:dyDescent="0.3">
      <c r="A96" s="40"/>
      <c r="B96" s="41"/>
      <c r="C96" s="51"/>
      <c r="D96" s="51"/>
      <c r="E96" s="51"/>
      <c r="F96" s="51"/>
      <c r="H96" s="39"/>
      <c r="I96" s="39"/>
    </row>
    <row r="97" spans="1:9" s="30" customFormat="1" x14ac:dyDescent="0.3">
      <c r="A97" s="40"/>
      <c r="B97" s="41"/>
      <c r="C97" s="51"/>
      <c r="D97" s="51"/>
      <c r="E97" s="51"/>
      <c r="F97" s="51"/>
      <c r="H97" s="39"/>
      <c r="I97" s="39"/>
    </row>
    <row r="98" spans="1:9" s="30" customFormat="1" x14ac:dyDescent="0.3">
      <c r="A98" s="40"/>
      <c r="B98" s="41"/>
      <c r="C98" s="51"/>
      <c r="D98" s="51"/>
      <c r="E98" s="51"/>
      <c r="F98" s="51"/>
      <c r="H98" s="39"/>
      <c r="I98" s="39"/>
    </row>
    <row r="99" spans="1:9" s="30" customFormat="1" x14ac:dyDescent="0.3">
      <c r="A99" s="40"/>
      <c r="B99" s="41"/>
      <c r="C99" s="51"/>
      <c r="D99" s="51"/>
      <c r="E99" s="51"/>
      <c r="F99" s="51"/>
      <c r="H99" s="39"/>
      <c r="I99" s="39"/>
    </row>
    <row r="100" spans="1:9" s="30" customFormat="1" x14ac:dyDescent="0.3">
      <c r="A100" s="40"/>
      <c r="B100" s="41"/>
      <c r="C100" s="51"/>
      <c r="D100" s="51"/>
      <c r="E100" s="51"/>
      <c r="F100" s="51"/>
      <c r="H100" s="39"/>
      <c r="I100" s="39"/>
    </row>
    <row r="101" spans="1:9" s="30" customFormat="1" x14ac:dyDescent="0.3">
      <c r="A101" s="40"/>
      <c r="B101" s="41"/>
      <c r="C101" s="51"/>
      <c r="D101" s="51"/>
      <c r="E101" s="51"/>
      <c r="F101" s="51"/>
      <c r="H101" s="39"/>
      <c r="I101" s="39"/>
    </row>
    <row r="102" spans="1:9" s="30" customFormat="1" x14ac:dyDescent="0.3">
      <c r="A102" s="40"/>
      <c r="B102" s="41"/>
      <c r="C102" s="51"/>
      <c r="D102" s="51"/>
      <c r="E102" s="51"/>
      <c r="F102" s="51"/>
      <c r="H102" s="39"/>
      <c r="I102" s="39"/>
    </row>
    <row r="103" spans="1:9" s="30" customFormat="1" x14ac:dyDescent="0.3">
      <c r="A103" s="40"/>
      <c r="B103" s="41"/>
      <c r="C103" s="51"/>
      <c r="D103" s="51"/>
      <c r="E103" s="51"/>
      <c r="F103" s="51"/>
      <c r="H103" s="39"/>
      <c r="I103" s="39"/>
    </row>
    <row r="104" spans="1:9" s="30" customFormat="1" x14ac:dyDescent="0.3">
      <c r="A104" s="40"/>
      <c r="B104" s="41"/>
      <c r="C104" s="51"/>
      <c r="D104" s="51"/>
      <c r="E104" s="51"/>
      <c r="F104" s="51"/>
      <c r="H104" s="39"/>
      <c r="I104" s="39"/>
    </row>
    <row r="105" spans="1:9" s="30" customFormat="1" x14ac:dyDescent="0.3">
      <c r="A105" s="40"/>
      <c r="B105" s="41"/>
      <c r="C105" s="51"/>
      <c r="D105" s="51"/>
      <c r="E105" s="51"/>
      <c r="F105" s="51"/>
      <c r="H105" s="39"/>
      <c r="I105" s="39"/>
    </row>
    <row r="106" spans="1:9" s="30" customFormat="1" x14ac:dyDescent="0.3">
      <c r="A106" s="40"/>
      <c r="B106" s="41"/>
      <c r="C106" s="51"/>
      <c r="D106" s="51"/>
      <c r="E106" s="51"/>
      <c r="F106" s="51"/>
      <c r="H106" s="39"/>
      <c r="I106" s="39"/>
    </row>
    <row r="107" spans="1:9" s="30" customFormat="1" x14ac:dyDescent="0.3">
      <c r="A107" s="40"/>
      <c r="B107" s="41"/>
      <c r="C107" s="51"/>
      <c r="D107" s="51"/>
      <c r="E107" s="51"/>
      <c r="F107" s="51"/>
      <c r="H107" s="39"/>
      <c r="I107" s="39"/>
    </row>
    <row r="108" spans="1:9" s="30" customFormat="1" x14ac:dyDescent="0.3">
      <c r="A108" s="40"/>
      <c r="B108" s="41"/>
      <c r="C108" s="51"/>
      <c r="D108" s="51"/>
      <c r="E108" s="51"/>
      <c r="F108" s="51"/>
      <c r="H108" s="39"/>
      <c r="I108" s="39"/>
    </row>
    <row r="109" spans="1:9" s="30" customFormat="1" x14ac:dyDescent="0.3">
      <c r="A109" s="40"/>
      <c r="B109" s="41"/>
      <c r="C109" s="51"/>
      <c r="D109" s="51"/>
      <c r="E109" s="51"/>
      <c r="F109" s="51"/>
      <c r="H109" s="39"/>
      <c r="I109" s="39"/>
    </row>
    <row r="110" spans="1:9" s="30" customFormat="1" x14ac:dyDescent="0.3">
      <c r="A110" s="40"/>
      <c r="B110" s="41"/>
      <c r="C110" s="51"/>
      <c r="D110" s="51"/>
      <c r="E110" s="51"/>
      <c r="F110" s="51"/>
      <c r="H110" s="39"/>
      <c r="I110" s="39"/>
    </row>
    <row r="111" spans="1:9" s="30" customFormat="1" x14ac:dyDescent="0.3">
      <c r="A111" s="40"/>
      <c r="B111" s="41"/>
      <c r="C111" s="51"/>
      <c r="D111" s="51"/>
      <c r="E111" s="51"/>
      <c r="F111" s="51"/>
      <c r="H111" s="39"/>
      <c r="I111" s="39"/>
    </row>
    <row r="112" spans="1:9" s="30" customFormat="1" x14ac:dyDescent="0.3">
      <c r="A112" s="40"/>
      <c r="B112" s="41"/>
      <c r="C112" s="51"/>
      <c r="D112" s="51"/>
      <c r="E112" s="51"/>
      <c r="F112" s="51"/>
      <c r="H112" s="39"/>
      <c r="I112" s="39"/>
    </row>
    <row r="113" spans="1:9" s="30" customFormat="1" x14ac:dyDescent="0.3">
      <c r="A113" s="40"/>
      <c r="B113" s="41"/>
      <c r="C113" s="51"/>
      <c r="D113" s="51"/>
      <c r="E113" s="51"/>
      <c r="F113" s="51"/>
      <c r="H113" s="39"/>
      <c r="I113" s="39"/>
    </row>
    <row r="114" spans="1:9" s="30" customFormat="1" x14ac:dyDescent="0.3">
      <c r="A114" s="40"/>
      <c r="B114" s="41"/>
      <c r="C114" s="51"/>
      <c r="D114" s="51"/>
      <c r="E114" s="51"/>
      <c r="F114" s="51"/>
      <c r="H114" s="39"/>
      <c r="I114" s="39"/>
    </row>
    <row r="115" spans="1:9" s="30" customFormat="1" x14ac:dyDescent="0.3">
      <c r="A115" s="40"/>
      <c r="B115" s="41"/>
      <c r="C115" s="51"/>
      <c r="D115" s="51"/>
      <c r="E115" s="51"/>
      <c r="F115" s="51"/>
      <c r="H115" s="39"/>
      <c r="I115" s="39"/>
    </row>
    <row r="116" spans="1:9" s="30" customFormat="1" x14ac:dyDescent="0.3">
      <c r="A116" s="40"/>
      <c r="B116" s="41"/>
      <c r="C116" s="51"/>
      <c r="D116" s="51"/>
      <c r="E116" s="51"/>
      <c r="F116" s="51"/>
      <c r="H116" s="39"/>
      <c r="I116" s="39"/>
    </row>
    <row r="117" spans="1:9" s="30" customFormat="1" x14ac:dyDescent="0.3">
      <c r="A117" s="40"/>
      <c r="B117" s="41"/>
      <c r="C117" s="51"/>
      <c r="D117" s="51"/>
      <c r="E117" s="51"/>
      <c r="F117" s="51"/>
      <c r="H117" s="39"/>
      <c r="I117" s="39"/>
    </row>
    <row r="118" spans="1:9" s="30" customFormat="1" x14ac:dyDescent="0.3">
      <c r="A118" s="40"/>
      <c r="B118" s="41"/>
      <c r="C118" s="51"/>
      <c r="D118" s="51"/>
      <c r="E118" s="51"/>
      <c r="F118" s="51"/>
      <c r="H118" s="39"/>
      <c r="I118" s="39"/>
    </row>
    <row r="119" spans="1:9" s="30" customFormat="1" x14ac:dyDescent="0.3">
      <c r="A119" s="40"/>
      <c r="B119" s="41"/>
      <c r="C119" s="51"/>
      <c r="D119" s="51"/>
      <c r="E119" s="51"/>
      <c r="F119" s="51"/>
      <c r="H119" s="39"/>
      <c r="I119" s="39"/>
    </row>
    <row r="120" spans="1:9" s="30" customFormat="1" x14ac:dyDescent="0.3">
      <c r="A120" s="40"/>
      <c r="B120" s="41"/>
      <c r="C120" s="51"/>
      <c r="D120" s="51"/>
      <c r="E120" s="51"/>
      <c r="F120" s="51"/>
      <c r="H120" s="39"/>
      <c r="I120" s="39"/>
    </row>
    <row r="121" spans="1:9" s="30" customFormat="1" x14ac:dyDescent="0.3">
      <c r="A121" s="40"/>
      <c r="B121" s="41"/>
      <c r="C121" s="51"/>
      <c r="D121" s="51"/>
      <c r="E121" s="51"/>
      <c r="F121" s="51"/>
      <c r="H121" s="39"/>
      <c r="I121" s="39"/>
    </row>
    <row r="122" spans="1:9" s="30" customFormat="1" x14ac:dyDescent="0.3">
      <c r="A122" s="40"/>
      <c r="B122" s="41"/>
      <c r="C122" s="51"/>
      <c r="D122" s="51"/>
      <c r="E122" s="51"/>
      <c r="F122" s="51"/>
      <c r="H122" s="39"/>
      <c r="I122" s="39"/>
    </row>
    <row r="123" spans="1:9" s="30" customFormat="1" x14ac:dyDescent="0.3">
      <c r="A123" s="40"/>
      <c r="B123" s="41"/>
      <c r="C123" s="51"/>
      <c r="D123" s="51"/>
      <c r="E123" s="51"/>
      <c r="F123" s="51"/>
      <c r="H123" s="39"/>
      <c r="I123" s="39"/>
    </row>
    <row r="124" spans="1:9" s="30" customFormat="1" x14ac:dyDescent="0.3">
      <c r="A124" s="40"/>
      <c r="B124" s="41"/>
      <c r="C124" s="51"/>
      <c r="D124" s="51"/>
      <c r="E124" s="51"/>
      <c r="F124" s="51"/>
      <c r="H124" s="39"/>
      <c r="I124" s="39"/>
    </row>
    <row r="125" spans="1:9" s="30" customFormat="1" x14ac:dyDescent="0.3">
      <c r="A125" s="40"/>
      <c r="B125" s="41"/>
      <c r="C125" s="51"/>
      <c r="D125" s="51"/>
      <c r="E125" s="51"/>
      <c r="F125" s="51"/>
      <c r="H125" s="39"/>
      <c r="I125" s="39"/>
    </row>
    <row r="126" spans="1:9" s="30" customFormat="1" x14ac:dyDescent="0.3">
      <c r="A126" s="40"/>
      <c r="B126" s="41"/>
      <c r="C126" s="51"/>
      <c r="D126" s="51"/>
      <c r="E126" s="51"/>
      <c r="F126" s="51"/>
      <c r="H126" s="39"/>
      <c r="I126" s="39"/>
    </row>
    <row r="127" spans="1:9" s="30" customFormat="1" x14ac:dyDescent="0.3">
      <c r="A127" s="40"/>
      <c r="B127" s="41"/>
      <c r="C127" s="51"/>
      <c r="D127" s="51"/>
      <c r="E127" s="51"/>
      <c r="F127" s="51"/>
      <c r="H127" s="39"/>
      <c r="I127" s="39"/>
    </row>
    <row r="128" spans="1:9" s="30" customFormat="1" x14ac:dyDescent="0.3">
      <c r="A128" s="40"/>
      <c r="B128" s="41"/>
      <c r="C128" s="51"/>
      <c r="D128" s="51"/>
      <c r="E128" s="51"/>
      <c r="F128" s="51"/>
      <c r="H128" s="39"/>
      <c r="I128" s="39"/>
    </row>
    <row r="129" spans="1:9" s="30" customFormat="1" x14ac:dyDescent="0.3">
      <c r="A129" s="40"/>
      <c r="B129" s="41"/>
      <c r="C129" s="51"/>
      <c r="D129" s="51"/>
      <c r="E129" s="51"/>
      <c r="F129" s="51"/>
      <c r="H129" s="39"/>
      <c r="I129" s="39"/>
    </row>
    <row r="130" spans="1:9" s="30" customFormat="1" x14ac:dyDescent="0.3">
      <c r="A130" s="40"/>
      <c r="B130" s="41"/>
      <c r="C130" s="51"/>
      <c r="D130" s="51"/>
      <c r="E130" s="51"/>
      <c r="F130" s="51"/>
      <c r="H130" s="39"/>
      <c r="I130" s="39"/>
    </row>
    <row r="131" spans="1:9" s="30" customFormat="1" x14ac:dyDescent="0.3">
      <c r="A131" s="40"/>
      <c r="B131" s="41"/>
      <c r="C131" s="51"/>
      <c r="D131" s="51"/>
      <c r="E131" s="51"/>
      <c r="F131" s="51"/>
      <c r="H131" s="39"/>
      <c r="I131" s="39"/>
    </row>
    <row r="132" spans="1:9" s="30" customFormat="1" x14ac:dyDescent="0.3">
      <c r="A132" s="40"/>
      <c r="B132" s="41"/>
      <c r="C132" s="51"/>
      <c r="D132" s="51"/>
      <c r="E132" s="51"/>
      <c r="F132" s="51"/>
      <c r="H132" s="39"/>
      <c r="I132" s="39"/>
    </row>
    <row r="133" spans="1:9" s="30" customFormat="1" x14ac:dyDescent="0.3">
      <c r="A133" s="40"/>
      <c r="B133" s="41"/>
      <c r="C133" s="51"/>
      <c r="D133" s="51"/>
      <c r="E133" s="51"/>
      <c r="F133" s="51"/>
      <c r="H133" s="39"/>
      <c r="I133" s="39"/>
    </row>
    <row r="134" spans="1:9" s="30" customFormat="1" x14ac:dyDescent="0.3">
      <c r="A134" s="40"/>
      <c r="B134" s="41"/>
      <c r="C134" s="51"/>
      <c r="D134" s="51"/>
      <c r="E134" s="51"/>
      <c r="F134" s="51"/>
      <c r="H134" s="39"/>
      <c r="I134" s="39"/>
    </row>
    <row r="135" spans="1:9" s="30" customFormat="1" x14ac:dyDescent="0.3">
      <c r="A135" s="40"/>
      <c r="B135" s="41"/>
      <c r="C135" s="51"/>
      <c r="D135" s="51"/>
      <c r="E135" s="51"/>
      <c r="F135" s="51"/>
      <c r="H135" s="39"/>
      <c r="I135" s="39"/>
    </row>
    <row r="136" spans="1:9" s="30" customFormat="1" x14ac:dyDescent="0.3">
      <c r="A136" s="40"/>
      <c r="B136" s="41"/>
      <c r="C136" s="51"/>
      <c r="D136" s="51"/>
      <c r="E136" s="51"/>
      <c r="F136" s="51"/>
      <c r="H136" s="39"/>
      <c r="I136" s="39"/>
    </row>
    <row r="137" spans="1:9" s="30" customFormat="1" x14ac:dyDescent="0.3">
      <c r="A137" s="40"/>
      <c r="B137" s="41"/>
      <c r="C137" s="51"/>
      <c r="D137" s="51"/>
      <c r="E137" s="51"/>
      <c r="F137" s="51"/>
      <c r="H137" s="39"/>
      <c r="I137" s="39"/>
    </row>
    <row r="138" spans="1:9" s="30" customFormat="1" x14ac:dyDescent="0.3">
      <c r="A138" s="40"/>
      <c r="B138" s="41"/>
      <c r="C138" s="51"/>
      <c r="D138" s="51"/>
      <c r="E138" s="51"/>
      <c r="F138" s="51"/>
      <c r="H138" s="39"/>
      <c r="I138" s="39"/>
    </row>
    <row r="139" spans="1:9" s="30" customFormat="1" x14ac:dyDescent="0.3">
      <c r="A139" s="40"/>
      <c r="B139" s="41"/>
      <c r="C139" s="51"/>
      <c r="D139" s="51"/>
      <c r="E139" s="51"/>
      <c r="F139" s="51"/>
      <c r="H139" s="39"/>
      <c r="I139" s="39"/>
    </row>
    <row r="140" spans="1:9" s="30" customFormat="1" x14ac:dyDescent="0.3">
      <c r="A140" s="40"/>
      <c r="B140" s="41"/>
      <c r="C140" s="51"/>
      <c r="D140" s="51"/>
      <c r="E140" s="51"/>
      <c r="F140" s="51"/>
      <c r="H140" s="39"/>
      <c r="I140" s="39"/>
    </row>
    <row r="141" spans="1:9" s="30" customFormat="1" x14ac:dyDescent="0.3">
      <c r="A141" s="40"/>
      <c r="B141" s="41"/>
      <c r="C141" s="51"/>
      <c r="D141" s="51"/>
      <c r="E141" s="51"/>
      <c r="F141" s="51"/>
      <c r="H141" s="39"/>
      <c r="I141" s="39"/>
    </row>
    <row r="142" spans="1:9" s="30" customFormat="1" x14ac:dyDescent="0.3">
      <c r="A142" s="40"/>
      <c r="B142" s="41"/>
      <c r="C142" s="51"/>
      <c r="D142" s="51"/>
      <c r="E142" s="51"/>
      <c r="F142" s="51"/>
      <c r="H142" s="39"/>
      <c r="I142" s="39"/>
    </row>
    <row r="143" spans="1:9" s="30" customFormat="1" x14ac:dyDescent="0.3">
      <c r="A143" s="40"/>
      <c r="B143" s="41"/>
      <c r="C143" s="51"/>
      <c r="D143" s="51"/>
      <c r="E143" s="51"/>
      <c r="F143" s="51"/>
      <c r="H143" s="39"/>
      <c r="I143" s="39"/>
    </row>
  </sheetData>
  <mergeCells count="21">
    <mergeCell ref="D64:G64"/>
    <mergeCell ref="D60:G60"/>
    <mergeCell ref="E5:E7"/>
    <mergeCell ref="C10:C20"/>
    <mergeCell ref="C24:C28"/>
    <mergeCell ref="D59:G59"/>
    <mergeCell ref="D58:G58"/>
    <mergeCell ref="C30:C37"/>
    <mergeCell ref="C39:C41"/>
    <mergeCell ref="C43:C50"/>
    <mergeCell ref="B57:G57"/>
    <mergeCell ref="F5:F7"/>
    <mergeCell ref="F43:F50"/>
    <mergeCell ref="A1:G1"/>
    <mergeCell ref="A2:G2"/>
    <mergeCell ref="A3:G3"/>
    <mergeCell ref="C5:C7"/>
    <mergeCell ref="B5:B7"/>
    <mergeCell ref="A5:A7"/>
    <mergeCell ref="D5:D7"/>
    <mergeCell ref="G5:G7"/>
  </mergeCells>
  <pageMargins left="0.51181102362204722" right="0.2" top="0.38" bottom="0.28000000000000003" header="0.31496062992125984" footer="0.31496062992125984"/>
  <pageSetup scale="8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22"/>
  <sheetViews>
    <sheetView tabSelected="1" topLeftCell="A67" zoomScale="118" zoomScaleNormal="118" workbookViewId="0">
      <selection activeCell="E69" sqref="E69"/>
    </sheetView>
  </sheetViews>
  <sheetFormatPr defaultColWidth="9" defaultRowHeight="15.6" x14ac:dyDescent="0.3"/>
  <cols>
    <col min="1" max="1" width="4.59765625" style="40" bestFit="1" customWidth="1"/>
    <col min="2" max="2" width="34.19921875" style="7" customWidth="1"/>
    <col min="3" max="3" width="30.5" style="7" hidden="1" customWidth="1"/>
    <col min="4" max="4" width="17.8984375" style="7" customWidth="1"/>
    <col min="5" max="5" width="11.59765625" style="7" customWidth="1"/>
    <col min="6" max="6" width="13" style="7" customWidth="1"/>
    <col min="7" max="7" width="10.3984375" style="27" customWidth="1"/>
    <col min="8" max="8" width="9.19921875" style="27" customWidth="1"/>
    <col min="9" max="9" width="12" style="51" customWidth="1"/>
    <col min="10" max="10" width="7.8984375" style="2" customWidth="1"/>
    <col min="11" max="11" width="17" style="3" customWidth="1"/>
    <col min="12" max="12" width="9.3984375" style="3" customWidth="1"/>
    <col min="13" max="13" width="12.69921875" style="2" bestFit="1" customWidth="1"/>
    <col min="14" max="14" width="4.5" style="2" customWidth="1"/>
    <col min="15" max="15" width="12.5" style="2" customWidth="1"/>
    <col min="16" max="16" width="9.8984375" style="2" customWidth="1"/>
    <col min="17" max="17" width="13.09765625" style="2" customWidth="1"/>
    <col min="18" max="18" width="11.09765625" style="2" customWidth="1"/>
    <col min="19" max="22" width="9" style="2" customWidth="1"/>
    <col min="23" max="23" width="13.8984375" style="2" bestFit="1" customWidth="1"/>
    <col min="24" max="16384" width="9" style="2"/>
  </cols>
  <sheetData>
    <row r="1" spans="1:24" x14ac:dyDescent="0.3">
      <c r="A1" s="186" t="s">
        <v>323</v>
      </c>
      <c r="B1" s="186"/>
      <c r="C1" s="186"/>
      <c r="D1" s="186"/>
      <c r="E1" s="186"/>
      <c r="F1" s="186"/>
      <c r="G1" s="186"/>
      <c r="H1" s="186"/>
      <c r="I1" s="186"/>
      <c r="J1" s="186"/>
    </row>
    <row r="2" spans="1:24" s="115" customFormat="1" ht="24.6" customHeight="1" x14ac:dyDescent="0.3">
      <c r="A2" s="187" t="s">
        <v>321</v>
      </c>
      <c r="B2" s="187"/>
      <c r="C2" s="187"/>
      <c r="D2" s="187"/>
      <c r="E2" s="187"/>
      <c r="F2" s="187"/>
      <c r="G2" s="187"/>
      <c r="H2" s="187"/>
      <c r="I2" s="187"/>
      <c r="J2" s="187"/>
    </row>
    <row r="3" spans="1:24" s="115" customFormat="1" ht="24.6" customHeight="1" x14ac:dyDescent="0.3">
      <c r="A3" s="182" t="s">
        <v>336</v>
      </c>
      <c r="B3" s="182"/>
      <c r="C3" s="182"/>
      <c r="D3" s="182"/>
      <c r="E3" s="182"/>
      <c r="F3" s="182"/>
      <c r="G3" s="182"/>
      <c r="H3" s="182"/>
      <c r="I3" s="182"/>
      <c r="J3" s="182"/>
    </row>
    <row r="4" spans="1:24" ht="21" x14ac:dyDescent="0.3">
      <c r="A4" s="42"/>
      <c r="B4" s="43"/>
      <c r="C4" s="43"/>
      <c r="D4" s="43"/>
      <c r="E4" s="43"/>
      <c r="F4" s="43"/>
      <c r="G4" s="44"/>
      <c r="H4" s="2"/>
      <c r="I4" s="96" t="s">
        <v>143</v>
      </c>
      <c r="J4" s="96"/>
      <c r="K4" s="29"/>
      <c r="L4" s="29"/>
      <c r="M4" s="26"/>
      <c r="N4" s="26"/>
      <c r="O4" s="26"/>
      <c r="P4" s="26"/>
      <c r="X4" s="2">
        <v>2000</v>
      </c>
    </row>
    <row r="5" spans="1:24" s="30" customFormat="1" ht="47.4" customHeight="1" x14ac:dyDescent="0.3">
      <c r="A5" s="188" t="s">
        <v>1</v>
      </c>
      <c r="B5" s="154" t="s">
        <v>147</v>
      </c>
      <c r="C5" s="154" t="s">
        <v>232</v>
      </c>
      <c r="D5" s="154" t="s">
        <v>309</v>
      </c>
      <c r="E5" s="154" t="s">
        <v>322</v>
      </c>
      <c r="F5" s="154"/>
      <c r="G5" s="154" t="s">
        <v>311</v>
      </c>
      <c r="H5" s="154"/>
      <c r="I5" s="154"/>
      <c r="J5" s="144" t="s">
        <v>146</v>
      </c>
      <c r="K5" s="37"/>
      <c r="L5" s="37"/>
      <c r="M5" s="38"/>
      <c r="N5" s="38"/>
      <c r="O5" s="38"/>
      <c r="P5" s="38"/>
      <c r="X5" s="30">
        <v>1000</v>
      </c>
    </row>
    <row r="6" spans="1:24" s="30" customFormat="1" ht="94.95" customHeight="1" x14ac:dyDescent="0.3">
      <c r="A6" s="188"/>
      <c r="B6" s="154"/>
      <c r="C6" s="154"/>
      <c r="D6" s="154"/>
      <c r="E6" s="11" t="s">
        <v>312</v>
      </c>
      <c r="F6" s="11" t="s">
        <v>310</v>
      </c>
      <c r="G6" s="11" t="s">
        <v>312</v>
      </c>
      <c r="H6" s="11" t="s">
        <v>233</v>
      </c>
      <c r="I6" s="11" t="s">
        <v>234</v>
      </c>
      <c r="J6" s="144"/>
      <c r="K6" s="37"/>
      <c r="L6" s="37"/>
      <c r="M6" s="38"/>
      <c r="N6" s="38"/>
      <c r="O6" s="38"/>
      <c r="P6" s="38"/>
    </row>
    <row r="7" spans="1:24" s="87" customFormat="1" ht="21.6" customHeight="1" x14ac:dyDescent="0.3">
      <c r="A7" s="97" t="s">
        <v>25</v>
      </c>
      <c r="B7" s="93">
        <v>2</v>
      </c>
      <c r="C7" s="93">
        <v>3</v>
      </c>
      <c r="D7" s="93" t="s">
        <v>225</v>
      </c>
      <c r="E7" s="93" t="s">
        <v>226</v>
      </c>
      <c r="F7" s="93" t="s">
        <v>145</v>
      </c>
      <c r="G7" s="94" t="s">
        <v>313</v>
      </c>
      <c r="H7" s="94" t="s">
        <v>228</v>
      </c>
      <c r="I7" s="95" t="s">
        <v>229</v>
      </c>
      <c r="J7" s="94" t="s">
        <v>230</v>
      </c>
      <c r="K7" s="85"/>
      <c r="L7" s="85"/>
      <c r="M7" s="86"/>
      <c r="N7" s="86"/>
      <c r="O7" s="86"/>
      <c r="P7" s="86"/>
    </row>
    <row r="8" spans="1:24" s="125" customFormat="1" ht="21.6" customHeight="1" x14ac:dyDescent="0.3">
      <c r="A8" s="10" t="s">
        <v>19</v>
      </c>
      <c r="B8" s="14" t="s">
        <v>306</v>
      </c>
      <c r="C8" s="121"/>
      <c r="D8" s="121"/>
      <c r="E8" s="121"/>
      <c r="F8" s="121"/>
      <c r="G8" s="111">
        <f>H8+I8</f>
        <v>593</v>
      </c>
      <c r="H8" s="112">
        <f>H9</f>
        <v>593</v>
      </c>
      <c r="I8" s="112">
        <f>I9</f>
        <v>0</v>
      </c>
      <c r="J8" s="122"/>
      <c r="K8" s="123"/>
      <c r="L8" s="123"/>
      <c r="M8" s="124"/>
      <c r="N8" s="124"/>
      <c r="O8" s="124"/>
      <c r="P8" s="124"/>
    </row>
    <row r="9" spans="1:24" s="125" customFormat="1" ht="34.200000000000003" customHeight="1" x14ac:dyDescent="0.3">
      <c r="A9" s="10" t="s">
        <v>315</v>
      </c>
      <c r="B9" s="183" t="s">
        <v>329</v>
      </c>
      <c r="C9" s="184"/>
      <c r="D9" s="185"/>
      <c r="E9" s="121"/>
      <c r="F9" s="121"/>
      <c r="G9" s="111">
        <f>G10</f>
        <v>593</v>
      </c>
      <c r="H9" s="111">
        <f t="shared" ref="H9:I9" si="0">H10</f>
        <v>593</v>
      </c>
      <c r="I9" s="111">
        <f t="shared" si="0"/>
        <v>0</v>
      </c>
      <c r="J9" s="122"/>
      <c r="K9" s="123"/>
      <c r="L9" s="123"/>
      <c r="M9" s="124"/>
      <c r="N9" s="124"/>
      <c r="O9" s="124"/>
      <c r="P9" s="124"/>
    </row>
    <row r="10" spans="1:24" s="87" customFormat="1" ht="21.6" customHeight="1" x14ac:dyDescent="0.3">
      <c r="A10" s="100">
        <v>1</v>
      </c>
      <c r="B10" s="105" t="s">
        <v>307</v>
      </c>
      <c r="C10" s="116"/>
      <c r="D10" s="116"/>
      <c r="E10" s="116"/>
      <c r="F10" s="116"/>
      <c r="G10" s="98">
        <f>H10+I10</f>
        <v>593</v>
      </c>
      <c r="H10" s="99">
        <v>593</v>
      </c>
      <c r="I10" s="117"/>
      <c r="J10" s="117"/>
      <c r="K10" s="85"/>
      <c r="L10" s="85"/>
      <c r="M10" s="86"/>
      <c r="N10" s="86"/>
      <c r="O10" s="86"/>
      <c r="P10" s="86"/>
    </row>
    <row r="11" spans="1:24" s="129" customFormat="1" ht="21.6" customHeight="1" x14ac:dyDescent="0.3">
      <c r="A11" s="114" t="s">
        <v>22</v>
      </c>
      <c r="B11" s="101" t="s">
        <v>279</v>
      </c>
      <c r="C11" s="101"/>
      <c r="D11" s="101"/>
      <c r="E11" s="101"/>
      <c r="F11" s="101"/>
      <c r="G11" s="13">
        <f>G12</f>
        <v>74680</v>
      </c>
      <c r="H11" s="13">
        <f t="shared" ref="H11:I11" si="1">H12</f>
        <v>73795</v>
      </c>
      <c r="I11" s="13">
        <f t="shared" si="1"/>
        <v>885</v>
      </c>
      <c r="J11" s="126"/>
      <c r="K11" s="127"/>
      <c r="L11" s="127"/>
      <c r="M11" s="128"/>
      <c r="N11" s="128"/>
      <c r="O11" s="128"/>
      <c r="P11" s="128"/>
    </row>
    <row r="12" spans="1:24" s="129" customFormat="1" ht="30.6" customHeight="1" x14ac:dyDescent="0.3">
      <c r="A12" s="114" t="s">
        <v>315</v>
      </c>
      <c r="B12" s="183" t="s">
        <v>318</v>
      </c>
      <c r="C12" s="184"/>
      <c r="D12" s="185"/>
      <c r="E12" s="130"/>
      <c r="F12" s="130"/>
      <c r="G12" s="13">
        <f>SUM(H12:I12)</f>
        <v>74680</v>
      </c>
      <c r="H12" s="13">
        <f>SUM(H13:H26)</f>
        <v>73795</v>
      </c>
      <c r="I12" s="13">
        <f>SUM(I13:I26)</f>
        <v>885</v>
      </c>
      <c r="J12" s="13"/>
      <c r="K12" s="127"/>
      <c r="L12" s="127"/>
      <c r="M12" s="128"/>
      <c r="N12" s="128"/>
      <c r="O12" s="128"/>
      <c r="P12" s="128"/>
    </row>
    <row r="13" spans="1:24" s="87" customFormat="1" ht="75" customHeight="1" x14ac:dyDescent="0.3">
      <c r="A13" s="97" t="s">
        <v>25</v>
      </c>
      <c r="B13" s="102" t="s">
        <v>255</v>
      </c>
      <c r="C13" s="102" t="s">
        <v>254</v>
      </c>
      <c r="D13" s="102"/>
      <c r="E13" s="102"/>
      <c r="F13" s="102"/>
      <c r="G13" s="98">
        <f t="shared" ref="G13" si="2">H13+I13</f>
        <v>2500</v>
      </c>
      <c r="H13" s="99">
        <v>2000</v>
      </c>
      <c r="I13" s="103" t="s">
        <v>236</v>
      </c>
      <c r="J13" s="95"/>
      <c r="K13" s="85"/>
      <c r="L13" s="85"/>
      <c r="M13" s="86"/>
      <c r="N13" s="86"/>
      <c r="O13" s="86"/>
      <c r="P13" s="86"/>
    </row>
    <row r="14" spans="1:24" s="87" customFormat="1" ht="78" customHeight="1" x14ac:dyDescent="0.3">
      <c r="A14" s="97" t="s">
        <v>224</v>
      </c>
      <c r="B14" s="105" t="s">
        <v>238</v>
      </c>
      <c r="C14" s="116" t="s">
        <v>284</v>
      </c>
      <c r="D14" s="116"/>
      <c r="E14" s="116"/>
      <c r="F14" s="116"/>
      <c r="G14" s="98">
        <f>H14</f>
        <v>11250</v>
      </c>
      <c r="H14" s="99">
        <v>11250</v>
      </c>
      <c r="I14" s="103"/>
      <c r="J14" s="95"/>
      <c r="K14" s="85"/>
      <c r="L14" s="85"/>
      <c r="M14" s="86"/>
      <c r="N14" s="86"/>
      <c r="O14" s="86"/>
      <c r="P14" s="86"/>
    </row>
    <row r="15" spans="1:24" s="87" customFormat="1" ht="46.8" x14ac:dyDescent="0.3">
      <c r="A15" s="97" t="s">
        <v>144</v>
      </c>
      <c r="B15" s="105" t="s">
        <v>239</v>
      </c>
      <c r="C15" s="116" t="s">
        <v>285</v>
      </c>
      <c r="D15" s="116"/>
      <c r="E15" s="116"/>
      <c r="F15" s="116"/>
      <c r="G15" s="98">
        <f t="shared" ref="G15:G62" si="3">H15</f>
        <v>1709.9999999999998</v>
      </c>
      <c r="H15" s="99">
        <v>1709.9999999999998</v>
      </c>
      <c r="I15" s="117"/>
      <c r="J15" s="104"/>
      <c r="K15" s="91"/>
      <c r="L15" s="85"/>
      <c r="M15" s="86"/>
      <c r="N15" s="86"/>
      <c r="O15" s="86"/>
      <c r="P15" s="86"/>
    </row>
    <row r="16" spans="1:24" s="87" customFormat="1" ht="60" customHeight="1" x14ac:dyDescent="0.3">
      <c r="A16" s="97" t="s">
        <v>225</v>
      </c>
      <c r="B16" s="105" t="s">
        <v>256</v>
      </c>
      <c r="C16" s="116" t="s">
        <v>286</v>
      </c>
      <c r="D16" s="116"/>
      <c r="E16" s="116"/>
      <c r="F16" s="116"/>
      <c r="G16" s="98">
        <f t="shared" si="3"/>
        <v>6600.0000000000009</v>
      </c>
      <c r="H16" s="99">
        <v>6600.0000000000009</v>
      </c>
      <c r="I16" s="117"/>
      <c r="J16" s="117"/>
      <c r="K16" s="92"/>
      <c r="L16" s="85"/>
      <c r="M16" s="86"/>
      <c r="N16" s="86"/>
      <c r="O16" s="86"/>
      <c r="P16" s="86"/>
    </row>
    <row r="17" spans="1:16" s="87" customFormat="1" ht="61.2" customHeight="1" x14ac:dyDescent="0.3">
      <c r="A17" s="97" t="s">
        <v>226</v>
      </c>
      <c r="B17" s="105" t="s">
        <v>257</v>
      </c>
      <c r="C17" s="116" t="s">
        <v>237</v>
      </c>
      <c r="D17" s="116"/>
      <c r="E17" s="116"/>
      <c r="F17" s="116"/>
      <c r="G17" s="98">
        <f t="shared" si="3"/>
        <v>4200</v>
      </c>
      <c r="H17" s="99">
        <v>4200</v>
      </c>
      <c r="I17" s="103"/>
      <c r="J17" s="94"/>
      <c r="K17" s="85"/>
      <c r="L17" s="85"/>
      <c r="M17" s="86"/>
      <c r="N17" s="86"/>
      <c r="O17" s="86"/>
      <c r="P17" s="86"/>
    </row>
    <row r="18" spans="1:16" s="87" customFormat="1" ht="43.95" customHeight="1" x14ac:dyDescent="0.3">
      <c r="A18" s="97" t="s">
        <v>145</v>
      </c>
      <c r="B18" s="105" t="s">
        <v>252</v>
      </c>
      <c r="C18" s="116" t="s">
        <v>287</v>
      </c>
      <c r="D18" s="116"/>
      <c r="E18" s="116"/>
      <c r="F18" s="116"/>
      <c r="G18" s="98">
        <f t="shared" si="3"/>
        <v>4500</v>
      </c>
      <c r="H18" s="99">
        <v>4500</v>
      </c>
      <c r="I18" s="103"/>
      <c r="J18" s="94"/>
      <c r="K18" s="85"/>
      <c r="L18" s="85"/>
      <c r="M18" s="86"/>
      <c r="N18" s="86"/>
      <c r="O18" s="86"/>
      <c r="P18" s="86"/>
    </row>
    <row r="19" spans="1:16" s="87" customFormat="1" ht="49.8" customHeight="1" x14ac:dyDescent="0.3">
      <c r="A19" s="97" t="s">
        <v>227</v>
      </c>
      <c r="B19" s="105" t="s">
        <v>253</v>
      </c>
      <c r="C19" s="116" t="s">
        <v>241</v>
      </c>
      <c r="D19" s="116"/>
      <c r="E19" s="116"/>
      <c r="F19" s="116"/>
      <c r="G19" s="98">
        <f t="shared" ref="G19:G24" si="4">H19+I19</f>
        <v>2000</v>
      </c>
      <c r="H19" s="99">
        <v>2000</v>
      </c>
      <c r="I19" s="103"/>
      <c r="J19" s="94"/>
      <c r="K19" s="85"/>
      <c r="L19" s="85"/>
      <c r="M19" s="86"/>
      <c r="N19" s="86"/>
      <c r="O19" s="86"/>
      <c r="P19" s="86"/>
    </row>
    <row r="20" spans="1:16" s="62" customFormat="1" ht="31.2" x14ac:dyDescent="0.3">
      <c r="A20" s="97" t="s">
        <v>228</v>
      </c>
      <c r="B20" s="105" t="s">
        <v>240</v>
      </c>
      <c r="C20" s="116" t="s">
        <v>243</v>
      </c>
      <c r="D20" s="116"/>
      <c r="E20" s="116"/>
      <c r="F20" s="116"/>
      <c r="G20" s="98">
        <f t="shared" si="4"/>
        <v>300</v>
      </c>
      <c r="H20" s="99">
        <v>150</v>
      </c>
      <c r="I20" s="103" t="s">
        <v>274</v>
      </c>
      <c r="J20" s="117"/>
      <c r="K20" s="88"/>
      <c r="L20" s="88"/>
      <c r="M20" s="89"/>
      <c r="N20" s="89"/>
      <c r="O20" s="89"/>
      <c r="P20" s="89"/>
    </row>
    <row r="21" spans="1:16" s="62" customFormat="1" ht="31.2" x14ac:dyDescent="0.3">
      <c r="A21" s="97" t="s">
        <v>229</v>
      </c>
      <c r="B21" s="105" t="s">
        <v>242</v>
      </c>
      <c r="C21" s="116" t="s">
        <v>245</v>
      </c>
      <c r="D21" s="116"/>
      <c r="E21" s="116"/>
      <c r="F21" s="116"/>
      <c r="G21" s="98">
        <f t="shared" si="4"/>
        <v>1000</v>
      </c>
      <c r="H21" s="99">
        <v>500</v>
      </c>
      <c r="I21" s="106" t="s">
        <v>236</v>
      </c>
      <c r="J21" s="117"/>
      <c r="K21" s="88"/>
      <c r="L21" s="88"/>
      <c r="M21" s="89"/>
      <c r="N21" s="89"/>
      <c r="O21" s="89"/>
      <c r="P21" s="89"/>
    </row>
    <row r="22" spans="1:16" s="62" customFormat="1" ht="42" customHeight="1" x14ac:dyDescent="0.3">
      <c r="A22" s="97" t="s">
        <v>230</v>
      </c>
      <c r="B22" s="105" t="s">
        <v>244</v>
      </c>
      <c r="C22" s="116" t="s">
        <v>245</v>
      </c>
      <c r="D22" s="116"/>
      <c r="E22" s="116"/>
      <c r="F22" s="116"/>
      <c r="G22" s="98">
        <f t="shared" si="4"/>
        <v>600</v>
      </c>
      <c r="H22" s="99">
        <v>300</v>
      </c>
      <c r="I22" s="106">
        <v>300</v>
      </c>
      <c r="J22" s="117"/>
      <c r="K22" s="88"/>
      <c r="L22" s="88"/>
      <c r="M22" s="89"/>
      <c r="N22" s="89"/>
      <c r="O22" s="89"/>
      <c r="P22" s="89"/>
    </row>
    <row r="23" spans="1:16" s="62" customFormat="1" ht="40.200000000000003" customHeight="1" x14ac:dyDescent="0.3">
      <c r="A23" s="97" t="s">
        <v>231</v>
      </c>
      <c r="B23" s="105" t="s">
        <v>246</v>
      </c>
      <c r="C23" s="116" t="s">
        <v>249</v>
      </c>
      <c r="D23" s="116"/>
      <c r="E23" s="116"/>
      <c r="F23" s="116"/>
      <c r="G23" s="98">
        <f t="shared" si="4"/>
        <v>600</v>
      </c>
      <c r="H23" s="99">
        <v>300</v>
      </c>
      <c r="I23" s="106">
        <v>300</v>
      </c>
      <c r="J23" s="117"/>
      <c r="K23" s="88"/>
      <c r="L23" s="88"/>
      <c r="M23" s="89"/>
      <c r="N23" s="89"/>
      <c r="O23" s="89"/>
      <c r="P23" s="89"/>
    </row>
    <row r="24" spans="1:16" s="62" customFormat="1" ht="40.950000000000003" customHeight="1" x14ac:dyDescent="0.3">
      <c r="A24" s="97" t="s">
        <v>275</v>
      </c>
      <c r="B24" s="105" t="s">
        <v>247</v>
      </c>
      <c r="C24" s="116" t="s">
        <v>250</v>
      </c>
      <c r="D24" s="116"/>
      <c r="E24" s="116"/>
      <c r="F24" s="116"/>
      <c r="G24" s="98">
        <f t="shared" si="4"/>
        <v>430</v>
      </c>
      <c r="H24" s="99">
        <v>215</v>
      </c>
      <c r="I24" s="106">
        <v>215</v>
      </c>
      <c r="J24" s="117"/>
      <c r="K24" s="88"/>
      <c r="L24" s="88"/>
      <c r="M24" s="89"/>
      <c r="N24" s="89"/>
      <c r="O24" s="89"/>
      <c r="P24" s="89"/>
    </row>
    <row r="25" spans="1:16" s="62" customFormat="1" ht="52.95" customHeight="1" x14ac:dyDescent="0.3">
      <c r="A25" s="97" t="s">
        <v>276</v>
      </c>
      <c r="B25" s="105" t="s">
        <v>248</v>
      </c>
      <c r="C25" s="116" t="s">
        <v>251</v>
      </c>
      <c r="D25" s="116"/>
      <c r="E25" s="116"/>
      <c r="F25" s="116"/>
      <c r="G25" s="98">
        <f t="shared" si="3"/>
        <v>70</v>
      </c>
      <c r="H25" s="99">
        <v>70</v>
      </c>
      <c r="I25" s="106">
        <v>70</v>
      </c>
      <c r="J25" s="117"/>
      <c r="K25" s="88"/>
      <c r="L25" s="88"/>
      <c r="M25" s="89"/>
      <c r="N25" s="89"/>
      <c r="O25" s="89"/>
      <c r="P25" s="89"/>
    </row>
    <row r="26" spans="1:16" s="142" customFormat="1" ht="52.95" customHeight="1" x14ac:dyDescent="0.3">
      <c r="A26" s="97" t="s">
        <v>277</v>
      </c>
      <c r="B26" s="105" t="s">
        <v>324</v>
      </c>
      <c r="C26" s="116"/>
      <c r="D26" s="116"/>
      <c r="E26" s="116"/>
      <c r="F26" s="116"/>
      <c r="G26" s="98">
        <f t="shared" si="3"/>
        <v>40000</v>
      </c>
      <c r="H26" s="99">
        <v>40000</v>
      </c>
      <c r="I26" s="138"/>
      <c r="J26" s="139"/>
      <c r="K26" s="140"/>
      <c r="L26" s="140"/>
      <c r="M26" s="141"/>
      <c r="N26" s="141"/>
      <c r="O26" s="141"/>
      <c r="P26" s="141"/>
    </row>
    <row r="27" spans="1:16" s="90" customFormat="1" ht="21" customHeight="1" x14ac:dyDescent="0.3">
      <c r="A27" s="10" t="s">
        <v>23</v>
      </c>
      <c r="B27" s="107" t="s">
        <v>280</v>
      </c>
      <c r="C27" s="121"/>
      <c r="D27" s="121"/>
      <c r="E27" s="121"/>
      <c r="F27" s="121"/>
      <c r="G27" s="111">
        <f>G28</f>
        <v>5900</v>
      </c>
      <c r="H27" s="111">
        <f t="shared" ref="H27:I27" si="5">H28</f>
        <v>5900</v>
      </c>
      <c r="I27" s="111">
        <f t="shared" si="5"/>
        <v>0</v>
      </c>
      <c r="J27" s="122"/>
      <c r="K27" s="60"/>
      <c r="L27" s="60"/>
      <c r="M27" s="61"/>
      <c r="N27" s="61"/>
      <c r="O27" s="61"/>
      <c r="P27" s="61"/>
    </row>
    <row r="28" spans="1:16" s="90" customFormat="1" ht="21" customHeight="1" x14ac:dyDescent="0.3">
      <c r="A28" s="10" t="s">
        <v>315</v>
      </c>
      <c r="B28" s="183" t="s">
        <v>318</v>
      </c>
      <c r="C28" s="184"/>
      <c r="D28" s="185"/>
      <c r="E28" s="121"/>
      <c r="F28" s="121"/>
      <c r="G28" s="111">
        <f>SUM(G29:G35)</f>
        <v>5900</v>
      </c>
      <c r="H28" s="111">
        <f>SUM(H29:H35)</f>
        <v>5900</v>
      </c>
      <c r="I28" s="111"/>
      <c r="J28" s="122"/>
      <c r="K28" s="60"/>
      <c r="L28" s="60"/>
      <c r="M28" s="61"/>
      <c r="N28" s="61"/>
      <c r="O28" s="61"/>
      <c r="P28" s="61"/>
    </row>
    <row r="29" spans="1:16" s="62" customFormat="1" ht="63.6" customHeight="1" x14ac:dyDescent="0.3">
      <c r="A29" s="100">
        <v>1</v>
      </c>
      <c r="B29" s="105" t="s">
        <v>258</v>
      </c>
      <c r="C29" s="116" t="s">
        <v>259</v>
      </c>
      <c r="D29" s="116"/>
      <c r="E29" s="116"/>
      <c r="F29" s="116"/>
      <c r="G29" s="98">
        <f t="shared" si="3"/>
        <v>1200</v>
      </c>
      <c r="H29" s="99">
        <v>1200</v>
      </c>
      <c r="I29" s="106"/>
      <c r="J29" s="117"/>
      <c r="K29" s="88"/>
      <c r="L29" s="88"/>
      <c r="M29" s="89"/>
      <c r="N29" s="89"/>
      <c r="O29" s="89"/>
      <c r="P29" s="89"/>
    </row>
    <row r="30" spans="1:16" s="62" customFormat="1" ht="56.4" customHeight="1" x14ac:dyDescent="0.3">
      <c r="A30" s="100">
        <v>2</v>
      </c>
      <c r="B30" s="105" t="s">
        <v>261</v>
      </c>
      <c r="C30" s="116" t="s">
        <v>260</v>
      </c>
      <c r="D30" s="116"/>
      <c r="E30" s="116"/>
      <c r="F30" s="116"/>
      <c r="G30" s="98">
        <f t="shared" si="3"/>
        <v>350</v>
      </c>
      <c r="H30" s="99">
        <v>350</v>
      </c>
      <c r="I30" s="106"/>
      <c r="J30" s="117"/>
      <c r="K30" s="88"/>
      <c r="L30" s="88"/>
      <c r="M30" s="89"/>
      <c r="N30" s="89"/>
      <c r="O30" s="89"/>
      <c r="P30" s="89"/>
    </row>
    <row r="31" spans="1:16" s="62" customFormat="1" ht="52.95" customHeight="1" x14ac:dyDescent="0.3">
      <c r="A31" s="100">
        <v>3</v>
      </c>
      <c r="B31" s="105" t="s">
        <v>235</v>
      </c>
      <c r="C31" s="116" t="s">
        <v>262</v>
      </c>
      <c r="D31" s="116"/>
      <c r="E31" s="116"/>
      <c r="F31" s="116"/>
      <c r="G31" s="98">
        <f t="shared" si="3"/>
        <v>1200</v>
      </c>
      <c r="H31" s="99">
        <v>1200</v>
      </c>
      <c r="I31" s="106"/>
      <c r="J31" s="117"/>
      <c r="K31" s="88"/>
      <c r="L31" s="88"/>
      <c r="M31" s="89"/>
      <c r="N31" s="89"/>
      <c r="O31" s="89"/>
      <c r="P31" s="89"/>
    </row>
    <row r="32" spans="1:16" s="62" customFormat="1" ht="46.2" customHeight="1" x14ac:dyDescent="0.3">
      <c r="A32" s="100">
        <v>4</v>
      </c>
      <c r="B32" s="105" t="s">
        <v>265</v>
      </c>
      <c r="C32" s="116" t="s">
        <v>266</v>
      </c>
      <c r="D32" s="116"/>
      <c r="E32" s="116"/>
      <c r="F32" s="116"/>
      <c r="G32" s="98">
        <f t="shared" si="3"/>
        <v>300</v>
      </c>
      <c r="H32" s="99">
        <v>300</v>
      </c>
      <c r="I32" s="106"/>
      <c r="J32" s="117"/>
      <c r="K32" s="88"/>
      <c r="L32" s="88"/>
      <c r="M32" s="89"/>
      <c r="N32" s="89"/>
      <c r="O32" s="89"/>
      <c r="P32" s="89"/>
    </row>
    <row r="33" spans="1:16" s="62" customFormat="1" ht="48" customHeight="1" x14ac:dyDescent="0.3">
      <c r="A33" s="100">
        <v>5</v>
      </c>
      <c r="B33" s="105" t="s">
        <v>263</v>
      </c>
      <c r="C33" s="116" t="s">
        <v>264</v>
      </c>
      <c r="D33" s="116"/>
      <c r="E33" s="116"/>
      <c r="F33" s="116"/>
      <c r="G33" s="98">
        <f t="shared" si="3"/>
        <v>1200</v>
      </c>
      <c r="H33" s="99">
        <v>1200</v>
      </c>
      <c r="I33" s="106"/>
      <c r="J33" s="117"/>
      <c r="K33" s="88"/>
      <c r="L33" s="88"/>
      <c r="M33" s="89"/>
      <c r="N33" s="89"/>
      <c r="O33" s="89"/>
      <c r="P33" s="89"/>
    </row>
    <row r="34" spans="1:16" s="62" customFormat="1" ht="34.200000000000003" customHeight="1" x14ac:dyDescent="0.3">
      <c r="A34" s="100">
        <v>6</v>
      </c>
      <c r="B34" s="105" t="s">
        <v>270</v>
      </c>
      <c r="C34" s="116" t="s">
        <v>271</v>
      </c>
      <c r="D34" s="116"/>
      <c r="E34" s="116"/>
      <c r="F34" s="116"/>
      <c r="G34" s="98">
        <f t="shared" si="3"/>
        <v>450</v>
      </c>
      <c r="H34" s="99">
        <v>450</v>
      </c>
      <c r="I34" s="106"/>
      <c r="J34" s="117"/>
      <c r="K34" s="88"/>
      <c r="L34" s="88"/>
      <c r="M34" s="89"/>
      <c r="N34" s="89"/>
      <c r="O34" s="89"/>
      <c r="P34" s="89"/>
    </row>
    <row r="35" spans="1:16" s="62" customFormat="1" ht="34.200000000000003" customHeight="1" x14ac:dyDescent="0.3">
      <c r="A35" s="100">
        <v>7</v>
      </c>
      <c r="B35" s="105" t="s">
        <v>272</v>
      </c>
      <c r="C35" s="116" t="s">
        <v>273</v>
      </c>
      <c r="D35" s="116"/>
      <c r="E35" s="116"/>
      <c r="F35" s="116"/>
      <c r="G35" s="98">
        <f t="shared" si="3"/>
        <v>1200</v>
      </c>
      <c r="H35" s="99">
        <v>1200</v>
      </c>
      <c r="I35" s="106"/>
      <c r="J35" s="117"/>
      <c r="K35" s="88"/>
      <c r="L35" s="88"/>
      <c r="M35" s="89"/>
      <c r="N35" s="89"/>
      <c r="O35" s="89"/>
      <c r="P35" s="89"/>
    </row>
    <row r="36" spans="1:16" s="90" customFormat="1" ht="24" customHeight="1" x14ac:dyDescent="0.3">
      <c r="A36" s="10" t="s">
        <v>24</v>
      </c>
      <c r="B36" s="107" t="s">
        <v>281</v>
      </c>
      <c r="C36" s="121"/>
      <c r="D36" s="121"/>
      <c r="E36" s="131">
        <f>E37</f>
        <v>5000</v>
      </c>
      <c r="F36" s="131">
        <f>F37</f>
        <v>5000</v>
      </c>
      <c r="G36" s="111">
        <f>SUM(H36:I36)</f>
        <v>59600</v>
      </c>
      <c r="H36" s="112">
        <f>H37+H39</f>
        <v>58000</v>
      </c>
      <c r="I36" s="112">
        <f>I37+I39</f>
        <v>1600</v>
      </c>
      <c r="J36" s="122"/>
      <c r="K36" s="60"/>
      <c r="L36" s="60"/>
      <c r="M36" s="61"/>
      <c r="N36" s="61"/>
      <c r="O36" s="61"/>
      <c r="P36" s="61"/>
    </row>
    <row r="37" spans="1:16" s="90" customFormat="1" ht="46.8" customHeight="1" x14ac:dyDescent="0.3">
      <c r="A37" s="10" t="s">
        <v>315</v>
      </c>
      <c r="B37" s="183" t="s">
        <v>316</v>
      </c>
      <c r="C37" s="184"/>
      <c r="D37" s="185"/>
      <c r="E37" s="131">
        <f>E38</f>
        <v>5000</v>
      </c>
      <c r="F37" s="131">
        <f t="shared" ref="F37:H37" si="6">F38</f>
        <v>5000</v>
      </c>
      <c r="G37" s="131">
        <f t="shared" si="6"/>
        <v>800</v>
      </c>
      <c r="H37" s="131">
        <f t="shared" si="6"/>
        <v>800</v>
      </c>
      <c r="I37" s="132"/>
      <c r="J37" s="122"/>
      <c r="K37" s="60"/>
      <c r="L37" s="60"/>
      <c r="M37" s="61"/>
      <c r="N37" s="61"/>
      <c r="O37" s="61"/>
      <c r="P37" s="61"/>
    </row>
    <row r="38" spans="1:16" s="62" customFormat="1" ht="57" customHeight="1" x14ac:dyDescent="0.3">
      <c r="A38" s="100">
        <v>1</v>
      </c>
      <c r="B38" s="119" t="s">
        <v>314</v>
      </c>
      <c r="C38" s="116"/>
      <c r="D38" s="120" t="s">
        <v>319</v>
      </c>
      <c r="E38" s="118">
        <f>F38</f>
        <v>5000</v>
      </c>
      <c r="F38" s="118">
        <v>5000</v>
      </c>
      <c r="G38" s="98">
        <f>SUM(H38:I38)</f>
        <v>800</v>
      </c>
      <c r="H38" s="99">
        <v>800</v>
      </c>
      <c r="I38" s="106"/>
      <c r="J38" s="117"/>
      <c r="K38" s="88"/>
      <c r="L38" s="88"/>
      <c r="M38" s="89"/>
      <c r="N38" s="89"/>
      <c r="O38" s="89"/>
      <c r="P38" s="89"/>
    </row>
    <row r="39" spans="1:16" s="90" customFormat="1" ht="41.4" customHeight="1" x14ac:dyDescent="0.3">
      <c r="A39" s="10" t="s">
        <v>317</v>
      </c>
      <c r="B39" s="183" t="s">
        <v>318</v>
      </c>
      <c r="C39" s="184"/>
      <c r="D39" s="185"/>
      <c r="E39" s="121"/>
      <c r="F39" s="121"/>
      <c r="G39" s="111">
        <f>SUM(H39:I39)</f>
        <v>58800</v>
      </c>
      <c r="H39" s="112">
        <f>SUM(H40:H59)</f>
        <v>57200</v>
      </c>
      <c r="I39" s="112">
        <f>SUM(I41:I59)</f>
        <v>1600</v>
      </c>
      <c r="J39" s="122"/>
      <c r="K39" s="60"/>
      <c r="L39" s="60"/>
      <c r="M39" s="61"/>
      <c r="N39" s="61"/>
      <c r="O39" s="61"/>
      <c r="P39" s="61"/>
    </row>
    <row r="40" spans="1:16" s="62" customFormat="1" ht="46.8" x14ac:dyDescent="0.3">
      <c r="A40" s="100">
        <v>1</v>
      </c>
      <c r="B40" s="119" t="s">
        <v>297</v>
      </c>
      <c r="C40" s="116"/>
      <c r="D40" s="116"/>
      <c r="E40" s="116"/>
      <c r="F40" s="116"/>
      <c r="G40" s="98">
        <f t="shared" ref="G40:G58" si="7">H40+I40</f>
        <v>500</v>
      </c>
      <c r="H40" s="99">
        <v>500</v>
      </c>
      <c r="I40" s="99"/>
      <c r="J40" s="117"/>
      <c r="K40" s="88"/>
      <c r="L40" s="88"/>
      <c r="M40" s="89"/>
      <c r="N40" s="89"/>
      <c r="O40" s="89"/>
      <c r="P40" s="89"/>
    </row>
    <row r="41" spans="1:16" s="62" customFormat="1" ht="71.25" customHeight="1" x14ac:dyDescent="0.3">
      <c r="A41" s="97" t="s">
        <v>224</v>
      </c>
      <c r="B41" s="105" t="s">
        <v>333</v>
      </c>
      <c r="C41" s="116" t="s">
        <v>288</v>
      </c>
      <c r="D41" s="116"/>
      <c r="E41" s="116"/>
      <c r="F41" s="116"/>
      <c r="G41" s="98">
        <f t="shared" si="7"/>
        <v>2500</v>
      </c>
      <c r="H41" s="99">
        <v>900</v>
      </c>
      <c r="I41" s="117">
        <v>1600</v>
      </c>
      <c r="J41" s="117"/>
      <c r="K41" s="88"/>
      <c r="L41" s="88"/>
      <c r="M41" s="89"/>
      <c r="N41" s="89"/>
      <c r="O41" s="89"/>
      <c r="P41" s="89"/>
    </row>
    <row r="42" spans="1:16" s="62" customFormat="1" ht="66.75" customHeight="1" x14ac:dyDescent="0.3">
      <c r="A42" s="100">
        <v>3</v>
      </c>
      <c r="B42" s="105" t="s">
        <v>298</v>
      </c>
      <c r="C42" s="116" t="s">
        <v>288</v>
      </c>
      <c r="D42" s="116"/>
      <c r="E42" s="116"/>
      <c r="F42" s="116"/>
      <c r="G42" s="98">
        <f t="shared" si="7"/>
        <v>600</v>
      </c>
      <c r="H42" s="99">
        <v>600</v>
      </c>
      <c r="I42" s="117"/>
      <c r="J42" s="117"/>
      <c r="K42" s="88"/>
      <c r="L42" s="88"/>
      <c r="M42" s="89"/>
      <c r="N42" s="89"/>
      <c r="O42" s="89"/>
      <c r="P42" s="89"/>
    </row>
    <row r="43" spans="1:16" s="62" customFormat="1" ht="69.599999999999994" customHeight="1" x14ac:dyDescent="0.3">
      <c r="A43" s="97" t="s">
        <v>225</v>
      </c>
      <c r="B43" s="105" t="s">
        <v>299</v>
      </c>
      <c r="C43" s="116" t="s">
        <v>288</v>
      </c>
      <c r="D43" s="116"/>
      <c r="E43" s="116"/>
      <c r="F43" s="116"/>
      <c r="G43" s="98">
        <f t="shared" si="7"/>
        <v>1200</v>
      </c>
      <c r="H43" s="99">
        <v>1200</v>
      </c>
      <c r="I43" s="117"/>
      <c r="J43" s="117"/>
      <c r="K43" s="88"/>
      <c r="L43" s="88"/>
      <c r="M43" s="89"/>
      <c r="N43" s="89"/>
      <c r="O43" s="89"/>
      <c r="P43" s="89"/>
    </row>
    <row r="44" spans="1:16" s="62" customFormat="1" ht="60.75" customHeight="1" x14ac:dyDescent="0.3">
      <c r="A44" s="100">
        <v>5</v>
      </c>
      <c r="B44" s="119" t="s">
        <v>330</v>
      </c>
      <c r="C44" s="116" t="s">
        <v>289</v>
      </c>
      <c r="D44" s="116"/>
      <c r="E44" s="116"/>
      <c r="F44" s="116"/>
      <c r="G44" s="98">
        <f t="shared" si="7"/>
        <v>4000</v>
      </c>
      <c r="H44" s="99">
        <v>4000</v>
      </c>
      <c r="I44" s="117"/>
      <c r="J44" s="117"/>
      <c r="K44" s="88"/>
      <c r="L44" s="88"/>
      <c r="M44" s="89"/>
      <c r="N44" s="89"/>
      <c r="O44" s="89"/>
      <c r="P44" s="89"/>
    </row>
    <row r="45" spans="1:16" s="62" customFormat="1" ht="60.75" customHeight="1" x14ac:dyDescent="0.3">
      <c r="A45" s="97" t="s">
        <v>145</v>
      </c>
      <c r="B45" s="116" t="s">
        <v>294</v>
      </c>
      <c r="C45" s="108"/>
      <c r="D45" s="108"/>
      <c r="E45" s="108"/>
      <c r="F45" s="108"/>
      <c r="G45" s="98">
        <f t="shared" si="7"/>
        <v>8000</v>
      </c>
      <c r="H45" s="99">
        <v>8000</v>
      </c>
      <c r="I45" s="117"/>
      <c r="J45" s="117"/>
      <c r="K45" s="88"/>
      <c r="L45" s="88"/>
      <c r="M45" s="89"/>
      <c r="N45" s="89"/>
      <c r="O45" s="89"/>
      <c r="P45" s="89"/>
    </row>
    <row r="46" spans="1:16" s="62" customFormat="1" ht="60.75" customHeight="1" x14ac:dyDescent="0.3">
      <c r="A46" s="100">
        <v>7</v>
      </c>
      <c r="B46" s="119" t="s">
        <v>301</v>
      </c>
      <c r="C46" s="116"/>
      <c r="D46" s="116"/>
      <c r="E46" s="116"/>
      <c r="F46" s="116"/>
      <c r="G46" s="98">
        <f t="shared" si="7"/>
        <v>500</v>
      </c>
      <c r="H46" s="99">
        <v>500</v>
      </c>
      <c r="I46" s="117"/>
      <c r="J46" s="117"/>
      <c r="K46" s="88"/>
      <c r="L46" s="88"/>
      <c r="M46" s="89"/>
      <c r="N46" s="89"/>
      <c r="O46" s="89"/>
      <c r="P46" s="89"/>
    </row>
    <row r="47" spans="1:16" s="62" customFormat="1" ht="46.95" customHeight="1" x14ac:dyDescent="0.3">
      <c r="A47" s="97" t="s">
        <v>228</v>
      </c>
      <c r="B47" s="105" t="s">
        <v>290</v>
      </c>
      <c r="C47" s="116"/>
      <c r="D47" s="116"/>
      <c r="E47" s="116"/>
      <c r="F47" s="116"/>
      <c r="G47" s="98">
        <f t="shared" si="7"/>
        <v>4000</v>
      </c>
      <c r="H47" s="99">
        <v>4000</v>
      </c>
      <c r="I47" s="117"/>
      <c r="J47" s="117"/>
      <c r="K47" s="88"/>
      <c r="L47" s="88"/>
      <c r="M47" s="89"/>
      <c r="N47" s="89"/>
      <c r="O47" s="89"/>
      <c r="P47" s="89"/>
    </row>
    <row r="48" spans="1:16" s="62" customFormat="1" ht="69.599999999999994" customHeight="1" x14ac:dyDescent="0.3">
      <c r="A48" s="100">
        <v>9</v>
      </c>
      <c r="B48" s="105" t="s">
        <v>291</v>
      </c>
      <c r="C48" s="116"/>
      <c r="D48" s="116"/>
      <c r="E48" s="116"/>
      <c r="F48" s="116"/>
      <c r="G48" s="98">
        <f t="shared" si="7"/>
        <v>1200</v>
      </c>
      <c r="H48" s="99">
        <v>1200</v>
      </c>
      <c r="I48" s="117"/>
      <c r="J48" s="117"/>
      <c r="K48" s="88"/>
      <c r="L48" s="88"/>
      <c r="M48" s="89"/>
      <c r="N48" s="89"/>
      <c r="O48" s="89"/>
      <c r="P48" s="89"/>
    </row>
    <row r="49" spans="1:16" s="62" customFormat="1" ht="66" customHeight="1" x14ac:dyDescent="0.3">
      <c r="A49" s="97" t="s">
        <v>230</v>
      </c>
      <c r="B49" s="105" t="s">
        <v>300</v>
      </c>
      <c r="C49" s="116"/>
      <c r="D49" s="116"/>
      <c r="E49" s="116"/>
      <c r="F49" s="116"/>
      <c r="G49" s="98">
        <f t="shared" si="7"/>
        <v>600</v>
      </c>
      <c r="H49" s="99">
        <v>600</v>
      </c>
      <c r="I49" s="117"/>
      <c r="J49" s="117"/>
      <c r="K49" s="88"/>
      <c r="L49" s="88"/>
      <c r="M49" s="89"/>
      <c r="N49" s="89"/>
      <c r="O49" s="89"/>
      <c r="P49" s="89"/>
    </row>
    <row r="50" spans="1:16" s="62" customFormat="1" ht="54" customHeight="1" x14ac:dyDescent="0.3">
      <c r="A50" s="100">
        <v>11</v>
      </c>
      <c r="B50" s="119" t="s">
        <v>326</v>
      </c>
      <c r="C50" s="116"/>
      <c r="D50" s="116"/>
      <c r="E50" s="116"/>
      <c r="F50" s="116"/>
      <c r="G50" s="98">
        <f t="shared" si="7"/>
        <v>6000</v>
      </c>
      <c r="H50" s="99">
        <v>6000</v>
      </c>
      <c r="I50" s="117"/>
      <c r="J50" s="117"/>
      <c r="K50" s="88"/>
      <c r="L50" s="88"/>
      <c r="M50" s="89"/>
      <c r="N50" s="89"/>
      <c r="O50" s="89"/>
      <c r="P50" s="89"/>
    </row>
    <row r="51" spans="1:16" s="62" customFormat="1" ht="53.25" customHeight="1" x14ac:dyDescent="0.3">
      <c r="A51" s="97" t="s">
        <v>275</v>
      </c>
      <c r="B51" s="119" t="s">
        <v>292</v>
      </c>
      <c r="C51" s="116"/>
      <c r="D51" s="116"/>
      <c r="E51" s="116"/>
      <c r="F51" s="116"/>
      <c r="G51" s="98">
        <f t="shared" si="7"/>
        <v>2500</v>
      </c>
      <c r="H51" s="99">
        <v>2500</v>
      </c>
      <c r="I51" s="117"/>
      <c r="J51" s="117"/>
      <c r="K51" s="88"/>
      <c r="L51" s="88"/>
      <c r="M51" s="89"/>
      <c r="N51" s="89"/>
      <c r="O51" s="89"/>
      <c r="P51" s="89"/>
    </row>
    <row r="52" spans="1:16" s="62" customFormat="1" ht="54" customHeight="1" x14ac:dyDescent="0.3">
      <c r="A52" s="100">
        <v>13</v>
      </c>
      <c r="B52" s="119" t="s">
        <v>327</v>
      </c>
      <c r="C52" s="116"/>
      <c r="D52" s="116"/>
      <c r="E52" s="116"/>
      <c r="F52" s="116"/>
      <c r="G52" s="98">
        <f t="shared" si="7"/>
        <v>5000</v>
      </c>
      <c r="H52" s="99">
        <v>5000</v>
      </c>
      <c r="I52" s="117"/>
      <c r="J52" s="117"/>
      <c r="K52" s="88"/>
      <c r="L52" s="88"/>
      <c r="M52" s="89"/>
      <c r="N52" s="89"/>
      <c r="O52" s="89"/>
      <c r="P52" s="89"/>
    </row>
    <row r="53" spans="1:16" s="62" customFormat="1" ht="56.25" customHeight="1" x14ac:dyDescent="0.3">
      <c r="A53" s="97" t="s">
        <v>277</v>
      </c>
      <c r="B53" s="119" t="s">
        <v>293</v>
      </c>
      <c r="C53" s="116"/>
      <c r="D53" s="116"/>
      <c r="E53" s="116"/>
      <c r="F53" s="116"/>
      <c r="G53" s="98">
        <f t="shared" si="7"/>
        <v>150</v>
      </c>
      <c r="H53" s="99">
        <v>150</v>
      </c>
      <c r="I53" s="117"/>
      <c r="J53" s="117"/>
      <c r="K53" s="88"/>
      <c r="L53" s="88"/>
      <c r="M53" s="89"/>
      <c r="N53" s="89"/>
      <c r="O53" s="89"/>
      <c r="P53" s="89"/>
    </row>
    <row r="54" spans="1:16" s="142" customFormat="1" ht="56.25" customHeight="1" x14ac:dyDescent="0.3">
      <c r="A54" s="133" t="s">
        <v>325</v>
      </c>
      <c r="B54" s="119" t="s">
        <v>334</v>
      </c>
      <c r="C54" s="135"/>
      <c r="D54" s="135"/>
      <c r="E54" s="135"/>
      <c r="F54" s="135"/>
      <c r="G54" s="98">
        <f t="shared" si="7"/>
        <v>600</v>
      </c>
      <c r="H54" s="137">
        <v>600</v>
      </c>
      <c r="I54" s="139"/>
      <c r="J54" s="139"/>
      <c r="K54" s="140"/>
      <c r="L54" s="140"/>
      <c r="M54" s="141"/>
      <c r="N54" s="141"/>
      <c r="O54" s="141"/>
      <c r="P54" s="141"/>
    </row>
    <row r="55" spans="1:16" s="62" customFormat="1" ht="56.25" customHeight="1" x14ac:dyDescent="0.3">
      <c r="A55" s="100">
        <v>15</v>
      </c>
      <c r="B55" s="119" t="s">
        <v>295</v>
      </c>
      <c r="C55" s="116"/>
      <c r="D55" s="116"/>
      <c r="E55" s="116"/>
      <c r="F55" s="116"/>
      <c r="G55" s="98">
        <f t="shared" si="7"/>
        <v>6000</v>
      </c>
      <c r="H55" s="99">
        <v>6000</v>
      </c>
      <c r="I55" s="117"/>
      <c r="J55" s="117"/>
      <c r="K55" s="88"/>
      <c r="L55" s="88"/>
      <c r="M55" s="89"/>
      <c r="N55" s="89"/>
      <c r="O55" s="89"/>
      <c r="P55" s="89"/>
    </row>
    <row r="56" spans="1:16" s="62" customFormat="1" ht="56.25" customHeight="1" x14ac:dyDescent="0.3">
      <c r="A56" s="97" t="s">
        <v>278</v>
      </c>
      <c r="B56" s="119" t="s">
        <v>296</v>
      </c>
      <c r="C56" s="116"/>
      <c r="D56" s="116"/>
      <c r="E56" s="116"/>
      <c r="F56" s="116"/>
      <c r="G56" s="98">
        <f t="shared" si="7"/>
        <v>700</v>
      </c>
      <c r="H56" s="99">
        <v>700</v>
      </c>
      <c r="I56" s="117"/>
      <c r="J56" s="117"/>
      <c r="K56" s="88"/>
      <c r="L56" s="88"/>
      <c r="M56" s="89"/>
      <c r="N56" s="89"/>
      <c r="O56" s="89"/>
      <c r="P56" s="89"/>
    </row>
    <row r="57" spans="1:16" s="62" customFormat="1" ht="56.25" customHeight="1" x14ac:dyDescent="0.3">
      <c r="A57" s="100">
        <v>17</v>
      </c>
      <c r="B57" s="119" t="s">
        <v>302</v>
      </c>
      <c r="C57" s="116"/>
      <c r="D57" s="116"/>
      <c r="E57" s="116"/>
      <c r="F57" s="116"/>
      <c r="G57" s="98">
        <f t="shared" si="7"/>
        <v>10500</v>
      </c>
      <c r="H57" s="99">
        <v>10500</v>
      </c>
      <c r="I57" s="117"/>
      <c r="J57" s="117"/>
      <c r="K57" s="88"/>
      <c r="L57" s="88"/>
      <c r="M57" s="89"/>
      <c r="N57" s="89"/>
      <c r="O57" s="89"/>
      <c r="P57" s="89"/>
    </row>
    <row r="58" spans="1:16" s="62" customFormat="1" ht="56.25" customHeight="1" x14ac:dyDescent="0.3">
      <c r="A58" s="97" t="s">
        <v>320</v>
      </c>
      <c r="B58" s="119" t="s">
        <v>303</v>
      </c>
      <c r="C58" s="116"/>
      <c r="D58" s="116"/>
      <c r="E58" s="116"/>
      <c r="F58" s="116"/>
      <c r="G58" s="98">
        <f t="shared" si="7"/>
        <v>4000</v>
      </c>
      <c r="H58" s="99">
        <v>4000</v>
      </c>
      <c r="I58" s="117"/>
      <c r="J58" s="117"/>
      <c r="K58" s="88"/>
      <c r="L58" s="88"/>
      <c r="M58" s="89"/>
      <c r="N58" s="89"/>
      <c r="O58" s="89"/>
      <c r="P58" s="89"/>
    </row>
    <row r="59" spans="1:16" s="62" customFormat="1" ht="56.25" customHeight="1" x14ac:dyDescent="0.3">
      <c r="A59" s="97" t="s">
        <v>328</v>
      </c>
      <c r="B59" s="119" t="s">
        <v>304</v>
      </c>
      <c r="C59" s="116"/>
      <c r="D59" s="116"/>
      <c r="E59" s="116"/>
      <c r="F59" s="116"/>
      <c r="G59" s="98">
        <f>H59+I59</f>
        <v>250</v>
      </c>
      <c r="H59" s="99">
        <v>250</v>
      </c>
      <c r="I59" s="117"/>
      <c r="J59" s="117"/>
      <c r="K59" s="88"/>
      <c r="L59" s="88"/>
      <c r="M59" s="89"/>
      <c r="N59" s="89"/>
      <c r="O59" s="89"/>
      <c r="P59" s="89"/>
    </row>
    <row r="60" spans="1:16" s="90" customFormat="1" ht="18" x14ac:dyDescent="0.3">
      <c r="A60" s="114" t="s">
        <v>157</v>
      </c>
      <c r="B60" s="14" t="s">
        <v>282</v>
      </c>
      <c r="C60" s="121"/>
      <c r="D60" s="121"/>
      <c r="E60" s="121"/>
      <c r="F60" s="121"/>
      <c r="G60" s="111">
        <f>G61</f>
        <v>2250</v>
      </c>
      <c r="H60" s="111">
        <f t="shared" ref="H60:I60" si="8">H61</f>
        <v>1350</v>
      </c>
      <c r="I60" s="111">
        <f t="shared" si="8"/>
        <v>900</v>
      </c>
      <c r="J60" s="122"/>
      <c r="K60" s="60"/>
      <c r="L60" s="60"/>
      <c r="M60" s="61"/>
      <c r="N60" s="61"/>
      <c r="O60" s="61"/>
      <c r="P60" s="61"/>
    </row>
    <row r="61" spans="1:16" s="90" customFormat="1" ht="18" x14ac:dyDescent="0.3">
      <c r="A61" s="10" t="s">
        <v>315</v>
      </c>
      <c r="B61" s="183" t="s">
        <v>318</v>
      </c>
      <c r="C61" s="184"/>
      <c r="D61" s="185"/>
      <c r="E61" s="121"/>
      <c r="F61" s="121"/>
      <c r="G61" s="111">
        <f>H61+I61</f>
        <v>2250</v>
      </c>
      <c r="H61" s="112">
        <f>SUM(H62:H64)</f>
        <v>1350</v>
      </c>
      <c r="I61" s="112">
        <f>SUM(I62:I64)</f>
        <v>900</v>
      </c>
      <c r="J61" s="122"/>
      <c r="K61" s="60"/>
      <c r="L61" s="60"/>
      <c r="M61" s="61"/>
      <c r="N61" s="61"/>
      <c r="O61" s="61"/>
      <c r="P61" s="61"/>
    </row>
    <row r="62" spans="1:16" s="62" customFormat="1" ht="46.8" x14ac:dyDescent="0.3">
      <c r="A62" s="97" t="s">
        <v>25</v>
      </c>
      <c r="B62" s="105" t="s">
        <v>267</v>
      </c>
      <c r="C62" s="116"/>
      <c r="D62" s="116"/>
      <c r="E62" s="116"/>
      <c r="F62" s="116"/>
      <c r="G62" s="98">
        <f t="shared" si="3"/>
        <v>150</v>
      </c>
      <c r="H62" s="99">
        <v>150</v>
      </c>
      <c r="I62" s="117">
        <v>50</v>
      </c>
      <c r="J62" s="117"/>
      <c r="K62" s="88"/>
      <c r="L62" s="88"/>
      <c r="M62" s="89"/>
      <c r="N62" s="89"/>
      <c r="O62" s="89"/>
      <c r="P62" s="89"/>
    </row>
    <row r="63" spans="1:16" s="62" customFormat="1" ht="46.8" x14ac:dyDescent="0.3">
      <c r="A63" s="100">
        <v>2</v>
      </c>
      <c r="B63" s="105" t="s">
        <v>268</v>
      </c>
      <c r="C63" s="109"/>
      <c r="D63" s="109"/>
      <c r="E63" s="109"/>
      <c r="F63" s="109"/>
      <c r="G63" s="98">
        <f>H63+I63</f>
        <v>250</v>
      </c>
      <c r="H63" s="99">
        <v>200</v>
      </c>
      <c r="I63" s="106">
        <v>50</v>
      </c>
      <c r="J63" s="110"/>
      <c r="K63" s="88"/>
      <c r="L63" s="88"/>
      <c r="M63" s="89"/>
      <c r="N63" s="89"/>
      <c r="O63" s="89"/>
      <c r="P63" s="89"/>
    </row>
    <row r="64" spans="1:16" s="142" customFormat="1" ht="31.2" x14ac:dyDescent="0.3">
      <c r="A64" s="133" t="s">
        <v>144</v>
      </c>
      <c r="B64" s="134" t="s">
        <v>269</v>
      </c>
      <c r="C64" s="135"/>
      <c r="D64" s="135"/>
      <c r="E64" s="135"/>
      <c r="F64" s="135"/>
      <c r="G64" s="136">
        <f>H64+I64</f>
        <v>1800</v>
      </c>
      <c r="H64" s="137">
        <v>1000</v>
      </c>
      <c r="I64" s="138">
        <v>800</v>
      </c>
      <c r="J64" s="139"/>
      <c r="K64" s="140"/>
      <c r="L64" s="140"/>
      <c r="M64" s="141"/>
      <c r="N64" s="141"/>
      <c r="O64" s="141"/>
      <c r="P64" s="141"/>
    </row>
    <row r="65" spans="1:16" s="62" customFormat="1" ht="33" customHeight="1" x14ac:dyDescent="0.3">
      <c r="A65" s="10" t="s">
        <v>159</v>
      </c>
      <c r="B65" s="14" t="s">
        <v>67</v>
      </c>
      <c r="C65" s="121"/>
      <c r="D65" s="121"/>
      <c r="E65" s="121"/>
      <c r="F65" s="121"/>
      <c r="G65" s="111">
        <f>G66</f>
        <v>51000</v>
      </c>
      <c r="H65" s="111">
        <f>H66</f>
        <v>41000</v>
      </c>
      <c r="I65" s="112">
        <f>SUM(I67:I70)</f>
        <v>10000</v>
      </c>
      <c r="J65" s="122"/>
      <c r="K65" s="88"/>
      <c r="L65" s="88"/>
      <c r="M65" s="89"/>
      <c r="N65" s="89"/>
      <c r="O65" s="89"/>
      <c r="P65" s="89"/>
    </row>
    <row r="66" spans="1:16" s="62" customFormat="1" ht="33" customHeight="1" x14ac:dyDescent="0.3">
      <c r="A66" s="10" t="s">
        <v>315</v>
      </c>
      <c r="B66" s="183" t="s">
        <v>318</v>
      </c>
      <c r="C66" s="184"/>
      <c r="D66" s="185"/>
      <c r="E66" s="121"/>
      <c r="F66" s="121"/>
      <c r="G66" s="111">
        <f>SUM(G67:G71)</f>
        <v>51000</v>
      </c>
      <c r="H66" s="111">
        <f t="shared" ref="H66:I66" si="9">SUM(H67:H71)</f>
        <v>41000</v>
      </c>
      <c r="I66" s="111">
        <f t="shared" si="9"/>
        <v>10000</v>
      </c>
      <c r="J66" s="122"/>
      <c r="K66" s="88"/>
      <c r="L66" s="88"/>
      <c r="M66" s="89"/>
      <c r="N66" s="89"/>
      <c r="O66" s="89"/>
      <c r="P66" s="89"/>
    </row>
    <row r="67" spans="1:16" s="62" customFormat="1" ht="31.2" x14ac:dyDescent="0.3">
      <c r="A67" s="100">
        <v>1</v>
      </c>
      <c r="B67" s="105" t="s">
        <v>308</v>
      </c>
      <c r="C67" s="121"/>
      <c r="D67" s="121"/>
      <c r="E67" s="121"/>
      <c r="F67" s="121"/>
      <c r="G67" s="98">
        <f>H67+I67</f>
        <v>12000</v>
      </c>
      <c r="H67" s="99">
        <v>12000</v>
      </c>
      <c r="I67" s="122"/>
      <c r="J67" s="122"/>
      <c r="K67" s="88"/>
      <c r="L67" s="88"/>
      <c r="M67" s="89"/>
      <c r="N67" s="89"/>
      <c r="O67" s="89"/>
      <c r="P67" s="89"/>
    </row>
    <row r="68" spans="1:16" s="142" customFormat="1" ht="53.4" customHeight="1" x14ac:dyDescent="0.3">
      <c r="A68" s="100">
        <v>2</v>
      </c>
      <c r="B68" s="189" t="s">
        <v>335</v>
      </c>
      <c r="C68" s="121"/>
      <c r="D68" s="121"/>
      <c r="E68" s="121"/>
      <c r="F68" s="121"/>
      <c r="G68" s="98">
        <f>H68+I68</f>
        <v>2000</v>
      </c>
      <c r="H68" s="99">
        <v>2000</v>
      </c>
      <c r="I68" s="122"/>
      <c r="J68" s="143"/>
      <c r="K68" s="140"/>
      <c r="L68" s="140"/>
      <c r="M68" s="141"/>
      <c r="N68" s="141"/>
      <c r="O68" s="141"/>
      <c r="P68" s="141"/>
    </row>
    <row r="69" spans="1:16" s="62" customFormat="1" ht="33" customHeight="1" x14ac:dyDescent="0.3">
      <c r="A69" s="100">
        <v>3</v>
      </c>
      <c r="B69" s="105" t="s">
        <v>305</v>
      </c>
      <c r="C69" s="121"/>
      <c r="D69" s="121"/>
      <c r="E69" s="121"/>
      <c r="F69" s="121"/>
      <c r="G69" s="98">
        <f t="shared" ref="G69:G71" si="10">H69+I69</f>
        <v>2000</v>
      </c>
      <c r="H69" s="99">
        <v>2000</v>
      </c>
      <c r="I69" s="122"/>
      <c r="J69" s="122"/>
      <c r="K69" s="88"/>
      <c r="L69" s="88"/>
      <c r="M69" s="89"/>
      <c r="N69" s="89"/>
      <c r="O69" s="89"/>
      <c r="P69" s="89"/>
    </row>
    <row r="70" spans="1:16" s="142" customFormat="1" ht="33" customHeight="1" x14ac:dyDescent="0.3">
      <c r="A70" s="100">
        <v>4</v>
      </c>
      <c r="B70" s="105" t="s">
        <v>331</v>
      </c>
      <c r="C70" s="116"/>
      <c r="D70" s="116"/>
      <c r="E70" s="116"/>
      <c r="F70" s="116"/>
      <c r="G70" s="98">
        <f t="shared" si="10"/>
        <v>30000</v>
      </c>
      <c r="H70" s="99">
        <v>20000</v>
      </c>
      <c r="I70" s="117">
        <v>10000</v>
      </c>
      <c r="J70" s="139"/>
      <c r="K70" s="140"/>
      <c r="L70" s="140"/>
      <c r="M70" s="141"/>
      <c r="N70" s="141"/>
      <c r="O70" s="141"/>
      <c r="P70" s="141"/>
    </row>
    <row r="71" spans="1:16" s="142" customFormat="1" ht="33" customHeight="1" x14ac:dyDescent="0.3">
      <c r="A71" s="100">
        <v>5</v>
      </c>
      <c r="B71" s="105" t="s">
        <v>332</v>
      </c>
      <c r="C71" s="116"/>
      <c r="D71" s="116"/>
      <c r="E71" s="116"/>
      <c r="F71" s="116"/>
      <c r="G71" s="98">
        <f t="shared" si="10"/>
        <v>5000</v>
      </c>
      <c r="H71" s="99">
        <v>5000</v>
      </c>
      <c r="I71" s="117"/>
      <c r="J71" s="139"/>
      <c r="K71" s="140"/>
      <c r="L71" s="140"/>
      <c r="M71" s="141"/>
      <c r="N71" s="141"/>
      <c r="O71" s="141"/>
      <c r="P71" s="141"/>
    </row>
    <row r="72" spans="1:16" s="30" customFormat="1" ht="30.6" customHeight="1" x14ac:dyDescent="0.3">
      <c r="A72" s="97"/>
      <c r="B72" s="11" t="s">
        <v>283</v>
      </c>
      <c r="C72" s="105"/>
      <c r="D72" s="105"/>
      <c r="E72" s="113">
        <f>E8+E11+E27+E36+E60+E65</f>
        <v>5000</v>
      </c>
      <c r="F72" s="113">
        <f>F8+F11+F27+F36+F60+F65</f>
        <v>5000</v>
      </c>
      <c r="G72" s="113">
        <f>G8+G11+G27+G36+G60+G65</f>
        <v>194023</v>
      </c>
      <c r="H72" s="113">
        <f>H8+H11+H27+H36+H60+H65</f>
        <v>180638</v>
      </c>
      <c r="I72" s="113">
        <f>I8+I11+I27+I36+I60+I65</f>
        <v>13385</v>
      </c>
      <c r="J72" s="110"/>
      <c r="K72" s="39">
        <f>H72+I72</f>
        <v>194023</v>
      </c>
      <c r="L72" s="39">
        <f>G72-K72</f>
        <v>0</v>
      </c>
    </row>
    <row r="73" spans="1:16" s="30" customFormat="1" x14ac:dyDescent="0.3">
      <c r="A73" s="40"/>
      <c r="B73" s="41"/>
      <c r="C73" s="41"/>
      <c r="D73" s="41"/>
      <c r="E73" s="41"/>
      <c r="F73" s="41"/>
      <c r="G73" s="51"/>
      <c r="H73" s="51"/>
      <c r="I73" s="51"/>
      <c r="K73" s="39"/>
      <c r="L73" s="39"/>
    </row>
    <row r="74" spans="1:16" s="30" customFormat="1" x14ac:dyDescent="0.3">
      <c r="A74" s="40"/>
      <c r="B74" s="41"/>
      <c r="C74" s="41"/>
      <c r="D74" s="41"/>
      <c r="E74" s="41"/>
      <c r="F74" s="41"/>
      <c r="G74" s="51"/>
      <c r="H74" s="51"/>
      <c r="I74" s="51"/>
      <c r="K74" s="39"/>
      <c r="L74" s="39"/>
    </row>
    <row r="75" spans="1:16" s="30" customFormat="1" x14ac:dyDescent="0.3">
      <c r="A75" s="40"/>
      <c r="B75" s="41"/>
      <c r="C75" s="41"/>
      <c r="D75" s="41"/>
      <c r="E75" s="41"/>
      <c r="F75" s="41"/>
      <c r="G75" s="51"/>
      <c r="H75" s="51"/>
      <c r="I75" s="51"/>
      <c r="K75" s="39"/>
      <c r="L75" s="39"/>
    </row>
    <row r="76" spans="1:16" s="30" customFormat="1" x14ac:dyDescent="0.3">
      <c r="A76" s="40"/>
      <c r="B76" s="41"/>
      <c r="C76" s="41"/>
      <c r="D76" s="41"/>
      <c r="E76" s="41"/>
      <c r="F76" s="41"/>
      <c r="G76" s="51"/>
      <c r="H76" s="51"/>
      <c r="I76" s="51"/>
      <c r="K76" s="39"/>
      <c r="L76" s="39"/>
    </row>
    <row r="77" spans="1:16" s="30" customFormat="1" x14ac:dyDescent="0.3">
      <c r="A77" s="40"/>
      <c r="B77" s="41"/>
      <c r="C77" s="41"/>
      <c r="D77" s="41"/>
      <c r="E77" s="41"/>
      <c r="F77" s="41"/>
      <c r="G77" s="51"/>
      <c r="H77" s="51"/>
      <c r="I77" s="51"/>
      <c r="K77" s="39"/>
      <c r="L77" s="39"/>
    </row>
    <row r="78" spans="1:16" s="30" customFormat="1" x14ac:dyDescent="0.3">
      <c r="A78" s="40"/>
      <c r="B78" s="41"/>
      <c r="C78" s="41"/>
      <c r="D78" s="41"/>
      <c r="E78" s="41"/>
      <c r="F78" s="41"/>
      <c r="G78" s="51"/>
      <c r="H78" s="51"/>
      <c r="I78" s="51"/>
      <c r="K78" s="39"/>
      <c r="L78" s="39"/>
    </row>
    <row r="79" spans="1:16" s="30" customFormat="1" x14ac:dyDescent="0.3">
      <c r="A79" s="40"/>
      <c r="B79" s="41"/>
      <c r="C79" s="41"/>
      <c r="D79" s="41"/>
      <c r="E79" s="41"/>
      <c r="F79" s="41"/>
      <c r="G79" s="51"/>
      <c r="H79" s="51"/>
      <c r="I79" s="51"/>
      <c r="K79" s="39"/>
      <c r="L79" s="39"/>
    </row>
    <row r="80" spans="1:16" s="30" customFormat="1" x14ac:dyDescent="0.3">
      <c r="A80" s="40"/>
      <c r="B80" s="41"/>
      <c r="C80" s="41"/>
      <c r="D80" s="41"/>
      <c r="E80" s="41"/>
      <c r="F80" s="41"/>
      <c r="G80" s="51"/>
      <c r="H80" s="51"/>
      <c r="I80" s="51"/>
      <c r="K80" s="39"/>
      <c r="L80" s="39"/>
    </row>
    <row r="81" spans="1:12" s="30" customFormat="1" x14ac:dyDescent="0.3">
      <c r="A81" s="40"/>
      <c r="B81" s="41"/>
      <c r="C81" s="41"/>
      <c r="D81" s="41"/>
      <c r="E81" s="41"/>
      <c r="F81" s="41"/>
      <c r="G81" s="51"/>
      <c r="H81" s="51"/>
      <c r="I81" s="51"/>
      <c r="K81" s="39"/>
      <c r="L81" s="39"/>
    </row>
    <row r="82" spans="1:12" s="30" customFormat="1" x14ac:dyDescent="0.3">
      <c r="A82" s="40"/>
      <c r="B82" s="41"/>
      <c r="C82" s="41"/>
      <c r="D82" s="41"/>
      <c r="E82" s="41"/>
      <c r="F82" s="41"/>
      <c r="G82" s="51"/>
      <c r="H82" s="51"/>
      <c r="I82" s="51"/>
      <c r="K82" s="39"/>
      <c r="L82" s="39"/>
    </row>
    <row r="83" spans="1:12" s="30" customFormat="1" x14ac:dyDescent="0.3">
      <c r="A83" s="40"/>
      <c r="B83" s="41"/>
      <c r="C83" s="41"/>
      <c r="D83" s="41"/>
      <c r="E83" s="41"/>
      <c r="F83" s="41"/>
      <c r="G83" s="51"/>
      <c r="H83" s="51"/>
      <c r="I83" s="51"/>
      <c r="K83" s="39"/>
      <c r="L83" s="39"/>
    </row>
    <row r="84" spans="1:12" s="30" customFormat="1" x14ac:dyDescent="0.3">
      <c r="A84" s="40"/>
      <c r="B84" s="41"/>
      <c r="C84" s="41"/>
      <c r="D84" s="41"/>
      <c r="E84" s="41"/>
      <c r="F84" s="41"/>
      <c r="G84" s="51"/>
      <c r="H84" s="51"/>
      <c r="I84" s="51"/>
      <c r="K84" s="39"/>
      <c r="L84" s="39"/>
    </row>
    <row r="85" spans="1:12" s="30" customFormat="1" x14ac:dyDescent="0.3">
      <c r="A85" s="40"/>
      <c r="B85" s="41"/>
      <c r="C85" s="41"/>
      <c r="D85" s="41"/>
      <c r="E85" s="41"/>
      <c r="F85" s="41"/>
      <c r="G85" s="51"/>
      <c r="H85" s="51"/>
      <c r="I85" s="51"/>
      <c r="K85" s="39"/>
      <c r="L85" s="39"/>
    </row>
    <row r="86" spans="1:12" s="30" customFormat="1" x14ac:dyDescent="0.3">
      <c r="A86" s="40"/>
      <c r="B86" s="41"/>
      <c r="C86" s="41"/>
      <c r="D86" s="41"/>
      <c r="E86" s="41"/>
      <c r="F86" s="41"/>
      <c r="G86" s="51"/>
      <c r="H86" s="51"/>
      <c r="I86" s="51"/>
      <c r="K86" s="39"/>
      <c r="L86" s="39"/>
    </row>
    <row r="87" spans="1:12" s="30" customFormat="1" x14ac:dyDescent="0.3">
      <c r="A87" s="40"/>
      <c r="B87" s="41"/>
      <c r="C87" s="41"/>
      <c r="D87" s="41"/>
      <c r="E87" s="41"/>
      <c r="F87" s="41"/>
      <c r="G87" s="51"/>
      <c r="H87" s="51"/>
      <c r="I87" s="51"/>
      <c r="K87" s="39"/>
      <c r="L87" s="39"/>
    </row>
    <row r="88" spans="1:12" s="30" customFormat="1" x14ac:dyDescent="0.3">
      <c r="A88" s="40"/>
      <c r="B88" s="41"/>
      <c r="C88" s="41"/>
      <c r="D88" s="41"/>
      <c r="E88" s="41"/>
      <c r="F88" s="41"/>
      <c r="G88" s="51"/>
      <c r="H88" s="51"/>
      <c r="I88" s="51"/>
      <c r="K88" s="39"/>
      <c r="L88" s="39"/>
    </row>
    <row r="89" spans="1:12" s="30" customFormat="1" x14ac:dyDescent="0.3">
      <c r="A89" s="40"/>
      <c r="B89" s="41"/>
      <c r="C89" s="41"/>
      <c r="D89" s="41"/>
      <c r="E89" s="41"/>
      <c r="F89" s="41"/>
      <c r="G89" s="51"/>
      <c r="H89" s="51"/>
      <c r="I89" s="51"/>
      <c r="K89" s="39"/>
      <c r="L89" s="39"/>
    </row>
    <row r="90" spans="1:12" s="30" customFormat="1" x14ac:dyDescent="0.3">
      <c r="A90" s="40"/>
      <c r="B90" s="41"/>
      <c r="C90" s="41"/>
      <c r="D90" s="41"/>
      <c r="E90" s="41"/>
      <c r="F90" s="41"/>
      <c r="G90" s="51"/>
      <c r="H90" s="51"/>
      <c r="I90" s="51"/>
      <c r="K90" s="39"/>
      <c r="L90" s="39"/>
    </row>
    <row r="91" spans="1:12" s="30" customFormat="1" x14ac:dyDescent="0.3">
      <c r="A91" s="40"/>
      <c r="B91" s="41"/>
      <c r="C91" s="41"/>
      <c r="D91" s="41"/>
      <c r="E91" s="41"/>
      <c r="F91" s="41"/>
      <c r="G91" s="51"/>
      <c r="H91" s="51"/>
      <c r="I91" s="51"/>
      <c r="K91" s="39"/>
      <c r="L91" s="39"/>
    </row>
    <row r="92" spans="1:12" s="30" customFormat="1" x14ac:dyDescent="0.3">
      <c r="A92" s="40"/>
      <c r="B92" s="41"/>
      <c r="C92" s="41"/>
      <c r="D92" s="41"/>
      <c r="E92" s="41"/>
      <c r="F92" s="41"/>
      <c r="G92" s="51"/>
      <c r="H92" s="51"/>
      <c r="I92" s="51"/>
      <c r="K92" s="39"/>
      <c r="L92" s="39"/>
    </row>
    <row r="93" spans="1:12" s="30" customFormat="1" x14ac:dyDescent="0.3">
      <c r="A93" s="40"/>
      <c r="B93" s="41"/>
      <c r="C93" s="41"/>
      <c r="D93" s="41"/>
      <c r="E93" s="41"/>
      <c r="F93" s="41"/>
      <c r="G93" s="51"/>
      <c r="H93" s="51"/>
      <c r="I93" s="51"/>
      <c r="K93" s="39"/>
      <c r="L93" s="39"/>
    </row>
    <row r="94" spans="1:12" s="30" customFormat="1" x14ac:dyDescent="0.3">
      <c r="A94" s="40"/>
      <c r="B94" s="41"/>
      <c r="C94" s="41"/>
      <c r="D94" s="41"/>
      <c r="E94" s="41"/>
      <c r="F94" s="41"/>
      <c r="G94" s="51"/>
      <c r="H94" s="51"/>
      <c r="I94" s="51"/>
      <c r="K94" s="39"/>
      <c r="L94" s="39"/>
    </row>
    <row r="95" spans="1:12" s="30" customFormat="1" x14ac:dyDescent="0.3">
      <c r="A95" s="40"/>
      <c r="B95" s="41"/>
      <c r="C95" s="41"/>
      <c r="D95" s="41"/>
      <c r="E95" s="41"/>
      <c r="F95" s="41"/>
      <c r="G95" s="51"/>
      <c r="H95" s="51"/>
      <c r="I95" s="51"/>
      <c r="K95" s="39"/>
      <c r="L95" s="39"/>
    </row>
    <row r="96" spans="1:12" s="30" customFormat="1" x14ac:dyDescent="0.3">
      <c r="A96" s="40"/>
      <c r="B96" s="41"/>
      <c r="C96" s="41"/>
      <c r="D96" s="41"/>
      <c r="E96" s="41"/>
      <c r="F96" s="41"/>
      <c r="G96" s="51"/>
      <c r="H96" s="51"/>
      <c r="I96" s="51"/>
      <c r="K96" s="39"/>
      <c r="L96" s="39"/>
    </row>
    <row r="97" spans="1:12" s="30" customFormat="1" x14ac:dyDescent="0.3">
      <c r="A97" s="40"/>
      <c r="B97" s="41"/>
      <c r="C97" s="41"/>
      <c r="D97" s="41"/>
      <c r="E97" s="41"/>
      <c r="F97" s="41"/>
      <c r="G97" s="51"/>
      <c r="H97" s="51"/>
      <c r="I97" s="51"/>
      <c r="K97" s="39"/>
      <c r="L97" s="39"/>
    </row>
    <row r="98" spans="1:12" s="30" customFormat="1" x14ac:dyDescent="0.3">
      <c r="A98" s="40"/>
      <c r="B98" s="41"/>
      <c r="C98" s="41"/>
      <c r="D98" s="41"/>
      <c r="E98" s="41"/>
      <c r="F98" s="41"/>
      <c r="G98" s="51"/>
      <c r="H98" s="51"/>
      <c r="I98" s="51"/>
      <c r="K98" s="39"/>
      <c r="L98" s="39"/>
    </row>
    <row r="99" spans="1:12" s="30" customFormat="1" x14ac:dyDescent="0.3">
      <c r="A99" s="40"/>
      <c r="B99" s="41"/>
      <c r="C99" s="41"/>
      <c r="D99" s="41"/>
      <c r="E99" s="41"/>
      <c r="F99" s="41"/>
      <c r="G99" s="51"/>
      <c r="H99" s="51"/>
      <c r="I99" s="51"/>
      <c r="K99" s="39"/>
      <c r="L99" s="39"/>
    </row>
    <row r="100" spans="1:12" s="30" customFormat="1" x14ac:dyDescent="0.3">
      <c r="A100" s="40"/>
      <c r="B100" s="41"/>
      <c r="C100" s="41"/>
      <c r="D100" s="41"/>
      <c r="E100" s="41"/>
      <c r="F100" s="41"/>
      <c r="G100" s="51"/>
      <c r="H100" s="51"/>
      <c r="I100" s="51"/>
      <c r="K100" s="39"/>
      <c r="L100" s="39"/>
    </row>
    <row r="101" spans="1:12" s="30" customFormat="1" x14ac:dyDescent="0.3">
      <c r="A101" s="40"/>
      <c r="B101" s="41"/>
      <c r="C101" s="41"/>
      <c r="D101" s="41"/>
      <c r="E101" s="41"/>
      <c r="F101" s="41"/>
      <c r="G101" s="51"/>
      <c r="H101" s="51"/>
      <c r="I101" s="51"/>
      <c r="K101" s="39"/>
      <c r="L101" s="39"/>
    </row>
    <row r="102" spans="1:12" s="30" customFormat="1" x14ac:dyDescent="0.3">
      <c r="A102" s="40"/>
      <c r="B102" s="41"/>
      <c r="C102" s="41"/>
      <c r="D102" s="41"/>
      <c r="E102" s="41"/>
      <c r="F102" s="41"/>
      <c r="G102" s="51"/>
      <c r="H102" s="51"/>
      <c r="I102" s="51"/>
      <c r="K102" s="39"/>
      <c r="L102" s="39"/>
    </row>
    <row r="103" spans="1:12" s="30" customFormat="1" x14ac:dyDescent="0.3">
      <c r="A103" s="40"/>
      <c r="B103" s="41"/>
      <c r="C103" s="41"/>
      <c r="D103" s="41"/>
      <c r="E103" s="41"/>
      <c r="F103" s="41"/>
      <c r="G103" s="51"/>
      <c r="H103" s="51"/>
      <c r="I103" s="51"/>
      <c r="K103" s="39"/>
      <c r="L103" s="39"/>
    </row>
    <row r="104" spans="1:12" s="30" customFormat="1" x14ac:dyDescent="0.3">
      <c r="A104" s="40"/>
      <c r="B104" s="41"/>
      <c r="C104" s="41"/>
      <c r="D104" s="41"/>
      <c r="E104" s="41"/>
      <c r="F104" s="41"/>
      <c r="G104" s="51"/>
      <c r="H104" s="51"/>
      <c r="I104" s="51"/>
      <c r="K104" s="39"/>
      <c r="L104" s="39"/>
    </row>
    <row r="105" spans="1:12" s="30" customFormat="1" x14ac:dyDescent="0.3">
      <c r="A105" s="40"/>
      <c r="B105" s="41"/>
      <c r="C105" s="41"/>
      <c r="D105" s="41"/>
      <c r="E105" s="41"/>
      <c r="F105" s="41"/>
      <c r="G105" s="51"/>
      <c r="H105" s="51"/>
      <c r="I105" s="51"/>
      <c r="K105" s="39"/>
      <c r="L105" s="39"/>
    </row>
    <row r="106" spans="1:12" s="30" customFormat="1" x14ac:dyDescent="0.3">
      <c r="A106" s="40"/>
      <c r="B106" s="41"/>
      <c r="C106" s="41"/>
      <c r="D106" s="41"/>
      <c r="E106" s="41"/>
      <c r="F106" s="41"/>
      <c r="G106" s="51"/>
      <c r="H106" s="51"/>
      <c r="I106" s="51"/>
      <c r="K106" s="39"/>
      <c r="L106" s="39"/>
    </row>
    <row r="107" spans="1:12" s="30" customFormat="1" x14ac:dyDescent="0.3">
      <c r="A107" s="40"/>
      <c r="B107" s="41"/>
      <c r="C107" s="41"/>
      <c r="D107" s="41"/>
      <c r="E107" s="41"/>
      <c r="F107" s="41"/>
      <c r="G107" s="51"/>
      <c r="H107" s="51"/>
      <c r="I107" s="51"/>
      <c r="K107" s="39"/>
      <c r="L107" s="39"/>
    </row>
    <row r="108" spans="1:12" s="30" customFormat="1" x14ac:dyDescent="0.3">
      <c r="A108" s="40"/>
      <c r="B108" s="41"/>
      <c r="C108" s="41"/>
      <c r="D108" s="41"/>
      <c r="E108" s="41"/>
      <c r="F108" s="41"/>
      <c r="G108" s="51"/>
      <c r="H108" s="51"/>
      <c r="I108" s="51"/>
      <c r="K108" s="39"/>
      <c r="L108" s="39"/>
    </row>
    <row r="109" spans="1:12" s="30" customFormat="1" x14ac:dyDescent="0.3">
      <c r="A109" s="40"/>
      <c r="B109" s="41"/>
      <c r="C109" s="41"/>
      <c r="D109" s="41"/>
      <c r="E109" s="41"/>
      <c r="F109" s="41"/>
      <c r="G109" s="51"/>
      <c r="H109" s="51"/>
      <c r="I109" s="51"/>
      <c r="K109" s="39"/>
      <c r="L109" s="39"/>
    </row>
    <row r="110" spans="1:12" s="30" customFormat="1" x14ac:dyDescent="0.3">
      <c r="A110" s="40"/>
      <c r="B110" s="41"/>
      <c r="C110" s="41"/>
      <c r="D110" s="41"/>
      <c r="E110" s="41"/>
      <c r="F110" s="41"/>
      <c r="G110" s="51"/>
      <c r="H110" s="51"/>
      <c r="I110" s="51"/>
      <c r="K110" s="39"/>
      <c r="L110" s="39"/>
    </row>
    <row r="111" spans="1:12" s="30" customFormat="1" x14ac:dyDescent="0.3">
      <c r="A111" s="40"/>
      <c r="B111" s="41"/>
      <c r="C111" s="41"/>
      <c r="D111" s="41"/>
      <c r="E111" s="41"/>
      <c r="F111" s="41"/>
      <c r="G111" s="51"/>
      <c r="H111" s="51"/>
      <c r="I111" s="51"/>
      <c r="K111" s="39"/>
      <c r="L111" s="39"/>
    </row>
    <row r="112" spans="1:12" s="30" customFormat="1" x14ac:dyDescent="0.3">
      <c r="A112" s="40"/>
      <c r="B112" s="41"/>
      <c r="C112" s="41"/>
      <c r="D112" s="41"/>
      <c r="E112" s="41"/>
      <c r="F112" s="41"/>
      <c r="G112" s="51"/>
      <c r="H112" s="51"/>
      <c r="I112" s="51"/>
      <c r="K112" s="39"/>
      <c r="L112" s="39"/>
    </row>
    <row r="113" spans="1:12" s="30" customFormat="1" x14ac:dyDescent="0.3">
      <c r="A113" s="40"/>
      <c r="B113" s="41"/>
      <c r="C113" s="41"/>
      <c r="D113" s="41"/>
      <c r="E113" s="41"/>
      <c r="F113" s="41"/>
      <c r="G113" s="51"/>
      <c r="H113" s="51"/>
      <c r="I113" s="51"/>
      <c r="K113" s="39"/>
      <c r="L113" s="39"/>
    </row>
    <row r="114" spans="1:12" s="30" customFormat="1" x14ac:dyDescent="0.3">
      <c r="A114" s="40"/>
      <c r="B114" s="41"/>
      <c r="C114" s="41"/>
      <c r="D114" s="41"/>
      <c r="E114" s="41"/>
      <c r="F114" s="41"/>
      <c r="G114" s="51"/>
      <c r="H114" s="51"/>
      <c r="I114" s="51"/>
      <c r="K114" s="39"/>
      <c r="L114" s="39"/>
    </row>
    <row r="115" spans="1:12" s="30" customFormat="1" x14ac:dyDescent="0.3">
      <c r="A115" s="40"/>
      <c r="B115" s="41"/>
      <c r="C115" s="41"/>
      <c r="D115" s="41"/>
      <c r="E115" s="41"/>
      <c r="F115" s="41"/>
      <c r="G115" s="51"/>
      <c r="H115" s="51"/>
      <c r="I115" s="51"/>
      <c r="K115" s="39"/>
      <c r="L115" s="39"/>
    </row>
    <row r="116" spans="1:12" s="30" customFormat="1" x14ac:dyDescent="0.3">
      <c r="A116" s="40"/>
      <c r="B116" s="41"/>
      <c r="C116" s="41"/>
      <c r="D116" s="41"/>
      <c r="E116" s="41"/>
      <c r="F116" s="41"/>
      <c r="G116" s="51"/>
      <c r="H116" s="51"/>
      <c r="I116" s="51"/>
      <c r="K116" s="39"/>
      <c r="L116" s="39"/>
    </row>
    <row r="117" spans="1:12" s="30" customFormat="1" x14ac:dyDescent="0.3">
      <c r="A117" s="40"/>
      <c r="B117" s="41"/>
      <c r="C117" s="41"/>
      <c r="D117" s="41"/>
      <c r="E117" s="41"/>
      <c r="F117" s="41"/>
      <c r="G117" s="51"/>
      <c r="H117" s="51"/>
      <c r="I117" s="51"/>
      <c r="K117" s="39"/>
      <c r="L117" s="39"/>
    </row>
    <row r="118" spans="1:12" s="30" customFormat="1" x14ac:dyDescent="0.3">
      <c r="A118" s="40"/>
      <c r="B118" s="41"/>
      <c r="C118" s="41"/>
      <c r="D118" s="41"/>
      <c r="E118" s="41"/>
      <c r="F118" s="41"/>
      <c r="G118" s="51"/>
      <c r="H118" s="51"/>
      <c r="I118" s="51"/>
      <c r="K118" s="39"/>
      <c r="L118" s="39"/>
    </row>
    <row r="119" spans="1:12" s="30" customFormat="1" x14ac:dyDescent="0.3">
      <c r="A119" s="40"/>
      <c r="B119" s="41"/>
      <c r="C119" s="41"/>
      <c r="D119" s="41"/>
      <c r="E119" s="41"/>
      <c r="F119" s="41"/>
      <c r="G119" s="51"/>
      <c r="H119" s="51"/>
      <c r="I119" s="51"/>
      <c r="K119" s="39"/>
      <c r="L119" s="39"/>
    </row>
    <row r="120" spans="1:12" s="30" customFormat="1" x14ac:dyDescent="0.3">
      <c r="A120" s="40"/>
      <c r="B120" s="41"/>
      <c r="C120" s="41"/>
      <c r="D120" s="41"/>
      <c r="E120" s="41"/>
      <c r="F120" s="41"/>
      <c r="G120" s="51"/>
      <c r="H120" s="51"/>
      <c r="I120" s="51"/>
      <c r="K120" s="39"/>
      <c r="L120" s="39"/>
    </row>
    <row r="121" spans="1:12" s="30" customFormat="1" x14ac:dyDescent="0.3">
      <c r="A121" s="40"/>
      <c r="B121" s="41"/>
      <c r="C121" s="41"/>
      <c r="D121" s="41"/>
      <c r="E121" s="41"/>
      <c r="F121" s="41"/>
      <c r="G121" s="51"/>
      <c r="H121" s="51"/>
      <c r="I121" s="51"/>
      <c r="K121" s="39"/>
      <c r="L121" s="39"/>
    </row>
    <row r="122" spans="1:12" s="30" customFormat="1" x14ac:dyDescent="0.3">
      <c r="A122" s="40"/>
      <c r="B122" s="41"/>
      <c r="C122" s="41"/>
      <c r="D122" s="41"/>
      <c r="E122" s="41"/>
      <c r="F122" s="41"/>
      <c r="G122" s="51"/>
      <c r="H122" s="51"/>
      <c r="I122" s="51"/>
      <c r="K122" s="39"/>
      <c r="L122" s="39"/>
    </row>
  </sheetData>
  <mergeCells count="17">
    <mergeCell ref="G5:I5"/>
    <mergeCell ref="A3:J3"/>
    <mergeCell ref="B61:D61"/>
    <mergeCell ref="B66:D66"/>
    <mergeCell ref="A1:J1"/>
    <mergeCell ref="B28:D28"/>
    <mergeCell ref="B12:D12"/>
    <mergeCell ref="B9:D9"/>
    <mergeCell ref="B39:D39"/>
    <mergeCell ref="B37:D37"/>
    <mergeCell ref="A2:J2"/>
    <mergeCell ref="A5:A6"/>
    <mergeCell ref="B5:B6"/>
    <mergeCell ref="C5:C6"/>
    <mergeCell ref="J5:J6"/>
    <mergeCell ref="D5:D6"/>
    <mergeCell ref="E5:F5"/>
  </mergeCells>
  <conditionalFormatting sqref="B68">
    <cfRule type="cellIs" dxfId="0" priority="1" operator="lessThan">
      <formula>0</formula>
    </cfRule>
  </conditionalFormatting>
  <pageMargins left="0.43307086614173229" right="0.19685039370078741" top="0.39370078740157483" bottom="0.47244094488188981" header="0.31496062992125984" footer="0.31496062992125984"/>
  <pageSetup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NSDP</vt:lpstr>
      <vt:lpstr> XA TAN LONG</vt:lpstr>
      <vt:lpstr>2026-2030</vt:lpstr>
      <vt:lpstr>' XA TAN LONG'!Print_Area</vt:lpstr>
      <vt:lpstr>'2026-2030'!Print_Area</vt:lpstr>
      <vt:lpstr>' XA TAN LONG'!Print_Titles</vt:lpstr>
      <vt:lpstr>'2026-2030'!Print_Titles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cp:lastPrinted>2026-01-05T04:30:49Z</cp:lastPrinted>
  <dcterms:created xsi:type="dcterms:W3CDTF">2022-10-13T12:52:54Z</dcterms:created>
  <dcterms:modified xsi:type="dcterms:W3CDTF">2026-01-05T07:20:39Z</dcterms:modified>
</cp:coreProperties>
</file>